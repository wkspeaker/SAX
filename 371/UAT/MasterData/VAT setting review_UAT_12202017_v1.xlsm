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371\UAT\UAT build\9. Final Output\Reviewed files\"/>
    </mc:Choice>
  </mc:AlternateContent>
  <bookViews>
    <workbookView xWindow="240" yWindow="75" windowWidth="20115" windowHeight="7995" activeTab="6"/>
  </bookViews>
  <sheets>
    <sheet name="General" sheetId="1" r:id="rId1"/>
    <sheet name="Item master" sheetId="2" r:id="rId2"/>
    <sheet name="Customer master" sheetId="3" r:id="rId3"/>
    <sheet name="Vendor master" sheetId="4" r:id="rId4"/>
    <sheet name="Sales tax" sheetId="5" r:id="rId5"/>
    <sheet name="Item sales tax" sheetId="6" r:id="rId6"/>
    <sheet name="Tax code" sheetId="7" r:id="rId7"/>
  </sheets>
  <definedNames>
    <definedName name="AtlasReport_1" localSheetId="4">'Sales tax'!$A$1:$D$16</definedName>
    <definedName name="AtlasReport_2" localSheetId="5">'Item sales tax'!$A$1:$C$12</definedName>
    <definedName name="AtlasReport_3" localSheetId="6">'Tax code'!$A$1:$J$17</definedName>
    <definedName name="AtlasReport_4" localSheetId="2">'Customer master'!$A$1:$F$115</definedName>
    <definedName name="AtlasReport_5" localSheetId="3">'Vendor master'!$A$1:$F$226</definedName>
    <definedName name="AtlasReport_6" localSheetId="1">'Item master'!$A$1:$G$175</definedName>
    <definedName name="DataAreaId">General!$D$1</definedName>
  </definedNames>
  <calcPr calcId="162913"/>
</workbook>
</file>

<file path=xl/calcChain.xml><?xml version="1.0" encoding="utf-8"?>
<calcChain xmlns="http://schemas.openxmlformats.org/spreadsheetml/2006/main">
  <c r="B7" i="1" l="1"/>
  <c r="B6" i="1"/>
  <c r="I7" i="1" l="1"/>
  <c r="I6" i="1"/>
  <c r="I5" i="1"/>
  <c r="D7" i="1"/>
  <c r="D6" i="1"/>
  <c r="D5" i="1"/>
  <c r="G103" i="2"/>
  <c r="G160" i="2"/>
  <c r="G82" i="2"/>
  <c r="G121" i="2"/>
  <c r="G157" i="2"/>
  <c r="G65" i="2"/>
  <c r="G19" i="2"/>
  <c r="G79" i="2"/>
  <c r="G136" i="2"/>
  <c r="G58" i="2"/>
  <c r="G9" i="2"/>
  <c r="G16" i="2"/>
  <c r="G73" i="2"/>
  <c r="G44" i="2"/>
  <c r="G42" i="2"/>
  <c r="G172" i="2"/>
  <c r="G61" i="2"/>
  <c r="G3" i="2"/>
  <c r="G11" i="2"/>
  <c r="G68" i="2"/>
  <c r="G145" i="2"/>
  <c r="G140" i="2"/>
  <c r="G159" i="2"/>
  <c r="G37" i="2"/>
  <c r="G138" i="2"/>
  <c r="G151" i="2"/>
  <c r="G36" i="2"/>
  <c r="G56" i="2"/>
  <c r="G7" i="2"/>
  <c r="G64" i="2"/>
  <c r="G141" i="2"/>
  <c r="G12" i="2"/>
  <c r="G91" i="2"/>
  <c r="G148" i="2"/>
  <c r="G70" i="2"/>
  <c r="G78" i="2"/>
  <c r="G40" i="2"/>
  <c r="G117" i="2"/>
  <c r="G147" i="2"/>
  <c r="G23" i="2"/>
  <c r="G83" i="2"/>
  <c r="G22" i="2"/>
  <c r="G120" i="2"/>
  <c r="G167" i="2"/>
  <c r="G45" i="2"/>
  <c r="G146" i="2"/>
  <c r="G142" i="2"/>
  <c r="G52" i="2"/>
  <c r="G129" i="2"/>
  <c r="G92" i="2"/>
  <c r="G143" i="2"/>
  <c r="G21" i="2"/>
  <c r="G122" i="2"/>
  <c r="G62" i="2"/>
  <c r="G144" i="2"/>
  <c r="G107" i="2"/>
  <c r="G63" i="2"/>
  <c r="G154" i="2"/>
  <c r="G48" i="2"/>
  <c r="G125" i="2"/>
  <c r="G163" i="2"/>
  <c r="G75" i="2"/>
  <c r="G132" i="2"/>
  <c r="G54" i="2"/>
  <c r="G30" i="2"/>
  <c r="G24" i="2"/>
  <c r="G101" i="2"/>
  <c r="G99" i="2"/>
  <c r="G66" i="2"/>
  <c r="G49" i="2"/>
  <c r="G69" i="2"/>
  <c r="G71" i="2"/>
  <c r="G128" i="2"/>
  <c r="G50" i="2"/>
  <c r="G41" i="2"/>
  <c r="G155" i="2"/>
  <c r="G33" i="2"/>
  <c r="G134" i="2"/>
  <c r="G47" i="2"/>
  <c r="G104" i="2"/>
  <c r="G26" i="2"/>
  <c r="G108" i="2"/>
  <c r="G80" i="2"/>
  <c r="G94" i="2"/>
  <c r="G150" i="2"/>
  <c r="G133" i="2"/>
  <c r="G32" i="2"/>
  <c r="G109" i="2"/>
  <c r="G131" i="2"/>
  <c r="G59" i="2"/>
  <c r="G116" i="2"/>
  <c r="G38" i="2"/>
  <c r="G137" i="2"/>
  <c r="G8" i="2"/>
  <c r="G85" i="2"/>
  <c r="G67" i="2"/>
  <c r="G57" i="2"/>
  <c r="G93" i="2"/>
  <c r="G100" i="2"/>
  <c r="G169" i="2"/>
  <c r="G55" i="2"/>
  <c r="G112" i="2"/>
  <c r="G34" i="2"/>
  <c r="G165" i="2"/>
  <c r="G139" i="2"/>
  <c r="G17" i="2"/>
  <c r="G118" i="2"/>
  <c r="G31" i="2"/>
  <c r="G88" i="2"/>
  <c r="G10" i="2"/>
  <c r="G76" i="2"/>
  <c r="G60" i="2"/>
  <c r="G86" i="2"/>
  <c r="G106" i="2"/>
  <c r="G135" i="2"/>
  <c r="G13" i="2"/>
  <c r="G114" i="2"/>
  <c r="G46" i="2"/>
  <c r="G20" i="2"/>
  <c r="G97" i="2"/>
  <c r="G168" i="2"/>
  <c r="G111" i="2"/>
  <c r="G153" i="2"/>
  <c r="G90" i="2"/>
  <c r="G105" i="2"/>
  <c r="G29" i="2"/>
  <c r="G171" i="2"/>
  <c r="G18" i="2"/>
  <c r="G102" i="2"/>
  <c r="G28" i="2"/>
  <c r="G5" i="2"/>
  <c r="G161" i="2"/>
  <c r="G95" i="2"/>
  <c r="G43" i="2"/>
  <c r="G77" i="2"/>
  <c r="G6" i="2"/>
  <c r="G162" i="2"/>
  <c r="G126" i="2"/>
  <c r="G124" i="2"/>
  <c r="G15" i="2"/>
  <c r="G87" i="2"/>
  <c r="G119" i="2"/>
  <c r="G4" i="2"/>
  <c r="G152" i="2"/>
  <c r="G89" i="2"/>
  <c r="G51" i="2"/>
  <c r="G25" i="2"/>
  <c r="G174" i="2"/>
  <c r="G127" i="2"/>
  <c r="G39" i="2"/>
  <c r="G123" i="2"/>
  <c r="G72" i="2"/>
  <c r="G130" i="2"/>
  <c r="G173" i="2"/>
  <c r="G81" i="2"/>
  <c r="G74" i="2"/>
  <c r="G156" i="2"/>
  <c r="G27" i="2"/>
  <c r="G175" i="2"/>
  <c r="G158" i="2"/>
  <c r="G35" i="2"/>
  <c r="G96" i="2"/>
  <c r="G166" i="2"/>
  <c r="G149" i="2"/>
  <c r="G113" i="2"/>
  <c r="G98" i="2"/>
  <c r="G115" i="2"/>
  <c r="G110" i="2"/>
  <c r="G170" i="2"/>
  <c r="G84" i="2"/>
  <c r="G53" i="2"/>
  <c r="G164" i="2"/>
  <c r="G14" i="2"/>
  <c r="B8" i="1" l="1"/>
</calcChain>
</file>

<file path=xl/sharedStrings.xml><?xml version="1.0" encoding="utf-8"?>
<sst xmlns="http://schemas.openxmlformats.org/spreadsheetml/2006/main" count="3337" uniqueCount="1500">
  <si>
    <t>Company:</t>
  </si>
  <si>
    <t>Groupe de taxe</t>
  </si>
  <si>
    <t>Sales tax group</t>
  </si>
  <si>
    <t>Sales tax code</t>
  </si>
  <si>
    <t>Exempt</t>
  </si>
  <si>
    <t>No</t>
  </si>
  <si>
    <t>400</t>
  </si>
  <si>
    <t>450</t>
  </si>
  <si>
    <t>100</t>
  </si>
  <si>
    <t>500</t>
  </si>
  <si>
    <t>200</t>
  </si>
  <si>
    <t>Name</t>
  </si>
  <si>
    <t>Item sales tax group setup</t>
  </si>
  <si>
    <t>Item sales tax group</t>
  </si>
  <si>
    <t>Item_All</t>
  </si>
  <si>
    <t>Item_Serv</t>
  </si>
  <si>
    <t>Sales tax codes</t>
  </si>
  <si>
    <t>Settlement period</t>
  </si>
  <si>
    <t>Unit</t>
  </si>
  <si>
    <t>Ledger posting group</t>
  </si>
  <si>
    <t>Origin</t>
  </si>
  <si>
    <t>Method of calculation</t>
  </si>
  <si>
    <t>Marginal base</t>
  </si>
  <si>
    <t>Sales tax on sales tax</t>
  </si>
  <si>
    <t/>
  </si>
  <si>
    <t>Percentage of net amount</t>
  </si>
  <si>
    <t>Whole amount</t>
  </si>
  <si>
    <t>Net amount of invoice balance</t>
  </si>
  <si>
    <t>Customers</t>
  </si>
  <si>
    <t>Customer account</t>
  </si>
  <si>
    <t>Address</t>
  </si>
  <si>
    <t>Currency</t>
  </si>
  <si>
    <t>Customer group</t>
  </si>
  <si>
    <t>EUR</t>
  </si>
  <si>
    <t>Domestic</t>
  </si>
  <si>
    <t>Simpson Strong-Tie France</t>
  </si>
  <si>
    <t>IC-BS</t>
  </si>
  <si>
    <t>S&amp;P Clever Reinforcement Company AG</t>
  </si>
  <si>
    <t>IC-AX</t>
  </si>
  <si>
    <t>Bydgoska
82-200 Malbork
PL</t>
  </si>
  <si>
    <t>S&amp;P Clever Reinforcement GmbH</t>
  </si>
  <si>
    <t>S&amp;P Reinforcement Nordic ApS</t>
  </si>
  <si>
    <t>S&amp;P Handels GmbH</t>
  </si>
  <si>
    <t>Vendors</t>
  </si>
  <si>
    <t>Vendor account</t>
  </si>
  <si>
    <t>Group</t>
  </si>
  <si>
    <t>Items</t>
  </si>
  <si>
    <t>Item number</t>
  </si>
  <si>
    <t>Item name</t>
  </si>
  <si>
    <t>Search name</t>
  </si>
  <si>
    <t>Item group</t>
  </si>
  <si>
    <t>Item type</t>
  </si>
  <si>
    <t>Sales: Item sales tax group</t>
  </si>
  <si>
    <t>Product</t>
  </si>
  <si>
    <t>Item</t>
  </si>
  <si>
    <t>Component</t>
  </si>
  <si>
    <t>Services</t>
  </si>
  <si>
    <t>Service</t>
  </si>
  <si>
    <t>BOM</t>
  </si>
  <si>
    <t>FACAPEX001</t>
  </si>
  <si>
    <t>Fixed Asset Item</t>
  </si>
  <si>
    <t>FixedAssetItem</t>
  </si>
  <si>
    <t>TRSPEDI001</t>
  </si>
  <si>
    <t>Transportkosten (Spedition)</t>
  </si>
  <si>
    <t>Purchase: Item sales tax group</t>
  </si>
  <si>
    <t>Value</t>
  </si>
  <si>
    <t>Customer</t>
  </si>
  <si>
    <t>Vendor</t>
  </si>
  <si>
    <t>Sales</t>
  </si>
  <si>
    <t>Purchase</t>
  </si>
  <si>
    <t>371-200001</t>
  </si>
  <si>
    <t>Karl-Ritscher-Anlage 5
60437 Frankfurt am Main
DE</t>
  </si>
  <si>
    <t>ES Import</t>
  </si>
  <si>
    <t>371-200002</t>
  </si>
  <si>
    <t>S&amp;P Polska Sp. z o.o.</t>
  </si>
  <si>
    <t>371-200003</t>
  </si>
  <si>
    <t>S&amp;P Clever Reinforcement Company Benelux</t>
  </si>
  <si>
    <t>Seewernstrasse 127
6423 Seewen
CH</t>
  </si>
  <si>
    <t>371-200005</t>
  </si>
  <si>
    <t>R?merstrasse 2
2514 Traiskirchen
AT</t>
  </si>
  <si>
    <t>ES Purchas</t>
  </si>
  <si>
    <t>371-200006</t>
  </si>
  <si>
    <t>371-200007</t>
  </si>
  <si>
    <t>S&amp;P Clever Reinforcement Ib¨¦rica Lda</t>
  </si>
  <si>
    <t>Foros da Catrapona Rua Quinta da Rosas, no 2
2840-131 Aldeia de Paio Pires
PT</t>
  </si>
  <si>
    <t>371-200008</t>
  </si>
  <si>
    <t>ES Imp 3C</t>
  </si>
  <si>
    <t>371-200009</t>
  </si>
  <si>
    <t>Z.A.C. des Quatre Chemins
85400 Sainte-Gemme-la-Plaine
FR</t>
  </si>
  <si>
    <t>371-200010</t>
  </si>
  <si>
    <t>SOCOM S.A.S.</t>
  </si>
  <si>
    <t>173 Z.I. Les Mourgues
30350 Cardet
FR</t>
  </si>
  <si>
    <t>371-200011</t>
  </si>
  <si>
    <t>S&amp;P Reinforcement France</t>
  </si>
  <si>
    <t>Le Moulin des Ardillers
85400 Sainte-Gemme-la-Plaine
FR</t>
  </si>
  <si>
    <t>371-200012</t>
  </si>
  <si>
    <t>FETASA</t>
  </si>
  <si>
    <t>SIERRA NEVADA,10 P.L.OLIVAR
28500 ARGANDA DEL REY
ES</t>
  </si>
  <si>
    <t>Gen</t>
  </si>
  <si>
    <t>371-200013</t>
  </si>
  <si>
    <t>IMPIANTOS, S.L. (ASSA)</t>
  </si>
  <si>
    <t>PACHECO DE ABAJO, 1
30740 SAN PEDRO DEL PINATAR
ES</t>
  </si>
  <si>
    <t>371-200014</t>
  </si>
  <si>
    <t>NEUVENDIS, S.P.A.</t>
  </si>
  <si>
    <t>S.S.SEMPIONE, 270/A ; CP-83
20028,SAN VITTORE OLONA
IT</t>
  </si>
  <si>
    <t>371-200015</t>
  </si>
  <si>
    <t>BASF ESPA?OLA, S.L.</t>
  </si>
  <si>
    <t>CAN R?BIA, 3-5
08017 BARCELONA
ES</t>
  </si>
  <si>
    <t>371-200016</t>
  </si>
  <si>
    <t>ZEUS QUIMICA, S.A.U.</t>
  </si>
  <si>
    <t>SANTAL?, 152-154
08021 BARCELONA
ES</t>
  </si>
  <si>
    <t>371-200017</t>
  </si>
  <si>
    <t>PROYECTOS QUIMICOS, S.A.</t>
  </si>
  <si>
    <t>BRUJULA, 15-17
28850 TORREJON DE ARDOZ
ES</t>
  </si>
  <si>
    <t>371-200018</t>
  </si>
  <si>
    <t>CASTELLANA DE FIJACION, S.L.</t>
  </si>
  <si>
    <t>MIGUEL DE UNAMUNO, 28
28939 ARROYOMOLINOS
ES</t>
  </si>
  <si>
    <t>371-200019</t>
  </si>
  <si>
    <t>SIKA, S.A.U.</t>
  </si>
  <si>
    <t>CARRETERA DE FUENCARRAL, 72
28108 ALCOBENDAS
ES</t>
  </si>
  <si>
    <t>371-200020</t>
  </si>
  <si>
    <t>SILICES GILARRANZ, S.A.</t>
  </si>
  <si>
    <t>AVDA DE LAS PRADERAS, S.N.
40165 PRADENA
ES</t>
  </si>
  <si>
    <t>371-200021</t>
  </si>
  <si>
    <t>AISLAMIENTOS, REVESTIMIENTOS Y CUBIERTAS, S.A.</t>
  </si>
  <si>
    <t>PARQUE FERIAL, 29
28923 ALCORCON
ES</t>
  </si>
  <si>
    <t>371-200022</t>
  </si>
  <si>
    <t>CAMPI Y JOV?, S.A.</t>
  </si>
  <si>
    <t>VENEZUELA, 103
08019 BARCELONA
ES</t>
  </si>
  <si>
    <t>371-200023</t>
  </si>
  <si>
    <t>REVLAPIN, S.L.</t>
  </si>
  <si>
    <t>PARQUE FERIAL, 31
28923 ALCORCON
ES</t>
  </si>
  <si>
    <t>371-200024</t>
  </si>
  <si>
    <t>RECUPERACIONES RAGAR, S.L.</t>
  </si>
  <si>
    <t>RUMANIA, 4; NAVE 9
28806 ALCALA DE HENARES
ES</t>
  </si>
  <si>
    <t>371-200025</t>
  </si>
  <si>
    <t>COMERCIAL DE SACOS Y CORDELERIA, S.L.</t>
  </si>
  <si>
    <t>VIRGEN DEL PORTILLO, 9
28027 MADRID
ES</t>
  </si>
  <si>
    <t>371-200026</t>
  </si>
  <si>
    <t>RECUBRIMIENTOS IND.CONTINENTALES, S.L.</t>
  </si>
  <si>
    <t>ORENSE, 8
28020 MADRID
ES</t>
  </si>
  <si>
    <t>371-200027</t>
  </si>
  <si>
    <t>MINERALES ROSET, S.L.</t>
  </si>
  <si>
    <t>SICILIA, 253; 2-3
08025 BARCELONA
ES</t>
  </si>
  <si>
    <t>371-200028</t>
  </si>
  <si>
    <t>ABACO SUYTEC, S.A.U.</t>
  </si>
  <si>
    <t>FORJA C/CALLE GRAFITO, S/N
28850 TORREJON DE ARDOZ
ES</t>
  </si>
  <si>
    <t>371-200029</t>
  </si>
  <si>
    <t>ADHESIVOS &amp; SELLADORES, S.L.</t>
  </si>
  <si>
    <t>CALLE MIL? I FONTANALS 135-139
08205 SABADELL
ES</t>
  </si>
  <si>
    <t>371-200030</t>
  </si>
  <si>
    <t>CEMENTOS PORTLAND VALDERRIVAS, S.A.</t>
  </si>
  <si>
    <t>DORMITALERIA, 72
31001 PAMPLONA
ES</t>
  </si>
  <si>
    <t>371-200031</t>
  </si>
  <si>
    <t>BARCELONESA DE DROGAS Y PROD.QUIMICOS, S.A.</t>
  </si>
  <si>
    <t>CROM, 14
08940 CORNELLA DE LLOBREGAT
ES</t>
  </si>
  <si>
    <t>371-200032</t>
  </si>
  <si>
    <t>MATERIAS PRIMAS ABRASIVAS, S.L.</t>
  </si>
  <si>
    <t>ENERGIA, 2
08940 CORNELLA DE LLOBREGAT
ES</t>
  </si>
  <si>
    <t>371-200033</t>
  </si>
  <si>
    <t>PLASTICOS Y TRANSFORMADOS, S.A.</t>
  </si>
  <si>
    <t>ESTRECHO DE GIBRALTAR, 13
28027 MADRID
ES</t>
  </si>
  <si>
    <t>371-200034</t>
  </si>
  <si>
    <t>TECNOPOL SISTEMAS, S.L.</t>
  </si>
  <si>
    <t>POL.IND."Z"; CALLE DE LA PRENSA, 5
08150 PARETS DEL VALL?S
ES</t>
  </si>
  <si>
    <t>371-200035</t>
  </si>
  <si>
    <t>ALCHIMICA IBERICA, S.L.</t>
  </si>
  <si>
    <t>C/ISLANDIA,3 - P.IND.PLA DE
08520 LES FRANQUESES DEL VALLES
ES</t>
  </si>
  <si>
    <t>371-200036</t>
  </si>
  <si>
    <t>INDUSTRIAS DEL UBIERNA, S.A.</t>
  </si>
  <si>
    <t>LOPEA BRAVO, 94
09001 BURGOS
ES</t>
  </si>
  <si>
    <t>371-200037</t>
  </si>
  <si>
    <t>PROETI, S.A.</t>
  </si>
  <si>
    <t>CARRETERA ALGETE (M-106), KM.4,100
28110 ALGETE
ES</t>
  </si>
  <si>
    <t>371-200038</t>
  </si>
  <si>
    <t>CLEMCO INTERNACIONAL, S.A.</t>
  </si>
  <si>
    <t>POL.IND.UGALDEGUREN I, PARCELA 1
48170 ZAMUDIO
ES</t>
  </si>
  <si>
    <t>371-200039</t>
  </si>
  <si>
    <t>COMINDEX, S.A.</t>
  </si>
  <si>
    <t>AVENIDA DEL RIU MONGENT, 18
08170 MONTORNES DEL VALLES
ES</t>
  </si>
  <si>
    <t>371-200040</t>
  </si>
  <si>
    <t>CLEVER REINFORCEMENT IBERICA, LDA</t>
  </si>
  <si>
    <t>RUA DE PORTUGAL, 10
7350-297 FONTAINHAS
PT</t>
  </si>
  <si>
    <t>371-200041</t>
  </si>
  <si>
    <t>DELTA TECNIC, S.A.</t>
  </si>
  <si>
    <t>REC MOLI DE LES PLANES, S/N
08470 SANT CELONI
ES</t>
  </si>
  <si>
    <t>371-200042</t>
  </si>
  <si>
    <t>MORENO DE PAZ, S.A.</t>
  </si>
  <si>
    <t>HAITI, 11; CRR/DAGANZO
28806 ALCALA DE HENARES
ES</t>
  </si>
  <si>
    <t>371-200043</t>
  </si>
  <si>
    <t>INGENIERIA Y REALIZACIONES TECNICAS, S.A.</t>
  </si>
  <si>
    <t>BRONCE, 15
28500 ARGANDA DEL REY
ES</t>
  </si>
  <si>
    <t>371-200044</t>
  </si>
  <si>
    <t>DIST.CORRALES MINERIA Y OO.PP, S.L.</t>
  </si>
  <si>
    <t>SOMOSIERRA, 22
28703 SAN SEBASTIAN LOS REYES
ES</t>
  </si>
  <si>
    <t>371-200045</t>
  </si>
  <si>
    <t>SEIRE PRODUCTS, S.L.</t>
  </si>
  <si>
    <t>LOS MUCHOS; P.IND.ALBOLLEQUE
19160 CHILOECHES
ES</t>
  </si>
  <si>
    <t>371-200046</t>
  </si>
  <si>
    <t>ROLLGUM CORP, S.L.</t>
  </si>
  <si>
    <t>AVENIDA DIAGONAL, 672
08034 BARCELONA
ES</t>
  </si>
  <si>
    <t>371-200047</t>
  </si>
  <si>
    <t>MANUEL RIESGO, S.A.</t>
  </si>
  <si>
    <t>AV.REAL DE PINTO, 142
28021 MADRID
ES</t>
  </si>
  <si>
    <t>371-200048</t>
  </si>
  <si>
    <t>MAXIMILIANO JABUGO, S.L.</t>
  </si>
  <si>
    <t>MARQUES DE ARACENA, 4
21360 EL REPILADO
ES</t>
  </si>
  <si>
    <t>371-200049</t>
  </si>
  <si>
    <t>QUIMICA MER. S.L.</t>
  </si>
  <si>
    <t>MONTE BOYAL, 107
45950 CASARRUBIOS DEL MONTE
ES</t>
  </si>
  <si>
    <t>371-200050</t>
  </si>
  <si>
    <t>VERAREN, S.L.</t>
  </si>
  <si>
    <t>MAGALLANES, 25
28015 MADRID
ES</t>
  </si>
  <si>
    <t>371-200051</t>
  </si>
  <si>
    <t>BRENNTAG QUIMICA, S.A.U.</t>
  </si>
  <si>
    <t>TORRE DE LOS HERBEROS, 10
41703 DOS HERMANAS
ES</t>
  </si>
  <si>
    <t>371-200052</t>
  </si>
  <si>
    <t>ANTONIO ALBERTO FELIX (FORJA TO?O)</t>
  </si>
  <si>
    <t>TRAVESIA LACIANA, 16
24140 VILLASECA DE LACIANA
ES</t>
  </si>
  <si>
    <t>371-200053</t>
  </si>
  <si>
    <t>OMYA CLARIANA, S.L.U.</t>
  </si>
  <si>
    <t>AVENIDA OAISOS CATALANS, 38
08950 ESPLUGUES DE LLOBREGAT
ES</t>
  </si>
  <si>
    <t>371-200054</t>
  </si>
  <si>
    <t>LIBERPLAST, S.L.</t>
  </si>
  <si>
    <t>MALAGA, 5
28340 VALDEMORO
ES</t>
  </si>
  <si>
    <t>371-200055</t>
  </si>
  <si>
    <t>GARCIA GONZALO MADERAS, S.A.</t>
  </si>
  <si>
    <t>CARRETERA LOECHES, M-206a, KM.3,600
28890 LOECHES
ES</t>
  </si>
  <si>
    <t>371-200056</t>
  </si>
  <si>
    <t>DAVID MORENO PE?A</t>
  </si>
  <si>
    <t>CTRA DE VILLAR S/N
26310 BADARAN
ES</t>
  </si>
  <si>
    <t>371-200057</t>
  </si>
  <si>
    <t>RALVA, S.A</t>
  </si>
  <si>
    <t>CALAHORRA, 2
28864 AJALVIR
ES</t>
  </si>
  <si>
    <t>371-200058</t>
  </si>
  <si>
    <t>CAUCHO CELULAR DEL CENTRO, S.A.</t>
  </si>
  <si>
    <t>CALLE LOMO, 2
28950 MORALEJA DE ENMEDIO
ES</t>
  </si>
  <si>
    <t>371-200059</t>
  </si>
  <si>
    <t>IMACETY, S.L.</t>
  </si>
  <si>
    <t>AV. DE CASTILLA, 13
28830 SAN FERNANDO DE HENARES
ES</t>
  </si>
  <si>
    <t>371-200060</t>
  </si>
  <si>
    <t>GIOVANNI BOZZETTO, S.P.A.</t>
  </si>
  <si>
    <t>MONTE GRAPPA, 7
24121,BERGAMO
IT</t>
  </si>
  <si>
    <t>371-200061</t>
  </si>
  <si>
    <t>HEIDELBERG CEMENT, A.G.</t>
  </si>
  <si>
    <t>BERLINER STRABE, 6
69120 HEIDELBERG
DE</t>
  </si>
  <si>
    <t>371-200062</t>
  </si>
  <si>
    <t>ZIRCOM SERVICIOS E PROYECTOS</t>
  </si>
  <si>
    <t>AV. REPUBLICA GUINEA BISAU, 15
2900 SETUBAL
PT</t>
  </si>
  <si>
    <t>371-200063</t>
  </si>
  <si>
    <t>AFER, S.A.</t>
  </si>
  <si>
    <t>ILUSTRACION, 3
28902 GETAFE
ES</t>
  </si>
  <si>
    <t>371-200064</t>
  </si>
  <si>
    <t>AUTOTRANSPORTE TURISTICO ESPA?OL, S.A.</t>
  </si>
  <si>
    <t>AV.DL ENSANCHE DE VALLECAS, 37
28051 MADRID
ES</t>
  </si>
  <si>
    <t>371-200065</t>
  </si>
  <si>
    <t>JUAN CARLOS GONZALEZ LINARES</t>
  </si>
  <si>
    <t>IBIZA, 71
28514 NUEVO BAZTAN
ES</t>
  </si>
  <si>
    <t>371-200066</t>
  </si>
  <si>
    <t>CHICO SERRANO, S.L.</t>
  </si>
  <si>
    <t>CANTO, 7-9
28850 TORREJON DE ARDOZ
ES</t>
  </si>
  <si>
    <t>371-200067</t>
  </si>
  <si>
    <t>PLASTIC-GUN, S.L.</t>
  </si>
  <si>
    <t>CIENPOZUELOS, 9
28925 ALCORCON
ES</t>
  </si>
  <si>
    <t>371-200068</t>
  </si>
  <si>
    <t>ALKIHERRAMIENTAS, S.A.</t>
  </si>
  <si>
    <t>LOUIS PASTEUR, 1
28806 ALCALA DE HENARES
ES</t>
  </si>
  <si>
    <t>371-200069</t>
  </si>
  <si>
    <t>MARKEM-IMAJE SPAIN, S.A.U.</t>
  </si>
  <si>
    <t>SALVADOR GIL VERNET, 1
08192 QUIRZE DEL VALLES
ES</t>
  </si>
  <si>
    <t>371-200070</t>
  </si>
  <si>
    <t>GRUPO ITEVELESA, S.L.</t>
  </si>
  <si>
    <t>LAS ONDAS, 3
19200 AZUQUECA DE HENARES
ES</t>
  </si>
  <si>
    <t>371-200071</t>
  </si>
  <si>
    <t>GENERAL DE SERVICIOS ITV, S.A.</t>
  </si>
  <si>
    <t>AVENIDA DE DAGANZO, 19
28806 ALCALA DE HENARES
ES</t>
  </si>
  <si>
    <t>371-200072</t>
  </si>
  <si>
    <t>TELEFONICA DE ESPA?A, S.A.U.</t>
  </si>
  <si>
    <t>GRAN VIA, 28
28013 MADRID
ES</t>
  </si>
  <si>
    <t>371-200073</t>
  </si>
  <si>
    <t>VISEGURCOMPA?IA DE SEGURIDAD, S.A.</t>
  </si>
  <si>
    <t>VIA COMPLUTENSE, 5
28802 ALCALA DE HENARES
ES</t>
  </si>
  <si>
    <t>371-200074</t>
  </si>
  <si>
    <t>SAINT GOBAIN DISTRIBUCION CONST., S.L.</t>
  </si>
  <si>
    <t>FRANCISCO GASCO SANTILLAN, 2A
28900 GETAFE
ES</t>
  </si>
  <si>
    <t>371-200075</t>
  </si>
  <si>
    <t>LOURDES MUEDRA FONT</t>
  </si>
  <si>
    <t>ALONSO SAAVEDRA, 10; 4-A
28033 MADRID
ES</t>
  </si>
  <si>
    <t>371-200076</t>
  </si>
  <si>
    <t>SEMAE, S.L. (ACQUAJET)</t>
  </si>
  <si>
    <t>AV.TARTESSOS, 26
41907 VALENCIANA DE LA COCEPCIO
ES</t>
  </si>
  <si>
    <t>371-200077</t>
  </si>
  <si>
    <t>IGNACIO ANDRADES MARTIN</t>
  </si>
  <si>
    <t>EXTREMADURA, 4; 5-B
28850 TORREJON DE ARDOZ
ES</t>
  </si>
  <si>
    <t>371-200078</t>
  </si>
  <si>
    <t>MONITOR INFORMATICA SOFTWARE, S.L.</t>
  </si>
  <si>
    <t>SAN PABLO, 1;F; 1-B
41001 SEVILLA
ES</t>
  </si>
  <si>
    <t>371-200079</t>
  </si>
  <si>
    <t>EXPLOTACION ESTACION DE SERVICIOS, S.A.</t>
  </si>
  <si>
    <t>AVENIDA DE LAS ESTACIONES, 2-4
28850 TORREJON DE ARDOZ
ES</t>
  </si>
  <si>
    <t>371-200080</t>
  </si>
  <si>
    <t>SISE, S.L.</t>
  </si>
  <si>
    <t>BRAVO MURILLO,211 BIS; 1-C
28020 MADRID
ES</t>
  </si>
  <si>
    <t>371-200081</t>
  </si>
  <si>
    <t>LUIS ANTONIO VELASQUEZ (SERVIBASCULAS)</t>
  </si>
  <si>
    <t>ALCALA DE HENARES, 1; BAJO A
28510 CAMPO REAL
ES</t>
  </si>
  <si>
    <t>371-200082</t>
  </si>
  <si>
    <t>BUREAU VERITAS FORMACION, S.A.</t>
  </si>
  <si>
    <t>VALPORTILLO PRIMERA, 22-24
28108 ALCOBENDAS
ES</t>
  </si>
  <si>
    <t>371-200083</t>
  </si>
  <si>
    <t>HIPER USERA, S.L.</t>
  </si>
  <si>
    <t>AVENIDA PRINCIPAL, S/N
28991 TORREJON DE LA CALZADA
ES</t>
  </si>
  <si>
    <t>371-200084</t>
  </si>
  <si>
    <t>TYROLIT, S.A.</t>
  </si>
  <si>
    <t>AVINGUDA 3? DEL PARC LOGISTIC, 26
08040 BARCELONA
ES</t>
  </si>
  <si>
    <t>371-200085</t>
  </si>
  <si>
    <t>IVAN GUDIEL (HENAR COMPUTER)</t>
  </si>
  <si>
    <t>JUAN DE SOTO, 7
28804 ALCALA DE HENARES
ES</t>
  </si>
  <si>
    <t>371-200086</t>
  </si>
  <si>
    <t>RHENUS LOGISTICS, S.A.</t>
  </si>
  <si>
    <t>AVENIDA DE SUIZA, 23
28821 COSLADA
ES</t>
  </si>
  <si>
    <t>371-200087</t>
  </si>
  <si>
    <t>POLY-KLYN, S.L.</t>
  </si>
  <si>
    <t>MI?O, 83-85
08223 TERRASSA
ES</t>
  </si>
  <si>
    <t>371-200088</t>
  </si>
  <si>
    <t>COMPLU COURIER, S.L. (MRW)</t>
  </si>
  <si>
    <t>C/RUMANIA, 5
28802 ALCALA DE HENARES
ES</t>
  </si>
  <si>
    <t>371-200089</t>
  </si>
  <si>
    <t>JM BRUNEAU ESPA?A, S.A.U.</t>
  </si>
  <si>
    <t>BERGUED?, 1
08820 EL PRAT DE LLOBREGAT
ES</t>
  </si>
  <si>
    <t>371-200090</t>
  </si>
  <si>
    <t>LGAI TECHNOLOGICAL CENTER, S.A</t>
  </si>
  <si>
    <t>RONDA DE FONT DEL CARME; CAMPUS UAB
08193 BELLATERRA
ES</t>
  </si>
  <si>
    <t>371-200091</t>
  </si>
  <si>
    <t>PREVENTION AND SAFETY WORLD, S.L.</t>
  </si>
  <si>
    <t>TRESIFONTE GALLEGO, 9
02002 ALBACETE
ES</t>
  </si>
  <si>
    <t>371-200092</t>
  </si>
  <si>
    <t>TELEFONICA SERVICIOS MOVILES,</t>
  </si>
  <si>
    <t>CALLE L2, PARCELA M40-M41
28050 MADRID
ES</t>
  </si>
  <si>
    <t>371-200093</t>
  </si>
  <si>
    <t>VIDAL LEONDIESEL, S.L.</t>
  </si>
  <si>
    <t>CALLE L2, PARCELA M40-M41
24391 RIBASECA
ES</t>
  </si>
  <si>
    <t>371-200094</t>
  </si>
  <si>
    <t>ALCAMAR, S.A.</t>
  </si>
  <si>
    <t>POLIGONO IND.LOS MADRO?OS, 14-16
28864 AJALVIR
ES</t>
  </si>
  <si>
    <t>371-200095</t>
  </si>
  <si>
    <t>GEOTECNIA Y CIMIENTOS, S.A.</t>
  </si>
  <si>
    <t>C/LOS LLANOS DEL JEREZ, 20
28823 COSLADA
ES</t>
  </si>
  <si>
    <t>371-200096</t>
  </si>
  <si>
    <t>FELIPE DE MARCO, S.A.</t>
  </si>
  <si>
    <t>LA SOLANA, 45
28850 TORREJON DE ARDOZ
ES</t>
  </si>
  <si>
    <t>371-200097</t>
  </si>
  <si>
    <t>SERV.CERTIFICACION REGISTRADORES</t>
  </si>
  <si>
    <t>PRINCIPE DE VERGARA, 72
28006 MADRID
ES</t>
  </si>
  <si>
    <t>371-200098</t>
  </si>
  <si>
    <t>P.SALVADOR ROMERO, S.L.U.</t>
  </si>
  <si>
    <t>SANTA ISABEL, 50
28012 MADRID
ES</t>
  </si>
  <si>
    <t>371-200099</t>
  </si>
  <si>
    <t>EL PILAR AGUILAR, S.L.</t>
  </si>
  <si>
    <t>COMERCIO, 11
34800 AGUILAR DE CAMPOO
ES</t>
  </si>
  <si>
    <t>371-200100</t>
  </si>
  <si>
    <t>DISNAMAIR, S.A.</t>
  </si>
  <si>
    <t>JOSE PICON, 18
28028 MADRID
ES</t>
  </si>
  <si>
    <t>371-200101</t>
  </si>
  <si>
    <t>MEDIA MARKT, S.A.</t>
  </si>
  <si>
    <t>HUMANES, 11
28805 ALCALA DE HENARES
ES</t>
  </si>
  <si>
    <t>371-200102</t>
  </si>
  <si>
    <t>MU?OZ VAZQUEZ ASOCIADOS, S.A.</t>
  </si>
  <si>
    <t>MENENDEZ PELAYO, 41
28009 MADRID
ES</t>
  </si>
  <si>
    <t>371-200103</t>
  </si>
  <si>
    <t>MUTUA MADRILE?A</t>
  </si>
  <si>
    <t>PS/ DE LA CASTELLANA, 33
28046 MADRID
ES</t>
  </si>
  <si>
    <t>371-200104</t>
  </si>
  <si>
    <t>COSERSA, S.A.</t>
  </si>
  <si>
    <t>BRONCE, 23
28500 ARGANDA DEL REY
ES</t>
  </si>
  <si>
    <t>371-200105</t>
  </si>
  <si>
    <t>CASA DE BRICOLAGE, S.L.</t>
  </si>
  <si>
    <t>AVENIDA DE AJALVIR, 3
28806 ALCALA DE HENARES
ES</t>
  </si>
  <si>
    <t>371-200106</t>
  </si>
  <si>
    <t>SAGE SP, S.L.U.</t>
  </si>
  <si>
    <t>MENDEZ ALVARO, 44
28034 MADRID
ES</t>
  </si>
  <si>
    <t>371-200107</t>
  </si>
  <si>
    <t>REPSOL COM.PROD.PETROLIFEROS, S.A.</t>
  </si>
  <si>
    <t>MENDEZ ALVARO, 44
28045 MADRID
ES</t>
  </si>
  <si>
    <t>371-200108</t>
  </si>
  <si>
    <t>EDICIONES DUSTO, S.A.</t>
  </si>
  <si>
    <t>CARDENAL GARDOQUI, 1; 7? PLANTA
48008 BILBAO
ES</t>
  </si>
  <si>
    <t>371-200109</t>
  </si>
  <si>
    <t>MUZARAKE EVENTOS, S.L.</t>
  </si>
  <si>
    <t>C/ARGENTINA, 2; NAVE 9-A
28806 ALCALA DE HENARES
ES</t>
  </si>
  <si>
    <t>371-200110</t>
  </si>
  <si>
    <t>CABELLO SANZ, MANUEL</t>
  </si>
  <si>
    <t>JULIO PALACIOS, 49
28029 MADRID
ES</t>
  </si>
  <si>
    <t>371-200111</t>
  </si>
  <si>
    <t>MONTERO ALQUILER, S.A.</t>
  </si>
  <si>
    <t>CALLE I, PARCELA 1.4.2.CB
48500 ABANTO Y CIERVANA
ES</t>
  </si>
  <si>
    <t>371-200112</t>
  </si>
  <si>
    <t>AIMPLAS</t>
  </si>
  <si>
    <t>GUSTAVE EIFFEL, 4; APDO.CORREOS 51
46980 PATERNA
ES</t>
  </si>
  <si>
    <t>371-200113</t>
  </si>
  <si>
    <t>AENOR</t>
  </si>
  <si>
    <t>GENOVA, 6
28004 MADRID
ES</t>
  </si>
  <si>
    <t>371-200114</t>
  </si>
  <si>
    <t>CEM FORMACION NORMATIVA, S.L.</t>
  </si>
  <si>
    <t>ALFAREROS, 2; 2-B
28816 CAMARMA DE ESTERUELA
ES</t>
  </si>
  <si>
    <t>371-200115</t>
  </si>
  <si>
    <t>AXESOR CONOCER PARA DECIDIR, S.A.</t>
  </si>
  <si>
    <t>GRAHAM BELL, S/N
18100 ARMILLA
ES</t>
  </si>
  <si>
    <t>371-200116</t>
  </si>
  <si>
    <t>C.C.CARREFUR, S.A.</t>
  </si>
  <si>
    <t>CAMPEZO, 16
28022 MADRID
ES</t>
  </si>
  <si>
    <t>371-200117</t>
  </si>
  <si>
    <t>NEURTEK, S.A.</t>
  </si>
  <si>
    <t>POL.IND.AZITAIN, PARCELA 3A
20600 EIBAR
ES</t>
  </si>
  <si>
    <t>371-200118</t>
  </si>
  <si>
    <t>INSTITUTO SUPERIOR DE MEDIOAMBIENTE, S.L.</t>
  </si>
  <si>
    <t>VELAZQUEZ, 140
28006 MADRID
ES</t>
  </si>
  <si>
    <t>371-200119</t>
  </si>
  <si>
    <t>CHAMARTIN ABOGADOS, S.L.P.</t>
  </si>
  <si>
    <t>ENRIQUE JARDIEL PONCELA, 6
28016 MADRID
ES</t>
  </si>
  <si>
    <t>371-200120</t>
  </si>
  <si>
    <t>HBF AUTORENTING, S.A.</t>
  </si>
  <si>
    <t>COSTA BRAVA, 10
28034 MADRID
ES</t>
  </si>
  <si>
    <t>371-200121</t>
  </si>
  <si>
    <t>PCE IBERICA, S.L.</t>
  </si>
  <si>
    <t>C/MAYOR, 53
02500 TOBARRA
ES</t>
  </si>
  <si>
    <t>371-200122</t>
  </si>
  <si>
    <t>JULIO MARTINEZ NAYA, S.A.</t>
  </si>
  <si>
    <t>ISLAS BALEARES, 46-A
46988 PATERNA
ES</t>
  </si>
  <si>
    <t>371-200123</t>
  </si>
  <si>
    <t>ANCEMA PUBLICIDAD, S.L.</t>
  </si>
  <si>
    <t>BATALLA DEL SALADO, 34
28045 MADRID
ES</t>
  </si>
  <si>
    <t>371-200124</t>
  </si>
  <si>
    <t>BLAPE RENTA, S.L.</t>
  </si>
  <si>
    <t>AVENIDA GIJON, 16
47009 VALLADOLID
ES</t>
  </si>
  <si>
    <t>371-200125</t>
  </si>
  <si>
    <t>E.U.C. SECTOR 101 LA GARENA</t>
  </si>
  <si>
    <t>RAMON Y CAJAL, 7; 2-D
28801 ALCALA DE HENARES
ES</t>
  </si>
  <si>
    <t>371-200126</t>
  </si>
  <si>
    <t>T.C.C., S.L.</t>
  </si>
  <si>
    <t>LUIS VIVES, 13-15
28946 FUENLABRADA
ES</t>
  </si>
  <si>
    <t>371-200127</t>
  </si>
  <si>
    <t>JOSE ANTONIO LA ROSA REY</t>
  </si>
  <si>
    <t>BUDAPEST, 19; 1-D
28850 TORREJON DE ARDOZ
ES</t>
  </si>
  <si>
    <t>371-200128</t>
  </si>
  <si>
    <t>ESTACION DE SERVICIO SANTILLANA II, S.L.</t>
  </si>
  <si>
    <t>CARRETERA LOECHES, KM.1100
28850 TORREJON DE ARDOZ
ES</t>
  </si>
  <si>
    <t>371-200129</t>
  </si>
  <si>
    <t>ACHILLES SOUTH EUROPE, S.L.</t>
  </si>
  <si>
    <t>PLAZA CARLOS TRIAS BERTRAN, 7
28020 MADRID
ES</t>
  </si>
  <si>
    <t>371-200130</t>
  </si>
  <si>
    <t>BUILD 2 EDIFICA COMERCIAL, S.A.U.</t>
  </si>
  <si>
    <t>ANABEL SEGURA,7; PLANTA 1
28108 ALCOBENDAS
ES</t>
  </si>
  <si>
    <t>371-200131</t>
  </si>
  <si>
    <t>ENDESA ENERGIA, S.A.U.</t>
  </si>
  <si>
    <t>RIBERA DEL LOIRA, 60
24042 MADRID
ES</t>
  </si>
  <si>
    <t>371-200132</t>
  </si>
  <si>
    <t>CEPSA COMERCIAL PETROLEO, S.A.U.</t>
  </si>
  <si>
    <t>PASEO DE LA CASTELLANA, 259
28046 MADRID
ES</t>
  </si>
  <si>
    <t>371-200133</t>
  </si>
  <si>
    <t>LOPEZ CARCELLER, S.L.</t>
  </si>
  <si>
    <t>SAUCE, 34
28850 TORREJON DE ARDOZ
ES</t>
  </si>
  <si>
    <t>371-200134</t>
  </si>
  <si>
    <t>ADQUIRA ESPA?A, S.A.</t>
  </si>
  <si>
    <t>GOYA, 4 - 4?
28001 MADRID
ES</t>
  </si>
  <si>
    <t>371-200135</t>
  </si>
  <si>
    <t>REG.MERCANTILES DE MADRID, C.B</t>
  </si>
  <si>
    <t>PASEO DE LA CASTELLANA, 44
28046 MADRID
ES</t>
  </si>
  <si>
    <t>371-200136</t>
  </si>
  <si>
    <t>FERNANDO SALGUERO MART?N</t>
  </si>
  <si>
    <t>LAS YUCAS, 10
28950 MORALEJA DE ENMEDIO
ES</t>
  </si>
  <si>
    <t>371-200137</t>
  </si>
  <si>
    <t>PABLO BENITO MARTIN</t>
  </si>
  <si>
    <t>SALVADOR DE MADARIAGA, 20
28805 ALCALA DE HENARES
ES</t>
  </si>
  <si>
    <t>371-200138</t>
  </si>
  <si>
    <t>GOMEZ OVIEDO, S.L.</t>
  </si>
  <si>
    <t>CALDERON DE LA BARCA, 24
33012 OVIEDO
ES</t>
  </si>
  <si>
    <t>371-200139</t>
  </si>
  <si>
    <t>MUNDIESPA?A, S.A.</t>
  </si>
  <si>
    <t>AVENIDA GENERAL PERON, 23
28020 MADRID
ES</t>
  </si>
  <si>
    <t>371-200140</t>
  </si>
  <si>
    <t>ASESORES TITULADOS, S.A.</t>
  </si>
  <si>
    <t>TROPICO, 6; EDIF.ATISA
28850 TORREJON DE ARDOZ
ES</t>
  </si>
  <si>
    <t>371-200141</t>
  </si>
  <si>
    <t>COSMIN FLORIN PUTINEANU</t>
  </si>
  <si>
    <t>PLAZA SAN PEDRO Y SAN PABLO, 1; 3-D
28820 COSLADA
ES</t>
  </si>
  <si>
    <t>371-200142</t>
  </si>
  <si>
    <t>DEYMETECMA, S.L.U.</t>
  </si>
  <si>
    <t>ARGANDA, 48
28890 LOECHES
ES</t>
  </si>
  <si>
    <t>371-200143</t>
  </si>
  <si>
    <t>AGUAS DE ALCALA UTE</t>
  </si>
  <si>
    <t>VIA COMPLUTENSE, 23
28807 ALCALA DE HENARES
ES</t>
  </si>
  <si>
    <t>371-200144</t>
  </si>
  <si>
    <t>RETINEO INGENIERIA, S.L.</t>
  </si>
  <si>
    <t>GUZMAN EL BUENO, 133
28003 MADRID
ES</t>
  </si>
  <si>
    <t>371-200145</t>
  </si>
  <si>
    <t>ECOTISA UNA TINTA DE IMPRESI?N, S.L.U.</t>
  </si>
  <si>
    <t>VERTICAL, 3
37186 GARBAJOSA DE LA SAGRADA
ES</t>
  </si>
  <si>
    <t>371-200146</t>
  </si>
  <si>
    <t>TDN, S.A.U.</t>
  </si>
  <si>
    <t>AVENIDA DE EUROPA, 2
28821 COSLADA
ES</t>
  </si>
  <si>
    <t>371-200147</t>
  </si>
  <si>
    <t>BSI GROUP IBERIA, S.A.U.</t>
  </si>
  <si>
    <t>JUAN ESPLANDI?, 15
28007 MADRID
ES</t>
  </si>
  <si>
    <t>371-200148</t>
  </si>
  <si>
    <t>ASOCIACION DE EMPRESARIOS DEL HENARES</t>
  </si>
  <si>
    <t>AV.JUAN CARLOS I, 13; PLANTA 10
28806 ALCALA DE HENARES
ES</t>
  </si>
  <si>
    <t>371-200149</t>
  </si>
  <si>
    <t>MASTER CUM LAUDE, S.L.</t>
  </si>
  <si>
    <t>MARIE CURIE, 9-5
29590 CAMPANILLAS
ES</t>
  </si>
  <si>
    <t>371-200150</t>
  </si>
  <si>
    <t>NEW SERVICE CARS, S.L.</t>
  </si>
  <si>
    <t>CARRTEREA DE FUENCARRAL, 68
28108 ALCOBENDAS
ES</t>
  </si>
  <si>
    <t>371-200151</t>
  </si>
  <si>
    <t>RECICLAJES RAUDO, S.L.</t>
  </si>
  <si>
    <t>ORFEBRERIA, 8
28850 TORREJON DE ARDOZ
ES</t>
  </si>
  <si>
    <t>371-200152</t>
  </si>
  <si>
    <t>GAM CENTRO ALQUILER DE MAQUINARIA, S.L.</t>
  </si>
  <si>
    <t>P.I. LAS CASTELLANAS - 35
28830 SAN FERNANDO HENARES
ES</t>
  </si>
  <si>
    <t>371-200153</t>
  </si>
  <si>
    <t>LEROY MERLIN ESPA?A, S.L.U.</t>
  </si>
  <si>
    <t>AVENIDA DE LA VEGA, 2
28108 ALCOBENDAS
ES</t>
  </si>
  <si>
    <t>371-200154</t>
  </si>
  <si>
    <t>PORTERO TRANSPORTES Y DISTRIBUCION, S.L.</t>
  </si>
  <si>
    <t>ROMA, 9
28813 TORRES DE LA ALAMEDA
ES</t>
  </si>
  <si>
    <t>371-200155</t>
  </si>
  <si>
    <t>CRUZADO ESCUDERO, S.L.</t>
  </si>
  <si>
    <t>CAMINO DE CAMPOALBILLO, S/N
28160 TALAMANCA DEL JARAMA
ES</t>
  </si>
  <si>
    <t>371-200156</t>
  </si>
  <si>
    <t>ARDOZ LOGISTICA, S.L.</t>
  </si>
  <si>
    <t>POZO DE LAS NIEVES, 9
28850 TORREJON DE ARDOZ
ES</t>
  </si>
  <si>
    <t>371-200157</t>
  </si>
  <si>
    <t>EXCLUSIVAS DE MAQUINARIA Y EQUIPOS, S.L.</t>
  </si>
  <si>
    <t>POL.IND.RIA?O III
33920 LANGREO
ES</t>
  </si>
  <si>
    <t>371-200158</t>
  </si>
  <si>
    <t>SOLIDTECNIC 2002, S.L.</t>
  </si>
  <si>
    <t>METAL, 5 P.I.ALTO DEL PRADILLO
45216 CARRANQUE
ES</t>
  </si>
  <si>
    <t>371-200159</t>
  </si>
  <si>
    <t>CORTECON, S.L.</t>
  </si>
  <si>
    <t>ALMANSA, 62
28039 MADRID
ES</t>
  </si>
  <si>
    <t>371-200160</t>
  </si>
  <si>
    <t>EUGENIA CABRAL GARCIA (CONST.DEMO 1)</t>
  </si>
  <si>
    <t>CRR/LA CORU?A, KM.22,500
28230 LAS ROZAS
ES</t>
  </si>
  <si>
    <t>371-200161</t>
  </si>
  <si>
    <t>TRANSAB, S.L.</t>
  </si>
  <si>
    <t>CRR/DE LA ESTACION, KM.1
06500 SAN VICENTE DE ALCANTARA
ES</t>
  </si>
  <si>
    <t>371-200162</t>
  </si>
  <si>
    <t>GOOGLE IRELAND, LTD</t>
  </si>
  <si>
    <t>GORDON HOUSE, 4
BARROW STREET
IE</t>
  </si>
  <si>
    <t>371-200163</t>
  </si>
  <si>
    <t>MADRINELCO, S.L.</t>
  </si>
  <si>
    <t>CIUDAD DE FRIAS, 11-113
28021 MADRID
ES</t>
  </si>
  <si>
    <t>371-200164</t>
  </si>
  <si>
    <t>PENINSULAR EXPRESS 24 HORAS, S.L.</t>
  </si>
  <si>
    <t>FRANCISCO MEDINA Y MENDOZA, 13
19171 CABANILLAS DEL CAMPO
ES</t>
  </si>
  <si>
    <t>371-200165</t>
  </si>
  <si>
    <t>TRUSTY, YOUR SPANISH PARTNER, S.L.</t>
  </si>
  <si>
    <t>PERU, 7
28971 GRI?ON
ES</t>
  </si>
  <si>
    <t>371-200166</t>
  </si>
  <si>
    <t>SERVICIOS INTEGRALES IMAI, S.L.</t>
  </si>
  <si>
    <t>TRAVESIA DE LA CA?ADA, 4; 2-D
28850 TORREJON DE ARDOZ
ES</t>
  </si>
  <si>
    <t>371-200167</t>
  </si>
  <si>
    <t>M? SONIA VALLEJO NU?EZ</t>
  </si>
  <si>
    <t>SILICIO, 30
28850 TORREJON DE ARDOZ
ES</t>
  </si>
  <si>
    <t>371-200168</t>
  </si>
  <si>
    <t>SOCIEDAD DE TASACION, S.A.</t>
  </si>
  <si>
    <t>PRINCIPE DE VERGARA, 43
28001 MADRID
ES</t>
  </si>
  <si>
    <t>371-200169</t>
  </si>
  <si>
    <t>API MOVILIDAD, S.A.</t>
  </si>
  <si>
    <t>AVENIDA DE MANOTERAS, 26
28050 MADRID
ES</t>
  </si>
  <si>
    <t>371-200170</t>
  </si>
  <si>
    <t>REDEPAR SOLUCIONES, S.L.L.</t>
  </si>
  <si>
    <t>AVENIDA DEL LEGUARIO, 49; PLANTA 1
28980 PARLA
ES</t>
  </si>
  <si>
    <t>371-200171</t>
  </si>
  <si>
    <t>FIRST STOP SOUTHWEST, S.A.U.</t>
  </si>
  <si>
    <t>ISLA GRACIOSA, 3; PLANTA 1
28703 SAN SEBASTIAN LOS REYES
ES</t>
  </si>
  <si>
    <t>371-200172</t>
  </si>
  <si>
    <t>L.PARDO E HIJOS, S.L.</t>
  </si>
  <si>
    <t>AVENIDA DAGANZO, 12
28806 ALCALA DE HENARES
ES</t>
  </si>
  <si>
    <t>371-200173</t>
  </si>
  <si>
    <t>VICTORIA ALVAREZ SERRANO (RUTA-5)</t>
  </si>
  <si>
    <t>SIMON HERNANDEZ, 63
28936 MOSTOLES
ES</t>
  </si>
  <si>
    <t>371-200174</t>
  </si>
  <si>
    <t>RECICLAJES ECOLOGICOS DEL HENAres, s.l.</t>
  </si>
  <si>
    <t>ALFEREZ VERDA, 10
19171 CABANILLA DEL CAMPO
ES</t>
  </si>
  <si>
    <t>371-200175</t>
  </si>
  <si>
    <t>LIHSA HOTELES, S.A.</t>
  </si>
  <si>
    <t>CAPITAN ARENA, 20
08034 BARCELONA
ES</t>
  </si>
  <si>
    <t>371-200176</t>
  </si>
  <si>
    <t>SUPERMERCADOS CHAMPION, S.A.</t>
  </si>
  <si>
    <t>CARRETERA N-I, KM.14,500
28108 ALCOBENDAS
ES</t>
  </si>
  <si>
    <t>371-200177</t>
  </si>
  <si>
    <t>CENTRO MEDICO SIGLO XXI, S.L.</t>
  </si>
  <si>
    <t>LA FRAGUA, 1
28933 MOSTOLES
ES</t>
  </si>
  <si>
    <t>371-200178</t>
  </si>
  <si>
    <t>RAE SPAIN, S.L.</t>
  </si>
  <si>
    <t>AVENIDA REMOLAR, 31
08820 EL PRAT DE LLOBREGAT
ES</t>
  </si>
  <si>
    <t>371-200179</t>
  </si>
  <si>
    <t>GESYCAL ANDALUCIA, S.L.</t>
  </si>
  <si>
    <t>PADRE SANTAELLA, 19
04004 ALMERIA
ES</t>
  </si>
  <si>
    <t>371-200180</t>
  </si>
  <si>
    <t>SASKIA YIRINA VALDES</t>
  </si>
  <si>
    <t>PASEO DE LA DEMOCRACIA, BLOQUE 9;10
28850 TORREJON DE ARDOZ
ES</t>
  </si>
  <si>
    <t>371-200181</t>
  </si>
  <si>
    <t>CUALTIS, S.L.U.</t>
  </si>
  <si>
    <t>ARGOS, 4-6
28037 MADRID
ES</t>
  </si>
  <si>
    <t>371-200182</t>
  </si>
  <si>
    <t>PROGRESION AUDIOVISUAL, S.L.</t>
  </si>
  <si>
    <t>CENICIENTOS, 5
28925 ALCORCON
ES</t>
  </si>
  <si>
    <t>371-200183</t>
  </si>
  <si>
    <t>GAS NATURAL SERVICIOS SDG, S.A.</t>
  </si>
  <si>
    <t>PLA?A DEL GAS, 1
08003 BARCELONA
ES</t>
  </si>
  <si>
    <t>371-200184</t>
  </si>
  <si>
    <t>ESTRELLA ANDRADES VARELA</t>
  </si>
  <si>
    <t>AVENIDA MADRID, 32; 4-C
28850 TORREJON DE ARDOZ
ES</t>
  </si>
  <si>
    <t>371-200185</t>
  </si>
  <si>
    <t>ENRIQUE MARTIN IGLESIAS (NOTARio)</t>
  </si>
  <si>
    <t>MARQUES DE VALDAVIA, 97
28100 ALCOBENDAS
ES</t>
  </si>
  <si>
    <t>371-200186</t>
  </si>
  <si>
    <t>VERA CHEMICAL CONSULTING, S.L.</t>
  </si>
  <si>
    <t>ALMAGRO, 30; BAJO I
28010 MADRID
ES</t>
  </si>
  <si>
    <t>371-200187</t>
  </si>
  <si>
    <t>FNMT-RCM</t>
  </si>
  <si>
    <t>JORGE JUAN, 106
28009 MADRID
ES</t>
  </si>
  <si>
    <t>371-200188</t>
  </si>
  <si>
    <t>REPUESTOS Y NEUMATICOS ACCESORIOS, S.A.</t>
  </si>
  <si>
    <t>PLAZA PUERTA DEL VADO,1
28801 ALCALA DE HENARES
ES</t>
  </si>
  <si>
    <t>371-200189</t>
  </si>
  <si>
    <t>ISRALVATRANS, S.L.</t>
  </si>
  <si>
    <t>AVENIDA IBIZA, 71
28514 NUEVO BAZTAN
ES</t>
  </si>
  <si>
    <t>371-200190</t>
  </si>
  <si>
    <t>MRES-MTTO y RENOVACION ESTRUCTURAS, S.L.</t>
  </si>
  <si>
    <t>BUENDIA, 11
19005 GUADALAJARA
ES</t>
  </si>
  <si>
    <t>371-200191</t>
  </si>
  <si>
    <t>PAVIMENTOS ORION, S.L.</t>
  </si>
  <si>
    <t>MARMOLISTAS, 23
28890 VELILLA DE SAN ANTONIO
ES</t>
  </si>
  <si>
    <t>371-200192</t>
  </si>
  <si>
    <t>WORLD BEARING, S.L.</t>
  </si>
  <si>
    <t>CA?ADA, 33
28850 TORREJON DE ARDOZ
ES</t>
  </si>
  <si>
    <t>371-200193</t>
  </si>
  <si>
    <t>JOSE HORNILLOS BLASCO (NOTARIO)</t>
  </si>
  <si>
    <t>PESQUERA, 9
28850 TORREJON DE ARDOZ
ES</t>
  </si>
  <si>
    <t>371-200194</t>
  </si>
  <si>
    <t>HANSA-FLEX IBERICA, S.L.</t>
  </si>
  <si>
    <t>ARGENTINA, S/N; NAVE D14
28804 ALCALA DE HENARES
ES</t>
  </si>
  <si>
    <t>371-200195</t>
  </si>
  <si>
    <t>VOLADURAS HNOS.MORENO, S.L.</t>
  </si>
  <si>
    <t>RIO TAJU?A, 20
28640 CADALSO DE LOS VIDRIOS
ES</t>
  </si>
  <si>
    <t>371-200196</t>
  </si>
  <si>
    <t>SILVERIO AGUIRRE CRESPO</t>
  </si>
  <si>
    <t>FUNDADORES, 30
28028 MADRID
ES</t>
  </si>
  <si>
    <t>371-200197</t>
  </si>
  <si>
    <t>AVINTIA PROYECTOS Y CONSTRUCCIONES, S.L.</t>
  </si>
  <si>
    <t>28009 MADRID
ES</t>
  </si>
  <si>
    <t>371-200198</t>
  </si>
  <si>
    <t>MAYOSY EMPRESA DE LIMPIEZA, S.L.</t>
  </si>
  <si>
    <t>FRANCISCO ALONSO, 5 - POL STA ROSA
28806 ALCALA DE HENARES
ES</t>
  </si>
  <si>
    <t>371-200199</t>
  </si>
  <si>
    <t>CONSTRUC.Y TRANSACC.INFORMAT.EN RED, S.L.</t>
  </si>
  <si>
    <t>EBANISTA, 4
28923 ALCORCON
ES</t>
  </si>
  <si>
    <t>371-200200</t>
  </si>
  <si>
    <t>ALQUILER DE MAQUINARIAS SEDANO, S.L.U.</t>
  </si>
  <si>
    <t>ALONSO NU?EZ DE REINOSO, 2A-2B
19002 GUADALAJARA
ES</t>
  </si>
  <si>
    <t>371-200201</t>
  </si>
  <si>
    <t>TRANSPORTES MARTINEZ MARCOS, S.A.</t>
  </si>
  <si>
    <t>CARRETERA NACIONAL 620, KM.117
47009 VALLADOLID
ES</t>
  </si>
  <si>
    <t>371-200202</t>
  </si>
  <si>
    <t>MIGUEL ANGEL LUNA LIMA</t>
  </si>
  <si>
    <t>CRR/COINS-ALHAURIN, KM.2 ; APDO.423
29100 COIN
ES</t>
  </si>
  <si>
    <t>371-200203</t>
  </si>
  <si>
    <t>JOSE MARIA BALDASANO (NOTARIO</t>
  </si>
  <si>
    <t>AV.JUAN CARLOS I, 13; PLANTA 1
28806 ALCALA DE HENARES
ES</t>
  </si>
  <si>
    <t>371-200204</t>
  </si>
  <si>
    <t>GERSIL, S.A.</t>
  </si>
  <si>
    <t>SAN JOSE DE CALASANZ, 13
33600 MIERES
ES</t>
  </si>
  <si>
    <t>371-200205</t>
  </si>
  <si>
    <t>PAUSA GESTION, S.L.</t>
  </si>
  <si>
    <t>JOAQUIN SOROLLA, 5; APARTADO 4
28522 RIVAS-VACIAMADRID
ES</t>
  </si>
  <si>
    <t>371-200206</t>
  </si>
  <si>
    <t>EMANUEL FLAVIUS SUCIU (STEP UP)</t>
  </si>
  <si>
    <t>NAVACERRADA, S/N
28840 MEJORADA DEL CAMPO
ES</t>
  </si>
  <si>
    <t>371-200207</t>
  </si>
  <si>
    <t>ORTEGA-MARTIN ALCALDE NOTARIOS, C.B.</t>
  </si>
  <si>
    <t>MARIANO SEBASTIAN IZUEL, 14
28100 ALCOBENDAS
ES</t>
  </si>
  <si>
    <t>371-200208</t>
  </si>
  <si>
    <t>EUROALKIMAKINAS, S.L.U.</t>
  </si>
  <si>
    <t>CRR/AZUCARERA-INTERHORCE, 110
29004 MALAGA
ES</t>
  </si>
  <si>
    <t>371-200209</t>
  </si>
  <si>
    <t>MAQUINSA ALQUILERES, S.L.</t>
  </si>
  <si>
    <t>ESTEBAN SALAZAR CHAPELA, PORTON 5
28004 MALAGA
ES</t>
  </si>
  <si>
    <t>371-200210</t>
  </si>
  <si>
    <t>E.S.RTE PANEUQE RUIZ, S.L.</t>
  </si>
  <si>
    <t>AUTOVIA MALAGA-GRANADA, KM.7
29313 VILLANUEVA DEL TRABUCO
ES</t>
  </si>
  <si>
    <t>371-200211</t>
  </si>
  <si>
    <t>FERRETERIA JOSE ANTONIO LUQUE, S.L.</t>
  </si>
  <si>
    <t>POL.IND.GUADALHORCE, C/CIRO ALEGRIA
29004 MALAGA
ES</t>
  </si>
  <si>
    <t>371-200212</t>
  </si>
  <si>
    <t>SUMINISTROS INDUSTRIALES MATALO, S.L.</t>
  </si>
  <si>
    <t>CALLE PARIS, 1
29006 MALAGA
ES</t>
  </si>
  <si>
    <t>371-200213</t>
  </si>
  <si>
    <t>FERRETERIA SANTA ROSALIA, S.L.</t>
  </si>
  <si>
    <t>PORCELANA, 4-6
29590 SANTA ROSALIA
ES</t>
  </si>
  <si>
    <t>371-200214</t>
  </si>
  <si>
    <t>EDING APS, S.L.</t>
  </si>
  <si>
    <t>ANTIGUA SENDA DE SENENT, 6
46023 VALENCIA
ES</t>
  </si>
  <si>
    <t>371-200215</t>
  </si>
  <si>
    <t>BALCOD ASESORES, S.A.</t>
  </si>
  <si>
    <t>VILLANUEVA, 41
28001 MADRID
ES</t>
  </si>
  <si>
    <t>371-200216</t>
  </si>
  <si>
    <t>FERNANDO VADILLO CUADRADO (NOTARIO)</t>
  </si>
  <si>
    <t>GASOMETRO, 1
28005 MADRID
ES</t>
  </si>
  <si>
    <t>AD058F</t>
  </si>
  <si>
    <t>AD060F</t>
  </si>
  <si>
    <t>AD070F</t>
  </si>
  <si>
    <t>AD-320</t>
  </si>
  <si>
    <t>BYK-A 530</t>
  </si>
  <si>
    <t>MPRE019</t>
  </si>
  <si>
    <t>Material</t>
  </si>
  <si>
    <t>ASPDIEN002</t>
  </si>
  <si>
    <t>Asphalt application work</t>
  </si>
  <si>
    <t>AsphaltVerlegearbeit</t>
  </si>
  <si>
    <t>ASPINST001</t>
  </si>
  <si>
    <t>Asphalt Verlegearbeit Installation</t>
  </si>
  <si>
    <t>AsphaltVerlegearbeitInstallation</t>
  </si>
  <si>
    <t>CE-050</t>
  </si>
  <si>
    <t>ELECTROLAND</t>
  </si>
  <si>
    <t>MPMO011</t>
  </si>
  <si>
    <t>CE-060</t>
  </si>
  <si>
    <t>DENKA SC1</t>
  </si>
  <si>
    <t>MPMO025</t>
  </si>
  <si>
    <t>CE-070</t>
  </si>
  <si>
    <t>CEM I 52,5 R</t>
  </si>
  <si>
    <t>MPMO012</t>
  </si>
  <si>
    <t>CE-080</t>
  </si>
  <si>
    <t>CEM I 52,5 N/SR</t>
  </si>
  <si>
    <t>MPMO001</t>
  </si>
  <si>
    <t>CT-670</t>
  </si>
  <si>
    <t>ARADUR 2965CH</t>
  </si>
  <si>
    <t>MPRE017</t>
  </si>
  <si>
    <t>DI006C</t>
  </si>
  <si>
    <t>DI008C</t>
  </si>
  <si>
    <t>DI010C</t>
  </si>
  <si>
    <t>FS-540</t>
  </si>
  <si>
    <t>ARENA SILICE 0,2</t>
  </si>
  <si>
    <t>MPMO027</t>
  </si>
  <si>
    <t>FS-550</t>
  </si>
  <si>
    <t>ARENA SILICE 0,1-0,5</t>
  </si>
  <si>
    <t>MPMO028</t>
  </si>
  <si>
    <t>FS-560</t>
  </si>
  <si>
    <t>ARENA SILICE 0,5-1,0</t>
  </si>
  <si>
    <t>MPMO029</t>
  </si>
  <si>
    <t>FS-570</t>
  </si>
  <si>
    <t>ARENA SILICE 1,0 - 2,0</t>
  </si>
  <si>
    <t>MPMO030</t>
  </si>
  <si>
    <t>FS-580</t>
  </si>
  <si>
    <t>ARENA SILICE 2,0 - 3,0</t>
  </si>
  <si>
    <t>MPMO031</t>
  </si>
  <si>
    <t>FS-590</t>
  </si>
  <si>
    <t>ARENA SILICE 3,0 - 5,0</t>
  </si>
  <si>
    <t>MPMO032</t>
  </si>
  <si>
    <t>FT-680</t>
  </si>
  <si>
    <t>INDULTAC-10</t>
  </si>
  <si>
    <t>MPMO018</t>
  </si>
  <si>
    <t>FT-690</t>
  </si>
  <si>
    <t>BENTONE SD2</t>
  </si>
  <si>
    <t>MPRE106</t>
  </si>
  <si>
    <t>IM080F</t>
  </si>
  <si>
    <t>IM092F</t>
  </si>
  <si>
    <t>Legal - labor</t>
  </si>
  <si>
    <t>Legallabor</t>
  </si>
  <si>
    <t>Legal - other</t>
  </si>
  <si>
    <t>Legalother</t>
  </si>
  <si>
    <t>MA-130</t>
  </si>
  <si>
    <t>ENCOR 5100</t>
  </si>
  <si>
    <t>MPMO026</t>
  </si>
  <si>
    <t>MA-140</t>
  </si>
  <si>
    <t>ORGAL P-803 CM</t>
  </si>
  <si>
    <t>MPRE040</t>
  </si>
  <si>
    <t>Maint - equip</t>
  </si>
  <si>
    <t>Maintequip</t>
  </si>
  <si>
    <t>Maint - facility</t>
  </si>
  <si>
    <t>Maintfacility</t>
  </si>
  <si>
    <t>Maint - office equip</t>
  </si>
  <si>
    <t>Maintofficeequip</t>
  </si>
  <si>
    <t>Maint - vehicles</t>
  </si>
  <si>
    <t>Maintvehicles</t>
  </si>
  <si>
    <t>Materials - freight</t>
  </si>
  <si>
    <t>Materialsfreight</t>
  </si>
  <si>
    <t>Meals &amp; entertainmen</t>
  </si>
  <si>
    <t>Meals&amp;entertainmen</t>
  </si>
  <si>
    <t>MO041F</t>
  </si>
  <si>
    <t>MO042F</t>
  </si>
  <si>
    <t>MO043F</t>
  </si>
  <si>
    <t>MO044F</t>
  </si>
  <si>
    <t>MO045F</t>
  </si>
  <si>
    <t>MO047F</t>
  </si>
  <si>
    <t>MO051F</t>
  </si>
  <si>
    <t>MO075F</t>
  </si>
  <si>
    <t>MO081F</t>
  </si>
  <si>
    <t>MO082F</t>
  </si>
  <si>
    <t>MO083F</t>
  </si>
  <si>
    <t>MO084F</t>
  </si>
  <si>
    <t>MO100F</t>
  </si>
  <si>
    <t>MO110F</t>
  </si>
  <si>
    <t>MPMO002</t>
  </si>
  <si>
    <t>ALUMINATO SÓDICO EN POLVO</t>
  </si>
  <si>
    <t>MPMO003</t>
  </si>
  <si>
    <t>FIBRA DRAMIX</t>
  </si>
  <si>
    <t>MPMO004</t>
  </si>
  <si>
    <t>BORRESPERSE NA 220</t>
  </si>
  <si>
    <t>MPMO005</t>
  </si>
  <si>
    <t>CARBONATO DE LITIO</t>
  </si>
  <si>
    <t>MPMO007</t>
  </si>
  <si>
    <t>ALUMINIO EN POLVO 10890</t>
  </si>
  <si>
    <t>MPMO008</t>
  </si>
  <si>
    <t>FIBERCAST 500 19 mm</t>
  </si>
  <si>
    <t>MPMO009</t>
  </si>
  <si>
    <t>CARBONATO SÓDICO LIGERO</t>
  </si>
  <si>
    <t>MPMO016</t>
  </si>
  <si>
    <t>VINNAPAS 8031</t>
  </si>
  <si>
    <t>MPMO017</t>
  </si>
  <si>
    <t>ACIDO TARTARICO</t>
  </si>
  <si>
    <t>MPMO024</t>
  </si>
  <si>
    <t>NEUFLEX 4 mm</t>
  </si>
  <si>
    <t>MPRE032</t>
  </si>
  <si>
    <t>MPRE073</t>
  </si>
  <si>
    <t>XILENO</t>
  </si>
  <si>
    <t>MPRE077</t>
  </si>
  <si>
    <t>RALVADUR MATE</t>
  </si>
  <si>
    <t>PG-461</t>
  </si>
  <si>
    <t>OXINED BLANCO</t>
  </si>
  <si>
    <t>MPRE057</t>
  </si>
  <si>
    <t>PG-470</t>
  </si>
  <si>
    <t>BAYFERROX NEGRO 320</t>
  </si>
  <si>
    <t>MPMO019</t>
  </si>
  <si>
    <t>Phone - office</t>
  </si>
  <si>
    <t>Phoneoffice</t>
  </si>
  <si>
    <t>PI010C</t>
  </si>
  <si>
    <t>TECNOPINT</t>
  </si>
  <si>
    <t>Postage</t>
  </si>
  <si>
    <t>Prof svc - audit</t>
  </si>
  <si>
    <t>Profsvcaudit</t>
  </si>
  <si>
    <t>Prof svc - emp agent</t>
  </si>
  <si>
    <t>Profsvcempagent</t>
  </si>
  <si>
    <t>Prof svc - other</t>
  </si>
  <si>
    <t>Profsvcother</t>
  </si>
  <si>
    <t>Prof svc - prod test</t>
  </si>
  <si>
    <t>Profsvcprodtest</t>
  </si>
  <si>
    <t>Prof svc - tax</t>
  </si>
  <si>
    <t>Profsvctax</t>
  </si>
  <si>
    <t>RE010F</t>
  </si>
  <si>
    <t>RE020F</t>
  </si>
  <si>
    <t>RE030F</t>
  </si>
  <si>
    <t>RE031F</t>
  </si>
  <si>
    <t>RE040F</t>
  </si>
  <si>
    <t>RE050C</t>
  </si>
  <si>
    <t>RE060C</t>
  </si>
  <si>
    <t>RE061C</t>
  </si>
  <si>
    <t>RE070F</t>
  </si>
  <si>
    <t>RE080F</t>
  </si>
  <si>
    <t>RE100F</t>
  </si>
  <si>
    <t>RE230F</t>
  </si>
  <si>
    <t>RE231F</t>
  </si>
  <si>
    <t>RE232F</t>
  </si>
  <si>
    <t>RE260F</t>
  </si>
  <si>
    <t>RE-290</t>
  </si>
  <si>
    <t>ARALDITE GY 257</t>
  </si>
  <si>
    <t>MPRE015</t>
  </si>
  <si>
    <t>RE-300</t>
  </si>
  <si>
    <t>ARALDITE GY 250</t>
  </si>
  <si>
    <t>MPRE016</t>
  </si>
  <si>
    <t>RE306F</t>
  </si>
  <si>
    <t>RE314F</t>
  </si>
  <si>
    <t>RE318F</t>
  </si>
  <si>
    <t>RE350F</t>
  </si>
  <si>
    <t>Relocation - emp</t>
  </si>
  <si>
    <t>Relocationemp</t>
  </si>
  <si>
    <t>Rent</t>
  </si>
  <si>
    <t>Services - janitoria</t>
  </si>
  <si>
    <t>Servicesjanitoria</t>
  </si>
  <si>
    <t>Services - other</t>
  </si>
  <si>
    <t>Servicesother</t>
  </si>
  <si>
    <t>Services - security</t>
  </si>
  <si>
    <t>Servicessecurity</t>
  </si>
  <si>
    <t>SF-150</t>
  </si>
  <si>
    <t>BYK-P 104</t>
  </si>
  <si>
    <t>MPRE020</t>
  </si>
  <si>
    <t>SF-160</t>
  </si>
  <si>
    <t>ANTITERRA-U</t>
  </si>
  <si>
    <t>MPRE021</t>
  </si>
  <si>
    <t>SPMO001</t>
  </si>
  <si>
    <t>ADITIVO T-1</t>
  </si>
  <si>
    <t>SPMO002</t>
  </si>
  <si>
    <t>ADITIVO T-2</t>
  </si>
  <si>
    <t>SPMO003</t>
  </si>
  <si>
    <t>ADITIVO T-3</t>
  </si>
  <si>
    <t>SPMO006</t>
  </si>
  <si>
    <t>ADITIVO T-6</t>
  </si>
  <si>
    <t>SPMO008</t>
  </si>
  <si>
    <t>ADITIVO T-8</t>
  </si>
  <si>
    <t>SS-240</t>
  </si>
  <si>
    <t>FLUBE OS 139</t>
  </si>
  <si>
    <t>MPMO010</t>
  </si>
  <si>
    <t>SS-250</t>
  </si>
  <si>
    <t>MELMENT F-10</t>
  </si>
  <si>
    <t>MPMO023</t>
  </si>
  <si>
    <t>Subscript - emp ads</t>
  </si>
  <si>
    <t>Subscriptempads</t>
  </si>
  <si>
    <t>SV-300</t>
  </si>
  <si>
    <t>ALCOHOL BENCILICO</t>
  </si>
  <si>
    <t>MPRE046</t>
  </si>
  <si>
    <t>SV-390</t>
  </si>
  <si>
    <t>TOLUENO</t>
  </si>
  <si>
    <t>MPRE072</t>
  </si>
  <si>
    <t>Taxes - property</t>
  </si>
  <si>
    <t>Taxesproperty</t>
  </si>
  <si>
    <t>Taxes - WH RSU</t>
  </si>
  <si>
    <t>Taxes - Withheld on RSU
charges to Home Office (US)</t>
  </si>
  <si>
    <t>TaxesWithheldonRSU
chargestoHomeOffice(US)</t>
  </si>
  <si>
    <t>Tooling - maint</t>
  </si>
  <si>
    <t>Toolingmaint</t>
  </si>
  <si>
    <t>Tooling - new</t>
  </si>
  <si>
    <t>Toolingnew</t>
  </si>
  <si>
    <t>TP-340</t>
  </si>
  <si>
    <t>TYLOSE MH 15003 P6</t>
  </si>
  <si>
    <t>MPMO013</t>
  </si>
  <si>
    <t>Trade - booth</t>
  </si>
  <si>
    <t>Tradebooth</t>
  </si>
  <si>
    <t>Trade - other</t>
  </si>
  <si>
    <t>Tradeother</t>
  </si>
  <si>
    <t>Travel</t>
  </si>
  <si>
    <t>TS-440</t>
  </si>
  <si>
    <t>MICRONIZADO G-100</t>
  </si>
  <si>
    <t>MPMO033</t>
  </si>
  <si>
    <t>Utilities - electric</t>
  </si>
  <si>
    <t>Utilitieselectric</t>
  </si>
  <si>
    <t>Utilities - gas</t>
  </si>
  <si>
    <t>Utilitiesgas</t>
  </si>
  <si>
    <t>Utilitites - water</t>
  </si>
  <si>
    <t>Utilititeswater</t>
  </si>
  <si>
    <t>VEDI670001</t>
  </si>
  <si>
    <t>Interest on I/C loan</t>
  </si>
  <si>
    <t>InterestonICloan</t>
  </si>
  <si>
    <t>ItemRed</t>
  </si>
  <si>
    <t>VERDIE0624</t>
  </si>
  <si>
    <t>Misc. Charges - Admin</t>
  </si>
  <si>
    <t>MiscChargesAdmin</t>
  </si>
  <si>
    <t>VERDIE0630</t>
  </si>
  <si>
    <t>Group &amp; misc. charges Below - Admin</t>
  </si>
  <si>
    <t>Group &amp; misc charges Below Admin</t>
  </si>
  <si>
    <t>VERDIE0631</t>
  </si>
  <si>
    <t>Group Charges – Tpp</t>
  </si>
  <si>
    <t>VERDIE0642</t>
  </si>
  <si>
    <t>Group Charges - IT General</t>
  </si>
  <si>
    <t>Group Charges IT General</t>
  </si>
  <si>
    <t>W/H transfer - frt</t>
  </si>
  <si>
    <t>WHtransferfrt</t>
  </si>
  <si>
    <t>Warehousing</t>
  </si>
  <si>
    <t>Waste Disposal</t>
  </si>
  <si>
    <t>WasteDisposal</t>
  </si>
  <si>
    <t>371-000001</t>
  </si>
  <si>
    <t>ES Export</t>
  </si>
  <si>
    <t>371-000002</t>
  </si>
  <si>
    <t>ES Exp 3C</t>
  </si>
  <si>
    <t>371-000003</t>
  </si>
  <si>
    <t>371-000004</t>
  </si>
  <si>
    <t>371-000005</t>
  </si>
  <si>
    <t>371-000006</t>
  </si>
  <si>
    <t>371-000007</t>
  </si>
  <si>
    <t>Hedegaardsvej 11
8300  Odder
DK</t>
  </si>
  <si>
    <t>371-000008</t>
  </si>
  <si>
    <t>Clever Reinforcement Ib¨¦rica Lda</t>
  </si>
  <si>
    <t>Rua de Portugal No. 20
7350-297 Elvas
PT</t>
  </si>
  <si>
    <t>371-000009</t>
  </si>
  <si>
    <t>Simpson Strong-Tie Manufacturing Inc.</t>
  </si>
  <si>
    <t>5956 W.Las Positas Blvd.
Pleasanton, CA 94588
US</t>
  </si>
  <si>
    <t>371-000010</t>
  </si>
  <si>
    <t>Simpson Strong-Tie A/S</t>
  </si>
  <si>
    <t>Z.A.C. des Quatre Chemins
85400 Sainte-Gemme-la-Plaine
AT</t>
  </si>
  <si>
    <t>371-000011</t>
  </si>
  <si>
    <t>BETECNIA VENEZOLANA</t>
  </si>
  <si>
    <t>AV.LIBERTADOR, MULTICENTRO EMPRESARIAL
Three Rivers, MA 01080
US</t>
  </si>
  <si>
    <t>371-000012</t>
  </si>
  <si>
    <t>CONSTRUCCIONES REINOSA, S.A.</t>
  </si>
  <si>
    <t>VIA COMPLUTENSE, S/N.
28805 El Encin
ES</t>
  </si>
  <si>
    <t>ES Sales</t>
  </si>
  <si>
    <t>371-000013</t>
  </si>
  <si>
    <t>DETECSA</t>
  </si>
  <si>
    <t>MARIE CURIE, 5
28529 Rivas-Vaciamadrid
ES</t>
  </si>
  <si>
    <t>371-000014</t>
  </si>
  <si>
    <t>PACADAR, S.A.</t>
  </si>
  <si>
    <t>PASEO DE LA CASTELLANA, 256-D
28046 Madrid
ES</t>
  </si>
  <si>
    <t>371-000015</t>
  </si>
  <si>
    <t>LOS LLANOS DEL JEREZ ,20
28823 Coslada
ES</t>
  </si>
  <si>
    <t>371-000016</t>
  </si>
  <si>
    <t>OBRASCON-HUARTE-LAIN, S.A.</t>
  </si>
  <si>
    <t>PASEO DE LA CASTELLANA, 259-D
28040 Madrid
ES</t>
  </si>
  <si>
    <t>371-000017</t>
  </si>
  <si>
    <t>DRAGADOS, S.A.</t>
  </si>
  <si>
    <t>AV/DEL CAMINO DE SANTIAGO, 50
28050 Madrid
ES</t>
  </si>
  <si>
    <t>371-000018</t>
  </si>
  <si>
    <t>DRAGADOS OBRAS Y PROYECTOS, S.A.</t>
  </si>
  <si>
    <t>AV/DE TENERIFE, 4-6
28700 San Sebastian De Los Reyes
ES</t>
  </si>
  <si>
    <t>371-000019</t>
  </si>
  <si>
    <t>FERROVIAL - AGROMAN, S.A.</t>
  </si>
  <si>
    <t>AV/PARTENON, N? 4
28042 Madrid
ES</t>
  </si>
  <si>
    <t>371-000020</t>
  </si>
  <si>
    <t>ACCIONA INFRAESTRUCTURAS, S.A.</t>
  </si>
  <si>
    <t>AV/DE EUROPA,18
28100 Alcobendas
ES</t>
  </si>
  <si>
    <t>371-000021</t>
  </si>
  <si>
    <t>CONSTRUCCIONES TRES CASTILLOS, S.A.</t>
  </si>
  <si>
    <t>AV/ESPA?A, 38
24400 Ponferrada
ES</t>
  </si>
  <si>
    <t>371-000022</t>
  </si>
  <si>
    <t>GEOPSA</t>
  </si>
  <si>
    <t>PICO ALMANZOR, 29
28500 La Poveda
ES</t>
  </si>
  <si>
    <t>371-000023</t>
  </si>
  <si>
    <t>S.G.S.TECNOS, S.A.</t>
  </si>
  <si>
    <t>TRESPADERNE, 29
28042 Madrid
ES</t>
  </si>
  <si>
    <t>371-000024</t>
  </si>
  <si>
    <t>TALLERES MARTISEDA, S.L.</t>
  </si>
  <si>
    <t>ORFEBRERIA, 9
28850 Torrejon De Ardoz
ES</t>
  </si>
  <si>
    <t>371-000025</t>
  </si>
  <si>
    <t>ROLDAN, S.A.</t>
  </si>
  <si>
    <t>SANTIAGO DE COMPOSTELA, 100
28035 Madrid
ES</t>
  </si>
  <si>
    <t>371-000026</t>
  </si>
  <si>
    <t>ORTIZ CONSTRUCCIONES Y PROYECTOS, S.A.</t>
  </si>
  <si>
    <t>SANTA MARIA MAGDALENA, 14
28016 Madrid
ES</t>
  </si>
  <si>
    <t>371-000027</t>
  </si>
  <si>
    <t>ESINDUS, S.A.</t>
  </si>
  <si>
    <t>AV/MANOTERAS, 42
28050 Madrid
ES</t>
  </si>
  <si>
    <t>371-000028</t>
  </si>
  <si>
    <t>SERANCO, S.A.</t>
  </si>
  <si>
    <t>RAFAELA BONILLA, 21
28028 Madrid
ES</t>
  </si>
  <si>
    <t>371-000029</t>
  </si>
  <si>
    <t>F.C.C. CONSTRUCCION, S.A.</t>
  </si>
  <si>
    <t>AGUSTIN DE FOXA, 29-8?
28045 Madrid
ES</t>
  </si>
  <si>
    <t>371-000030</t>
  </si>
  <si>
    <t>HOSPITAL UNIVERSITARIO DE GETA</t>
  </si>
  <si>
    <t>CARRETERA TOLEDO, KM. 12,500
28905 Getafe
ES</t>
  </si>
  <si>
    <t>371-000031</t>
  </si>
  <si>
    <t>GOMENDIO CONSTRUCTORES, S.A.U.</t>
  </si>
  <si>
    <t>CALENDULA, 93
28109 Alcobendas
ES</t>
  </si>
  <si>
    <t>371-000032</t>
  </si>
  <si>
    <t>ALMANSA, 62 - 3?B
28039 Madrid
ES</t>
  </si>
  <si>
    <t>371-000033</t>
  </si>
  <si>
    <t>BARROSO NAVA Y CIA, S.A.</t>
  </si>
  <si>
    <t>PASEO DE LA CASTELLANA, 144; 1
28046 Madrid
ES</t>
  </si>
  <si>
    <t>371-000034</t>
  </si>
  <si>
    <t>ESTRUCTURAS M.H.B, S.A.</t>
  </si>
  <si>
    <t>ECHEGARAY, 4
28932 Mostoles
ES</t>
  </si>
  <si>
    <t>371-000035</t>
  </si>
  <si>
    <t>ARCANGELES DES.INMOBILIARIOS,</t>
  </si>
  <si>
    <t>FEDERICO CHUECA, 3 - MODULO L
28806 Alcala De Henares
ES</t>
  </si>
  <si>
    <t>371-000036</t>
  </si>
  <si>
    <t>AISLIMPER OBRAS Y CONSTRUCCIONES, S.A.</t>
  </si>
  <si>
    <t>DEL MIRTO, 1
28029 Madrid
ES</t>
  </si>
  <si>
    <t>371-000037</t>
  </si>
  <si>
    <t>FERROSER INFRAESTRUCTURAS, S.A</t>
  </si>
  <si>
    <t>SERRANO GALVACHE, 56
28033 Madrid
ES</t>
  </si>
  <si>
    <t>371-000038</t>
  </si>
  <si>
    <t>ZIRCOM SERVI?OS E PROJECTOS INDUSTRIALES</t>
  </si>
  <si>
    <t>RUA DO COBALTO, 61
1508
2950-437 Palmela
PT</t>
  </si>
  <si>
    <t>371-000039</t>
  </si>
  <si>
    <t>EUCC URBANIZACION MONTE HUECO</t>
  </si>
  <si>
    <t>AV/DE VALDENEBROS, 7
19227 Taragudo
ES</t>
  </si>
  <si>
    <t>371-000040</t>
  </si>
  <si>
    <t>CICRON CONSTRUCCIONES, S.A.</t>
  </si>
  <si>
    <t>POLIGONO IND. A GRELA-BENS, C/ ERMITA, 3
15008 Martinete, O (Vi?as)
ES</t>
  </si>
  <si>
    <t>371-000041</t>
  </si>
  <si>
    <t>HERCU, S.L.</t>
  </si>
  <si>
    <t>SIETE REVUELTAS, 28
11300 La Linea De La Concepcion
ES</t>
  </si>
  <si>
    <t>371-000042</t>
  </si>
  <si>
    <t>COM.PROP.AV.JUAN XXIII, 16</t>
  </si>
  <si>
    <t>AV/JUAN XXIII, 16
28918 Leganes
ES</t>
  </si>
  <si>
    <t>371-000043</t>
  </si>
  <si>
    <t>CONSTRUC?A, S.L.</t>
  </si>
  <si>
    <t>AMPOSTA, 14-18? PLANTA 4?
08174 Sant Cugat Del Valles
ES</t>
  </si>
  <si>
    <t>371-000044</t>
  </si>
  <si>
    <t>MRES-MANTENIMIENTO Y RENOVACION DE ESTRUCTURAS, S.L.</t>
  </si>
  <si>
    <t>BUENDIA, 11
19005 Guadalajara
ES</t>
  </si>
  <si>
    <t>371-000045</t>
  </si>
  <si>
    <t>OCIDE</t>
  </si>
  <si>
    <t>IBIZA, 21
28009 Madrid
ES</t>
  </si>
  <si>
    <t>371-000046</t>
  </si>
  <si>
    <t>CHM OBRAS E INFRAESTRUCTURAS, S.A.</t>
  </si>
  <si>
    <t>AV/JEAN CLAUDE COMBALDIEU, S/N.
03008 Alicante/Alacant
ES</t>
  </si>
  <si>
    <t>371-000047</t>
  </si>
  <si>
    <t>RAIZ CIMENTACIONES, S.L.</t>
  </si>
  <si>
    <t>SORIA, 48
28864 Ajalvir
ES</t>
  </si>
  <si>
    <t>371-000048</t>
  </si>
  <si>
    <t>UTE INMAES</t>
  </si>
  <si>
    <t>LUIS I, 63
28031 Madrid
ES</t>
  </si>
  <si>
    <t>371-000049</t>
  </si>
  <si>
    <t>EIFFAGE INFRAESTRUCTURAS, S.A.</t>
  </si>
  <si>
    <t>POLIGONO IND. CARRETERA DE LA ISLA
41703 Fuente Del Rey
ES</t>
  </si>
  <si>
    <t>371-000050</t>
  </si>
  <si>
    <t>FATLUM, S.L.</t>
  </si>
  <si>
    <t>VICENTE GALLEGO, 2
28864 Ajalvir
ES</t>
  </si>
  <si>
    <t>371-000051</t>
  </si>
  <si>
    <t>TTES.Y EXCAVACIONES HNOS.GALAN MORENO, S.L.</t>
  </si>
  <si>
    <t>POLIGONO IND.1; CALLE C, 5
28938 Combos, Los (Arroyomolinos)
ES</t>
  </si>
  <si>
    <t>371-000052</t>
  </si>
  <si>
    <t>COM.PROP.ORENSE, 70</t>
  </si>
  <si>
    <t>ORENSE, 70
28020 Madrid
ES</t>
  </si>
  <si>
    <t>371-000053</t>
  </si>
  <si>
    <t>FERROVIAL SERVICIOS, S.A.</t>
  </si>
  <si>
    <t>PRINCIPE DE VERGARA, 135
28002 Madrid
ES</t>
  </si>
  <si>
    <t>371-000054</t>
  </si>
  <si>
    <t>MARACOF, S.L.</t>
  </si>
  <si>
    <t>PERIODISTA FERNANDO GOMEZ DE LA
18014 Granada
ES</t>
  </si>
  <si>
    <t>371-000055</t>
  </si>
  <si>
    <t>GUZMAN EL BUENO, 135
28003 Madrid
ES</t>
  </si>
  <si>
    <t>371-000056</t>
  </si>
  <si>
    <t>ABANTIA-TICSA</t>
  </si>
  <si>
    <t>CASTELLO, 23 - 1?
28001 Madrid
ES</t>
  </si>
  <si>
    <t>371-000057</t>
  </si>
  <si>
    <t>PARADAS RUBBER?S, S.L.</t>
  </si>
  <si>
    <t>HUERTAS, 35 - 1?B
41610 Paradas
ES</t>
  </si>
  <si>
    <t>371-000058</t>
  </si>
  <si>
    <t>LUMAN EDIFICACI?N Y RESTAURACION, S.L.</t>
  </si>
  <si>
    <t>CANTERAS, 15/17 P.I. LOS CA?ALES
28694 Chapineria
ES</t>
  </si>
  <si>
    <t>371-000059</t>
  </si>
  <si>
    <t>BLANCO QUINTAS, S.A.</t>
  </si>
  <si>
    <t>ACCESO PARQUE EMPRESARIAL, N?5
32630 Xinzo De Limia
ES</t>
  </si>
  <si>
    <t>371-000060</t>
  </si>
  <si>
    <t>CONSTRUCCIONES AMENABAR, S.A.</t>
  </si>
  <si>
    <t>NAFARROA KALEA, 50
20800 Elkano (Zarautz)
ES</t>
  </si>
  <si>
    <t>371-000061</t>
  </si>
  <si>
    <t>SYM METRIA OBRAS Y PROYECTOS, S.L.</t>
  </si>
  <si>
    <t>URANO, 27 - 1? IZQ.
28936 Mostoles
ES</t>
  </si>
  <si>
    <t>371-000062</t>
  </si>
  <si>
    <t>EMISORA, 20
28224 Pozuelo De Alarcon
ES</t>
  </si>
  <si>
    <t>371-000063</t>
  </si>
  <si>
    <t>GRUPO RODIO KRONSA, SLU.</t>
  </si>
  <si>
    <t>VELAZQUEZ, 50 - 7? PLANTA
28001 Madrid
ES</t>
  </si>
  <si>
    <t>371-000064</t>
  </si>
  <si>
    <t>UTE REHABILITACI?N PUENTE NUDO DE MANOTERAS</t>
  </si>
  <si>
    <t>FELIPE IV, 10 - 1? IZQ.
28014 Madrid
ES</t>
  </si>
  <si>
    <t>371-000065</t>
  </si>
  <si>
    <t>DIVISEGUR, S.L.</t>
  </si>
  <si>
    <t>POLIGONO IND. LAS ARENAS, C/ LOS PERIODISTAS,
28320 Pinto
ES</t>
  </si>
  <si>
    <t>371-000066</t>
  </si>
  <si>
    <t>ALALMA DEL OLIVO, S.L.</t>
  </si>
  <si>
    <t>TRAVESIA DE BACHILLEROS, 2
45003 Toledo
ES</t>
  </si>
  <si>
    <t>371-000067</t>
  </si>
  <si>
    <t>KONSTRUES GESTION Y DESARROLLO DE OBRAS, S.L.</t>
  </si>
  <si>
    <t>POLIGONO IND. ICARIA, 16
15179 Seixo, O (Lians)
ES</t>
  </si>
  <si>
    <t>371-000068</t>
  </si>
  <si>
    <t>UTE CUADRAS EL PARDO</t>
  </si>
  <si>
    <t>FELIPE IV, N? 10
28014 Madrid
ES</t>
  </si>
  <si>
    <t>371-000069</t>
  </si>
  <si>
    <t>UTE MANOTERAS TRONCO A-1</t>
  </si>
  <si>
    <t>CAMINO DE LA ZARZUELA, 11 - 3? IZQ.
28023 Madrid
ES</t>
  </si>
  <si>
    <t>371-000070</t>
  </si>
  <si>
    <t>GARCIA RIERA EMP.CONSTRUCTORA,S.L.</t>
  </si>
  <si>
    <t>AV/RAMON D'OLZIMA, 48
43480 Vila-Seca
ES</t>
  </si>
  <si>
    <t>371-000071</t>
  </si>
  <si>
    <t>GRUPO BERMA</t>
  </si>
  <si>
    <t>CARRETERA  VILLANUEVA DE LA JARA, KM. 2
16220 Quintanar Del Rey
ES</t>
  </si>
  <si>
    <t>371-000072</t>
  </si>
  <si>
    <t>MATERIALES DE CONSTRUCCION RIVERO, S.L.</t>
  </si>
  <si>
    <t>AV/DE LOS EMIGRANTES, 5
06510 Alburquerque
ES</t>
  </si>
  <si>
    <t>371-000073</t>
  </si>
  <si>
    <t>RE-CORTA, DEMOLICI?N T?CNICA, S.L.</t>
  </si>
  <si>
    <t>R?A DO ENSINO, N?4 - QUINT?NS
36619 Paradela De Arriba (Cornazo)
ES</t>
  </si>
  <si>
    <t>371-000074</t>
  </si>
  <si>
    <t>ENTRECAMPOS CUATRO SOCIMI, S.A</t>
  </si>
  <si>
    <t>ROSARIO PINO, 18 - 3?A
28020 Madrid
ES</t>
  </si>
  <si>
    <t>371-000075</t>
  </si>
  <si>
    <t>COM.PROP.C/PICASO, 4.</t>
  </si>
  <si>
    <t>PICASO, 4
28223 Pozuelo De Alarcon
ES</t>
  </si>
  <si>
    <t>371-000076</t>
  </si>
  <si>
    <t>ECOASFALT, S.A.</t>
  </si>
  <si>
    <t>AV/DE LA CARRERA, 3 - 2? PLANT
28223 Pozuelo De Alarcon
ES</t>
  </si>
  <si>
    <t>371-000077</t>
  </si>
  <si>
    <t>OXIMAR-1800</t>
  </si>
  <si>
    <t>PERELLONET, 7
46900 Torrent
ES</t>
  </si>
  <si>
    <t>371-000078</t>
  </si>
  <si>
    <t>MANUFACTURAS CYPSA</t>
  </si>
  <si>
    <t>MONTECARLO, 10 - POL. IND. URANG
28942 Fuenlabrada
ES</t>
  </si>
  <si>
    <t>371-000079</t>
  </si>
  <si>
    <t>COM.PROP.C/LA FRAGUA, 9</t>
  </si>
  <si>
    <t>LA FRAGUA, 9
28400 Collado Villalba
ES</t>
  </si>
  <si>
    <t>371-000080</t>
  </si>
  <si>
    <t>UTE TERMINAL E</t>
  </si>
  <si>
    <t>SANT JOAN DESPI
08970 Sant Joan Despi
ES</t>
  </si>
  <si>
    <t>371-000081</t>
  </si>
  <si>
    <t>AGUSTIN RUIZ ALFAGEME</t>
  </si>
  <si>
    <t>CABALLEROS, 4
47882 Castromembibre
ES</t>
  </si>
  <si>
    <t>371-000082</t>
  </si>
  <si>
    <t>MICRO CIMENTACIONES INGENIERIA Y CONSTRUCCIONES</t>
  </si>
  <si>
    <t>AV/DE EUROPA, 31, BLOQUE 2 ESC.
28224 Pozuelo De Alarcon
ES</t>
  </si>
  <si>
    <t>371-000083</t>
  </si>
  <si>
    <t>SAGUMAR, S.L.</t>
  </si>
  <si>
    <t>AV/GENERALISIMO, 2
28610 Villamanta
ES</t>
  </si>
  <si>
    <t>371-000084</t>
  </si>
  <si>
    <t>AERONAVAL DE CONSTRUCCIONES E INSTALACIONES, S.A.</t>
  </si>
  <si>
    <t>BAH?A DE POLLENSA, 13
28042 Madrid
ES</t>
  </si>
  <si>
    <t>371-000085</t>
  </si>
  <si>
    <t>TORRESOL ENERGY O&amp;M, S.L.</t>
  </si>
  <si>
    <t>CARRETERA SAN JOSE DEL VALLE, S/N.
11580 San Jose Del Valle
ES</t>
  </si>
  <si>
    <t>371-000086</t>
  </si>
  <si>
    <t>COARSA, S.A.</t>
  </si>
  <si>
    <t>BAHIA DE POLLENSA, 5 BAJO
28042 Madrid
ES</t>
  </si>
  <si>
    <t>371-000087</t>
  </si>
  <si>
    <t>COMUNIDAD DE PROPIETARIOS</t>
  </si>
  <si>
    <t>AV/BELE?A, 7
19005 Guadalajara
ES</t>
  </si>
  <si>
    <t>371-000088</t>
  </si>
  <si>
    <t>LOUIS PASTEUR, 1 SALIDA 28 A2
28806 Alcala De Henares
ES</t>
  </si>
  <si>
    <t>371-000089</t>
  </si>
  <si>
    <t>IBERICA DE INGENIERIA SANTANA,</t>
  </si>
  <si>
    <t>PRINCIPE DE VERGARA, 43 - 8?
28001 Madrid
ES</t>
  </si>
  <si>
    <t>371-000090</t>
  </si>
  <si>
    <t>COM.PROP. ROSARIO PINO, 18</t>
  </si>
  <si>
    <t>ROSARIO PINO, 18
28020 Madrid
ES</t>
  </si>
  <si>
    <t>371-000091</t>
  </si>
  <si>
    <t>ALIANZA, TECNOLOGIA, INSTRUMENTOS Y MAQUINARIAS, S.L.</t>
  </si>
  <si>
    <t>AV/ASTURIAS, 87 - BAJO
24008 Leon
ES</t>
  </si>
  <si>
    <t>371-000092</t>
  </si>
  <si>
    <t>INICIATIVAS ARCANGELES, S.L.</t>
  </si>
  <si>
    <t>FEDERICO CHUECA, 3
28806 Alcala De Henares
ES</t>
  </si>
  <si>
    <t>371-000093</t>
  </si>
  <si>
    <t>EUSKALCONS CONSTRUCTORA, S.L.</t>
  </si>
  <si>
    <t>ENEKURIBIDEA, 14 - OF. 15
48950 Erandio
ES</t>
  </si>
  <si>
    <t>371-000094</t>
  </si>
  <si>
    <t>COMUNIDAD DE PROPIETARIOS SOTO DE LA JARA</t>
  </si>
  <si>
    <t>QUEJIGO - 40/80 Y SALVIA - 27/51
28100 Alcobendas
ES</t>
  </si>
  <si>
    <t>371-000095</t>
  </si>
  <si>
    <t>PORROCHE MATERIALES DE CONSTRUCCION, S.L.</t>
  </si>
  <si>
    <t>PASEO DE JUSTICIA, 107
50740 Fuentes De Ebro
ES</t>
  </si>
  <si>
    <t>371-000096</t>
  </si>
  <si>
    <t>AV/PRINCIPAL, S/N.
28991 Torrejon De La Calzada
ES</t>
  </si>
  <si>
    <t>371-000097</t>
  </si>
  <si>
    <t>BRUJULA-15-17
28850 Torrejon De Ardoz
ES</t>
  </si>
  <si>
    <t>371-000098</t>
  </si>
  <si>
    <t>CIMENTACIONES SINGULARES, S.A.</t>
  </si>
  <si>
    <t>CARRETERA AJALVIR-DAGANZO, N?6
28864 Ajalvir
ES</t>
  </si>
  <si>
    <t>371-000099</t>
  </si>
  <si>
    <t>371-000100</t>
  </si>
  <si>
    <t>ES Domestic Sales</t>
  </si>
  <si>
    <t>ES S_Red10</t>
  </si>
  <si>
    <t>110</t>
  </si>
  <si>
    <t>ES Domestic Sales 10%</t>
  </si>
  <si>
    <t>120</t>
  </si>
  <si>
    <t>Yes</t>
  </si>
  <si>
    <t>ES Domestic Sales exempt</t>
  </si>
  <si>
    <t>ES Domestic Purchase</t>
  </si>
  <si>
    <t>ES P_Red10</t>
  </si>
  <si>
    <t>210</t>
  </si>
  <si>
    <t>ES Domestic Purchase 10%</t>
  </si>
  <si>
    <t>ES P_Red4</t>
  </si>
  <si>
    <t>220</t>
  </si>
  <si>
    <t>ES Domestic Purchase 4%</t>
  </si>
  <si>
    <t>230</t>
  </si>
  <si>
    <t>ES Domestic Purchase exempt</t>
  </si>
  <si>
    <t>ES Import EU</t>
  </si>
  <si>
    <t>ES Import 3C</t>
  </si>
  <si>
    <t>ES Export EU</t>
  </si>
  <si>
    <t>550</t>
  </si>
  <si>
    <t>ES Export 3C</t>
  </si>
  <si>
    <t>ES_Qtr</t>
  </si>
  <si>
    <t>ES VAT</t>
  </si>
  <si>
    <t>700</t>
  </si>
  <si>
    <t>ES Import Tax 100%</t>
  </si>
  <si>
    <t>Item0%</t>
  </si>
  <si>
    <t>Postbus 133, Aalsmeerderweg 285J
1432  Aalsmeer
NL</t>
  </si>
  <si>
    <t>371-200217</t>
  </si>
  <si>
    <t>SOCIEDAD PRODUTORA DE REVESTIMENTO E ISOLAMENTOS, LDA</t>
  </si>
  <si>
    <t>RUA DO PERU
2925-206 BREJOS DE AZEITAO
PT</t>
  </si>
  <si>
    <t>371-200218</t>
  </si>
  <si>
    <t>RODACAL, S.L.</t>
  </si>
  <si>
    <t>CARRETERA MADRID-ALICANTE
02630 LA RODA
ES</t>
  </si>
  <si>
    <t>371-200219</t>
  </si>
  <si>
    <t>COMERCIAL IVELAC, S.L.</t>
  </si>
  <si>
    <t>JOSE SILVA, 3
28043 MADRID
ES</t>
  </si>
  <si>
    <t>371-200220</t>
  </si>
  <si>
    <t>ISAEL CONCRET, S.L.</t>
  </si>
  <si>
    <t>ESPIREA, 22
28042 MADRID
ES</t>
  </si>
  <si>
    <t>371-200221</t>
  </si>
  <si>
    <t>NEREA PRIETO</t>
  </si>
  <si>
    <t>BEATRIZ GALINDO, 1
28850 TORREJON DE ARDOZ
ES</t>
  </si>
  <si>
    <t>371-200222</t>
  </si>
  <si>
    <t>J.FLORIDO, S.L.</t>
  </si>
  <si>
    <t>SILICIO, 50
28850 TORREJON DE ARDOZ
ES</t>
  </si>
  <si>
    <t>371-200223</t>
  </si>
  <si>
    <t>MINTAKA RENT A CAR, S.L.</t>
  </si>
  <si>
    <t>ORFEBRERIA, 9
28850 TORREJON DE ARDOZ
ES</t>
  </si>
  <si>
    <t>371-200224</t>
  </si>
  <si>
    <t>SPEED DOOR, ESPA?A, S.L.U.</t>
  </si>
  <si>
    <t>GARBI, 6
08150 PARETS DEL VALLES
ES</t>
  </si>
  <si>
    <t>371-200225</t>
  </si>
  <si>
    <t>DECOLETAJES GOMEZ, S.L.</t>
  </si>
  <si>
    <t>ATENAS, 27
28813 TORRES DE LA ALAMEDA
ES</t>
  </si>
  <si>
    <t>Aalsmeerderweg 285-J
Postbus 133
1432  Aalsmeer
NL</t>
  </si>
  <si>
    <t>Export3C</t>
  </si>
  <si>
    <t>EU</t>
  </si>
  <si>
    <t>371-000101</t>
  </si>
  <si>
    <t>CONSTRUCTORA PEACHE, S.A.</t>
  </si>
  <si>
    <t>AVENIDA CASTILLA, 45
09400 ARANDA DEL DUERO
ES</t>
  </si>
  <si>
    <t>371-000102</t>
  </si>
  <si>
    <t>ODIEL TECNICAS Y MANTENIMIENTO, S.L.</t>
  </si>
  <si>
    <t>CALLE A, NAVE 9
21500 GIBRALEON
ES</t>
  </si>
  <si>
    <t>371-000103</t>
  </si>
  <si>
    <t>URBANIZACIONES Y MEDIO AMBIENTE, S.L.U.</t>
  </si>
  <si>
    <t>ZARAGOZA
50730 UN CASTILLO, 19
ES</t>
  </si>
  <si>
    <t>371-000104</t>
  </si>
  <si>
    <t>LABORATORIO DE TECNOLOGIA ESTRUCTURAL, S.L.</t>
  </si>
  <si>
    <t>CAMPILLOS
29320 GREGORIO MARA?ON, 17
ES</t>
  </si>
  <si>
    <t>371-000105</t>
  </si>
  <si>
    <t>AIMAD, S.L.</t>
  </si>
  <si>
    <t>MADRID
28031 ARBOLEDA, 18
ES</t>
  </si>
  <si>
    <t>371-000106</t>
  </si>
  <si>
    <t>UTE MISTURAS-EXTRACO</t>
  </si>
  <si>
    <t>OURENSE
32004 CAMI?O DA CIMA, 24
ES</t>
  </si>
  <si>
    <t>371-000107</t>
  </si>
  <si>
    <t>ICC CONTROL DE CALIDAD, S.L.</t>
  </si>
  <si>
    <t>CALLE ESTA?O, NAVE 44
04009 ALMERIA
ES</t>
  </si>
  <si>
    <t>371-000108</t>
  </si>
  <si>
    <t>ORION REPARACION, S.L.</t>
  </si>
  <si>
    <t>GALDAKAO
48960 POLIGONO ERLETXE, G-2
ES</t>
  </si>
  <si>
    <t>371-000109</t>
  </si>
  <si>
    <t>TECYRSA</t>
  </si>
  <si>
    <t>TORREJON DE LA CALZADA
28991 SEGUNDA AVENIDA, 14
ES</t>
  </si>
  <si>
    <t>371-000110</t>
  </si>
  <si>
    <t>UTE EDAR-BERLANGA</t>
  </si>
  <si>
    <t>JARANDILLA DE LA VERA
10450 AVENIDA DE LA QUEMA, 31
ES</t>
  </si>
  <si>
    <t>371-000111</t>
  </si>
  <si>
    <t>DOEPA, S.L.</t>
  </si>
  <si>
    <t>ESQUIROZ
31191 CALLE A, NAVE 4
ES</t>
  </si>
  <si>
    <t>371-000112</t>
  </si>
  <si>
    <t>PUMA MORCEM, S.L.</t>
  </si>
  <si>
    <t>DOS HERMANAS
41700 CALLE LA PALMA, 20
ES</t>
  </si>
  <si>
    <t>371-000113</t>
  </si>
  <si>
    <t>LEE HERNANDEZ</t>
  </si>
  <si>
    <t>ALCALA DE HENARES
28804 TRAVESIA DEL VAL, 3
ES</t>
  </si>
  <si>
    <t>AA-010</t>
  </si>
  <si>
    <t>AA-020</t>
  </si>
  <si>
    <t>AA-030</t>
  </si>
  <si>
    <t>TECNOACRY (5KG)</t>
  </si>
  <si>
    <t>TECNOACRY (25KG)</t>
  </si>
  <si>
    <t>TECNOACRY (200KG)</t>
  </si>
  <si>
    <t>AK-010</t>
  </si>
  <si>
    <t>AM20020019550</t>
  </si>
  <si>
    <t>S&amp;P ARMO-mesh 200/200</t>
  </si>
  <si>
    <t>AML200195050</t>
  </si>
  <si>
    <t>S&amp;P ARMO-mesh L200</t>
  </si>
  <si>
    <t>AML500195050</t>
  </si>
  <si>
    <t>S&amp;P ARMO-mesh L500</t>
  </si>
  <si>
    <t>AP-010</t>
  </si>
  <si>
    <t>AR-010</t>
  </si>
  <si>
    <t>ARMOWET025RB</t>
  </si>
  <si>
    <t>S&amp;P ARMO-crete w (rb) 25kg bag</t>
  </si>
  <si>
    <t>S&amp;PARMOcretew(rb)25kgbag</t>
  </si>
  <si>
    <t>AW-010</t>
  </si>
  <si>
    <t>CS240200300</t>
  </si>
  <si>
    <t>S&amp;P C-Sheet 240 200 g/m2</t>
  </si>
  <si>
    <t>CS240300300</t>
  </si>
  <si>
    <t>S&amp;P C-Sheet 240 300 g/m2</t>
  </si>
  <si>
    <t>CS240400300</t>
  </si>
  <si>
    <t>S&amp;P C-Sheet 240 400 g/m2</t>
  </si>
  <si>
    <t>CS240600300</t>
  </si>
  <si>
    <t>S&amp;P C-Sheet 240 600 g/m2</t>
  </si>
  <si>
    <t>TECNODIL-R (5L)</t>
  </si>
  <si>
    <t>TECNODIL-R (10L)</t>
  </si>
  <si>
    <t>TECNODIL-R (25L)</t>
  </si>
  <si>
    <t>FL-010</t>
  </si>
  <si>
    <t>FN-010</t>
  </si>
  <si>
    <t>FR-010</t>
  </si>
  <si>
    <t>FX225_rb</t>
  </si>
  <si>
    <t>FX225 Repair Mortar Underwater 25KG bag</t>
  </si>
  <si>
    <t>FX225RepairMortarUnderwater25KGbag</t>
  </si>
  <si>
    <t>TECNOIMPER-FLEX (A+B 28.4KG)</t>
  </si>
  <si>
    <t>IM080F-1</t>
  </si>
  <si>
    <t>TECNOIMPER-FLEX (A+B KG)</t>
  </si>
  <si>
    <t>TECNOIMPER (25KG)</t>
  </si>
  <si>
    <t>IM092F-1</t>
  </si>
  <si>
    <t>TECNOIMPER (KG)</t>
  </si>
  <si>
    <t>LA15005012</t>
  </si>
  <si>
    <t>S&amp;P C-Laminate SM (150/2000) 50/1.2</t>
  </si>
  <si>
    <t>S&amp;PCLaminateSM(1502000)5012</t>
  </si>
  <si>
    <t>LA15005014</t>
  </si>
  <si>
    <t>S&amp;P C-Laminate SM (150/2000) 50/1.4</t>
  </si>
  <si>
    <t>S&amp;PCLaminateSM(1502000)5014</t>
  </si>
  <si>
    <t>LA15008012</t>
  </si>
  <si>
    <t>S&amp;P C-Laminate SM (150/2000) 80/1.2</t>
  </si>
  <si>
    <t>S&amp;PCLaminateSM(1502000)8012</t>
  </si>
  <si>
    <t>LA15008014</t>
  </si>
  <si>
    <t>S&amp;P C-Laminate SM (150/2000) 80/1.4</t>
  </si>
  <si>
    <t>S&amp;PCLaminateSM(1502000)8014</t>
  </si>
  <si>
    <t>LA15010012</t>
  </si>
  <si>
    <t>S&amp;P C-Laminate SM (150/2000) 100/1.2</t>
  </si>
  <si>
    <t>S&amp;PCLaminateSM(1502000)10012</t>
  </si>
  <si>
    <t>LA15010014</t>
  </si>
  <si>
    <t>S&amp;P C-Laminate SM (150/2000) 100/1.4</t>
  </si>
  <si>
    <t>S&amp;PCLaminateSM(1502000)10014</t>
  </si>
  <si>
    <t>LA15012012</t>
  </si>
  <si>
    <t>S&amp;P C-Laminate SM (150/2000) 120/1.2</t>
  </si>
  <si>
    <t>S&amp;PCLaminateSM(1502000)12012</t>
  </si>
  <si>
    <t>LA15012014</t>
  </si>
  <si>
    <t>S&amp;P C-Laminate SM (150/2000) 120/1.4</t>
  </si>
  <si>
    <t>S&amp;PCLaminateSM(1502000)12014</t>
  </si>
  <si>
    <t>LAB/OH-Mortar</t>
  </si>
  <si>
    <t>LABOR/OVERHEAD - Mortar</t>
  </si>
  <si>
    <t>LAB/OH-Resin</t>
  </si>
  <si>
    <t>LABOR/OVERHEAD - Resin</t>
  </si>
  <si>
    <t>LARESI22015</t>
  </si>
  <si>
    <t>S&amp;P Resin 220 (Set of 15 kg)</t>
  </si>
  <si>
    <t>TECNOGROUT-N (25KG)</t>
  </si>
  <si>
    <t>MO041F-1</t>
  </si>
  <si>
    <t>TECNOGROUT-N (KG)</t>
  </si>
  <si>
    <t>TECNOGROUT-N RAPIDO (25KG)</t>
  </si>
  <si>
    <t>MO042F-1</t>
  </si>
  <si>
    <t>TECNOGROUT-N RAPIDO (KG)</t>
  </si>
  <si>
    <t>TECNOGROUT-N/PR (25KG)</t>
  </si>
  <si>
    <t>MO043F-1</t>
  </si>
  <si>
    <t>TECNOGROUT-N/PR (KG)</t>
  </si>
  <si>
    <t>TECNOGROUT-N/PR RAPIDO (25KG)</t>
  </si>
  <si>
    <t>MO044F-1</t>
  </si>
  <si>
    <t>TECNOGROUT-N/PR RAPIDO (KG)</t>
  </si>
  <si>
    <t>TECNOGROUT-N/GR (25KG)</t>
  </si>
  <si>
    <t>MO045F-1</t>
  </si>
  <si>
    <t>TECNOGROUT-N/GR (KG)</t>
  </si>
  <si>
    <t>TECNOGROUT-SR (25KG)</t>
  </si>
  <si>
    <t>MO047F-1</t>
  </si>
  <si>
    <t>TECNOGROUT-SR (KG)</t>
  </si>
  <si>
    <t>TECNOGROUT-K (25KG)</t>
  </si>
  <si>
    <t>MO051F-1</t>
  </si>
  <si>
    <t>TECNOGROUT-K (KG)</t>
  </si>
  <si>
    <t>TECNOGROUT-FIB (25KG)</t>
  </si>
  <si>
    <t>MO075F-1</t>
  </si>
  <si>
    <t>TECNOGROUT-FIB (KG)</t>
  </si>
  <si>
    <t>FERROGROUT-A (25KG)</t>
  </si>
  <si>
    <t>MO081F-1</t>
  </si>
  <si>
    <t>FERROGROUT-A (KG)</t>
  </si>
  <si>
    <t>FERROGROUT-A NEGRO (25KG)</t>
  </si>
  <si>
    <t>MO082F-1</t>
  </si>
  <si>
    <t>FERROGROUT-A NEGRO (KG)</t>
  </si>
  <si>
    <t>FERROGROUT-A RÁPIDO (25KG)</t>
  </si>
  <si>
    <t>MO083F-1</t>
  </si>
  <si>
    <t>FERROGROUT-A RÁPIDO (KG)</t>
  </si>
  <si>
    <t>FERROGROUT-A RÁPIDO NEGRO (25KG)</t>
  </si>
  <si>
    <t>MO084F-1</t>
  </si>
  <si>
    <t>FERROGROUT-A RÁPIDO NEGRO (KG)</t>
  </si>
  <si>
    <t>TECNOSTOP (25KG)</t>
  </si>
  <si>
    <t>MO100F-1</t>
  </si>
  <si>
    <t>TECNOSTOP (KG)</t>
  </si>
  <si>
    <t>TECNOGROUT-IN (20KG)</t>
  </si>
  <si>
    <t>MO110F-1</t>
  </si>
  <si>
    <t>TECNOGROUT-IN (KG)</t>
  </si>
  <si>
    <t>FETADIT IN A+B 1KG</t>
  </si>
  <si>
    <t>MPRE033</t>
  </si>
  <si>
    <t>FETADIT IN A+B 2KG</t>
  </si>
  <si>
    <t>MPRE034</t>
  </si>
  <si>
    <t>FETADIT IN A+B 5KG</t>
  </si>
  <si>
    <t>PM-630</t>
  </si>
  <si>
    <t>OXIDO DE PLOMO</t>
  </si>
  <si>
    <t>MPRE049</t>
  </si>
  <si>
    <t>PM-640</t>
  </si>
  <si>
    <t>OXIDO DE ZINC</t>
  </si>
  <si>
    <t>MPRE048</t>
  </si>
  <si>
    <t>TECNOPOX-ANCLAJES (A+B 2KG)</t>
  </si>
  <si>
    <t>TECNOPOX-ANCLAJES (A+B 7KG)</t>
  </si>
  <si>
    <t>TECNOPOX-ANCLAJES (A+B 14KG)</t>
  </si>
  <si>
    <t>TECNOPOX-P (A+B 2KG)</t>
  </si>
  <si>
    <t>TECNOPOX-P (A+B 5KG)</t>
  </si>
  <si>
    <t>TECNOPOX-IN (A+B 2KG)</t>
  </si>
  <si>
    <t>TECNOPOX-IN (A+B 5KG)</t>
  </si>
  <si>
    <t>TECNOPOX-IN (A+B 1KG)</t>
  </si>
  <si>
    <t>TECNOPOX-FL (A+B 2KG)</t>
  </si>
  <si>
    <t>TECNOPOX-FL (A+B 5KG)</t>
  </si>
  <si>
    <t>TECNOPOX-FL (A+B 10KG)</t>
  </si>
  <si>
    <t>ADHEPOX-SPFM (A+B 2KG)</t>
  </si>
  <si>
    <t>ADHEPOX-SPFM (A+B 5KG)</t>
  </si>
  <si>
    <t>ADHEPOX-SPFM (A+B 10KG)</t>
  </si>
  <si>
    <t>TECNOPROT-EPOX (A+B 5KG)</t>
  </si>
  <si>
    <t>TECNOPOX-S (A+B 10KG)</t>
  </si>
  <si>
    <t>AGENTE TIXOTRÓPICO (10KG)</t>
  </si>
  <si>
    <t>AGENTE TIXOTRÓPICO (20KG)</t>
  </si>
  <si>
    <t>TECNOPOX-S (A+B 5KG)</t>
  </si>
  <si>
    <t>SE-020</t>
  </si>
  <si>
    <t>AGUA</t>
  </si>
  <si>
    <t>MPMO034</t>
  </si>
  <si>
    <t>SHRESEPO55HP6KG</t>
  </si>
  <si>
    <t>S&amp;P Resin 55 HP
(Set à 6kg)</t>
  </si>
  <si>
    <t>S&amp;P Resin 55 HP 6kg</t>
  </si>
  <si>
    <t>ST-010</t>
  </si>
  <si>
    <t>ItemRed10</t>
  </si>
  <si>
    <t>ItemRed04</t>
  </si>
  <si>
    <t>Column1</t>
  </si>
  <si>
    <t>Blank</t>
  </si>
  <si>
    <t>ES VAT RS</t>
  </si>
  <si>
    <t>VAT EUST</t>
  </si>
  <si>
    <t>ES Domestic Sales service</t>
  </si>
  <si>
    <t>ES VAT M/S</t>
  </si>
  <si>
    <t>105</t>
  </si>
  <si>
    <t>205</t>
  </si>
  <si>
    <t>ES Domestic Purchase service</t>
  </si>
  <si>
    <t>405</t>
  </si>
  <si>
    <t>ES Import EU Items</t>
  </si>
  <si>
    <t>ES Import EU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</si>
</sst>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11"/>
      <name val="宋体"/>
      <family val="2"/>
      <scheme val="min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1"/>
    <xf numFmtId="0" fontId="0" fillId="0" borderId="0" xfId="0" applyNumberFormat="1" applyAlignment="1"/>
    <xf numFmtId="0" fontId="2" fillId="0" borderId="0" xfId="0" quotePrefix="1" applyNumberFormat="1" applyFont="1" applyAlignment="1"/>
    <xf numFmtId="0" fontId="2" fillId="0" borderId="0" xfId="0" quotePrefix="1" applyNumberFormat="1" applyFont="1" applyAlignment="1">
      <alignment wrapText="1"/>
    </xf>
    <xf numFmtId="0" fontId="2" fillId="0" borderId="0" xfId="0" applyNumberFormat="1" applyFont="1" applyAlignment="1"/>
    <xf numFmtId="0" fontId="2" fillId="2" borderId="0" xfId="0" quotePrefix="1" applyNumberFormat="1" applyFont="1" applyFill="1" applyAlignment="1"/>
    <xf numFmtId="0" fontId="0" fillId="2" borderId="0" xfId="0" applyFill="1"/>
    <xf numFmtId="0" fontId="2" fillId="0" borderId="0" xfId="0" quotePrefix="1" applyNumberFormat="1" applyFont="1" applyFill="1" applyAlignment="1"/>
    <xf numFmtId="0" fontId="2" fillId="3" borderId="0" xfId="0" quotePrefix="1" applyNumberFormat="1" applyFont="1" applyFill="1" applyAlignment="1"/>
    <xf numFmtId="0" fontId="3" fillId="0" borderId="0" xfId="0" quotePrefix="1" applyNumberFormat="1" applyFont="1" applyFill="1" applyAlignment="1"/>
    <xf numFmtId="0" fontId="3" fillId="0" borderId="0" xfId="0" applyFont="1" applyFill="1"/>
    <xf numFmtId="0" fontId="0" fillId="0" borderId="0" xfId="0" applyFill="1"/>
    <xf numFmtId="0" fontId="4" fillId="0" borderId="0" xfId="0" applyNumberFormat="1" applyFont="1" applyAlignment="1"/>
    <xf numFmtId="0" fontId="0" fillId="3" borderId="0" xfId="0" applyFill="1"/>
    <xf numFmtId="0" fontId="4" fillId="2" borderId="0" xfId="0" applyNumberFormat="1" applyFont="1" applyFill="1" applyAlignment="1"/>
    <xf numFmtId="0" fontId="4" fillId="3" borderId="0" xfId="0" applyNumberFormat="1" applyFont="1" applyFill="1" applyAlignment="1"/>
    <xf numFmtId="0" fontId="4" fillId="3" borderId="0" xfId="0" quotePrefix="1" applyNumberFormat="1" applyFont="1" applyFill="1" applyAlignment="1"/>
    <xf numFmtId="0" fontId="2" fillId="3" borderId="0" xfId="0" applyNumberFormat="1" applyFont="1" applyFill="1" applyAlignment="1"/>
  </cellXfs>
  <cellStyles count="2">
    <cellStyle name="Normal" xfId="0" builtinId="0"/>
    <cellStyle name="Title" xfId="1" builtinId="15"/>
  </cellStyles>
  <dxfs count="38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/Relationships>
</file>

<file path=xl/tables/table1.xml><?xml version="1.0" encoding="utf-8"?>
<table xmlns="http://schemas.openxmlformats.org/spreadsheetml/2006/main" id="7" name="AtlasReport_6_Table_1" displayName="AtlasReport_6_Table_1" ref="A2:G175" totalsRowShown="0">
  <autoFilter ref="A2:G175"/>
  <tableColumns count="7">
    <tableColumn id="1" name="Item number" dataDxfId="37"/>
    <tableColumn id="2" name="Item name" dataDxfId="36"/>
    <tableColumn id="3" name="Search name" dataDxfId="35"/>
    <tableColumn id="4" name="Item group" dataDxfId="34"/>
    <tableColumn id="5" name="Item type" dataDxfId="33"/>
    <tableColumn id="6" name="Sales: Item sales tax group" dataDxfId="32"/>
    <tableColumn id="7" name="Purchase: Item sales tax group" dataDxfId="31">
      <calculatedColumnFormula>_xll.AtlasFormulas.AtlasFunctions.AtlasTable("UAT",DataAreaId,"T.InventTableModule","%TaxItemGroupId","","","","","","","ItemId|ModuleType",$A3,"Purch")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4_Table_1" displayName="AtlasReport_4_Table_1" ref="A2:F115" totalsRowShown="0">
  <autoFilter ref="A2:F115"/>
  <tableColumns count="6">
    <tableColumn id="1" name="Customer account" dataDxfId="30"/>
    <tableColumn id="2" name="Name" dataDxfId="29"/>
    <tableColumn id="3" name="Address" dataDxfId="28"/>
    <tableColumn id="4" name="Currency" dataDxfId="27"/>
    <tableColumn id="5" name="Customer group" dataDxfId="26"/>
    <tableColumn id="6" name="Sales tax group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tlasReport_5_Table_1" displayName="AtlasReport_5_Table_1" ref="A2:F226" totalsRowShown="0">
  <autoFilter ref="A2:F226"/>
  <tableColumns count="6">
    <tableColumn id="1" name="Vendor account" dataDxfId="24"/>
    <tableColumn id="2" name="Name" dataDxfId="23"/>
    <tableColumn id="3" name="Address" dataDxfId="22"/>
    <tableColumn id="4" name="Currency" dataDxfId="21"/>
    <tableColumn id="5" name="Group" dataDxfId="20"/>
    <tableColumn id="6" name="Sales tax group" data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AtlasReport_1_Table_1" displayName="AtlasReport_1_Table_1" ref="A2:D16" totalsRowShown="0">
  <autoFilter ref="A2:D16">
    <filterColumn colId="3">
      <colorFilter dxfId="0"/>
    </filterColumn>
  </autoFilter>
  <sortState ref="A3:D16">
    <sortCondition descending="1" ref="A2:A16"/>
  </sortState>
  <tableColumns count="4">
    <tableColumn id="1" name="Sales tax group" dataDxfId="18"/>
    <tableColumn id="2" name="Sales tax code" dataDxfId="17"/>
    <tableColumn id="3" name="Exempt" dataDxfId="16"/>
    <tableColumn id="4" name="Name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AtlasReport_2_Table_1" displayName="AtlasReport_2_Table_1" ref="A2:D14" totalsRowShown="0">
  <autoFilter ref="A2:D14"/>
  <sortState ref="A3:D14">
    <sortCondition ref="A2:A14"/>
  </sortState>
  <tableColumns count="4">
    <tableColumn id="1" name="Item sales tax group" dataDxfId="14"/>
    <tableColumn id="2" name="Sales tax code" dataDxfId="13"/>
    <tableColumn id="3" name="Name" dataDxfId="12"/>
    <tableColumn id="4" name="Column1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AtlasReport_3_Table_1" displayName="AtlasReport_3_Table_1" ref="A2:J17" totalsRowShown="0">
  <autoFilter ref="A2:J17"/>
  <tableColumns count="10">
    <tableColumn id="1" name="Sales tax code" dataDxfId="10"/>
    <tableColumn id="2" name="Name" dataDxfId="9"/>
    <tableColumn id="3" name="Settlement period" dataDxfId="8"/>
    <tableColumn id="4" name="Unit" dataDxfId="7"/>
    <tableColumn id="5" name="Ledger posting group" dataDxfId="6"/>
    <tableColumn id="6" name="Origin" dataDxfId="5"/>
    <tableColumn id="7" name="Method of calculation" dataDxfId="4"/>
    <tableColumn id="8" name="Marginal base" dataDxfId="3"/>
    <tableColumn id="9" name="Sales tax on sales tax" dataDxfId="2"/>
    <tableColumn id="10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"/>
  <sheetViews>
    <sheetView workbookViewId="0">
      <selection activeCell="E11" sqref="E11"/>
    </sheetView>
  </sheetViews>
  <sheetFormatPr defaultRowHeight="13.5" x14ac:dyDescent="0.15"/>
  <cols>
    <col min="2" max="2" width="21.875" bestFit="1" customWidth="1"/>
    <col min="3" max="3" width="9.875" bestFit="1" customWidth="1"/>
    <col min="4" max="4" width="10.625" bestFit="1" customWidth="1"/>
    <col min="9" max="9" width="11.625" bestFit="1" customWidth="1"/>
  </cols>
  <sheetData>
    <row r="1" spans="1:9" x14ac:dyDescent="0.15">
      <c r="C1" t="s">
        <v>0</v>
      </c>
      <c r="D1">
        <v>371</v>
      </c>
    </row>
    <row r="3" spans="1:9" x14ac:dyDescent="0.15">
      <c r="D3" t="s">
        <v>66</v>
      </c>
      <c r="I3" t="s">
        <v>67</v>
      </c>
    </row>
    <row r="4" spans="1:9" x14ac:dyDescent="0.15">
      <c r="B4" t="s">
        <v>54</v>
      </c>
      <c r="D4" t="s">
        <v>960</v>
      </c>
      <c r="I4" t="s">
        <v>70</v>
      </c>
    </row>
    <row r="5" spans="1:9" x14ac:dyDescent="0.15">
      <c r="B5" t="s">
        <v>711</v>
      </c>
      <c r="D5" t="str">
        <f>VLOOKUP(D4,'Customer master'!A:B,2,0)</f>
        <v>S&amp;P Clever Reinforcement Company AG</v>
      </c>
      <c r="I5" t="str">
        <f>VLOOKUP(I4,'Vendor master'!A:B,2,0)</f>
        <v>S&amp;P Clever Reinforcement GmbH</v>
      </c>
    </row>
    <row r="6" spans="1:9" x14ac:dyDescent="0.15">
      <c r="B6" t="str">
        <f>VLOOKUP(B5,'Item master'!A:B,2,0)</f>
        <v>TECNOACRY (5KG)</v>
      </c>
      <c r="D6" t="str">
        <f>VLOOKUP(D4,'Customer master'!A:C,3,0)</f>
        <v>Seewernstrasse 127
6423 Seewen
CH</v>
      </c>
      <c r="I6" t="str">
        <f>VLOOKUP(I4,'Vendor master'!A:C,3,0)</f>
        <v>Karl-Ritscher-Anlage 5
60437 Frankfurt am Main
DE</v>
      </c>
    </row>
    <row r="7" spans="1:9" x14ac:dyDescent="0.15">
      <c r="A7" t="s">
        <v>68</v>
      </c>
      <c r="B7" t="str">
        <f>VLOOKUP(B5,'Item master'!A:F,6,0)</f>
        <v>Item_All</v>
      </c>
      <c r="D7" t="str">
        <f>VLOOKUP(D4,'Customer master'!A:F,6,0)</f>
        <v>ES Export</v>
      </c>
      <c r="I7" t="str">
        <f>VLOOKUP(I4,'Vendor master'!A:F,6,0)</f>
        <v>ES Import</v>
      </c>
    </row>
    <row r="8" spans="1:9" x14ac:dyDescent="0.15">
      <c r="A8" t="s">
        <v>69</v>
      </c>
      <c r="B8" t="e">
        <f ca="1">VLOOKUP(B5,'Item master'!A:G,7,0)</f>
        <v>#NAME?</v>
      </c>
    </row>
  </sheetData>
  <phoneticPr fontId="5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'Vendor master'!$A:$A</xm:f>
          </x14:formula1>
          <xm:sqref>I4</xm:sqref>
        </x14:dataValidation>
        <x14:dataValidation type="list" allowBlank="1" showInputMessage="1" showErrorMessage="1">
          <x14:formula1>
            <xm:f>'Customer master'!$A:$A</xm:f>
          </x14:formula1>
          <xm:sqref>D4</xm:sqref>
        </x14:dataValidation>
        <x14:dataValidation type="list" allowBlank="1" showInputMessage="1" showErrorMessage="1">
          <x14:formula1>
            <xm:f>'Item master'!$A:$A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6"/>
  <sheetViews>
    <sheetView topLeftCell="A67" workbookViewId="0">
      <selection activeCell="B10" sqref="B10"/>
    </sheetView>
  </sheetViews>
  <sheetFormatPr defaultRowHeight="13.5" x14ac:dyDescent="0.15"/>
  <cols>
    <col min="1" max="1" width="23" customWidth="1"/>
    <col min="2" max="2" width="19.5" customWidth="1"/>
    <col min="3" max="3" width="14.625" customWidth="1"/>
    <col min="4" max="4" width="13" customWidth="1"/>
    <col min="5" max="5" width="11.875" customWidth="1"/>
    <col min="6" max="6" width="27" customWidth="1"/>
    <col min="7" max="7" width="30.5" customWidth="1"/>
  </cols>
  <sheetData>
    <row r="1" spans="1:7" ht="22.5" x14ac:dyDescent="0.25">
      <c r="A1" s="1" t="s">
        <v>46</v>
      </c>
      <c r="B1" s="1"/>
      <c r="C1" s="1"/>
      <c r="D1" s="1"/>
      <c r="E1" s="1"/>
      <c r="F1" s="1"/>
      <c r="G1" s="1"/>
    </row>
    <row r="2" spans="1:7" x14ac:dyDescent="0.15">
      <c r="A2" s="2" t="s">
        <v>47</v>
      </c>
      <c r="B2" s="2" t="s">
        <v>48</v>
      </c>
      <c r="C2" s="2" t="s">
        <v>49</v>
      </c>
      <c r="D2" s="2" t="s">
        <v>50</v>
      </c>
      <c r="E2" s="2" t="s">
        <v>51</v>
      </c>
      <c r="F2" s="2" t="s">
        <v>52</v>
      </c>
      <c r="G2" s="2" t="s">
        <v>64</v>
      </c>
    </row>
    <row r="3" spans="1:7" x14ac:dyDescent="0.15">
      <c r="A3" s="3" t="s">
        <v>1335</v>
      </c>
      <c r="B3" s="3" t="s">
        <v>805</v>
      </c>
      <c r="C3" s="3" t="s">
        <v>804</v>
      </c>
      <c r="D3" s="3" t="s">
        <v>717</v>
      </c>
      <c r="E3" s="3" t="s">
        <v>54</v>
      </c>
      <c r="F3" s="3" t="s">
        <v>14</v>
      </c>
      <c r="G3" s="5" t="e">
        <f ca="1">_xll.AtlasFormulas.AtlasFunctions.AtlasTable("UAT",DataAreaId,"T.InventTableModule","%TaxItemGroupId","","","","","","","ItemId|ModuleType",$A3,"Purch")</f>
        <v>#NAME?</v>
      </c>
    </row>
    <row r="4" spans="1:7" x14ac:dyDescent="0.15">
      <c r="A4" s="3" t="s">
        <v>1336</v>
      </c>
      <c r="B4" s="3" t="s">
        <v>811</v>
      </c>
      <c r="C4" s="3" t="s">
        <v>810</v>
      </c>
      <c r="D4" s="3" t="s">
        <v>717</v>
      </c>
      <c r="E4" s="3" t="s">
        <v>54</v>
      </c>
      <c r="F4" s="3" t="s">
        <v>14</v>
      </c>
      <c r="G4" s="5" t="e">
        <f ca="1">_xll.AtlasFormulas.AtlasFunctions.AtlasTable("UAT",DataAreaId,"T.InventTableModule","%TaxItemGroupId","","","","","","","ItemId|ModuleType",$A4,"Purch")</f>
        <v>#NAME?</v>
      </c>
    </row>
    <row r="5" spans="1:7" x14ac:dyDescent="0.15">
      <c r="A5" s="3" t="s">
        <v>1337</v>
      </c>
      <c r="B5" s="3" t="s">
        <v>817</v>
      </c>
      <c r="C5" s="3" t="s">
        <v>816</v>
      </c>
      <c r="D5" s="3" t="s">
        <v>717</v>
      </c>
      <c r="E5" s="3" t="s">
        <v>54</v>
      </c>
      <c r="F5" s="3" t="s">
        <v>14</v>
      </c>
      <c r="G5" s="5" t="e">
        <f ca="1">_xll.AtlasFormulas.AtlasFunctions.AtlasTable("UAT",DataAreaId,"T.InventTableModule","%TaxItemGroupId","","","","","","","ItemId|ModuleType",$A5,"Purch")</f>
        <v>#NAME?</v>
      </c>
    </row>
    <row r="6" spans="1:7" x14ac:dyDescent="0.15">
      <c r="A6" s="3" t="s">
        <v>711</v>
      </c>
      <c r="B6" s="3" t="s">
        <v>1338</v>
      </c>
      <c r="C6" s="3" t="s">
        <v>711</v>
      </c>
      <c r="D6" s="3" t="s">
        <v>53</v>
      </c>
      <c r="E6" s="3" t="s">
        <v>58</v>
      </c>
      <c r="F6" s="3" t="s">
        <v>14</v>
      </c>
      <c r="G6" s="5" t="e">
        <f ca="1">_xll.AtlasFormulas.AtlasFunctions.AtlasTable("UAT",DataAreaId,"T.InventTableModule","%TaxItemGroupId","","","","","","","ItemId|ModuleType",$A6,"Purch")</f>
        <v>#NAME?</v>
      </c>
    </row>
    <row r="7" spans="1:7" x14ac:dyDescent="0.15">
      <c r="A7" s="3" t="s">
        <v>712</v>
      </c>
      <c r="B7" s="3" t="s">
        <v>1339</v>
      </c>
      <c r="C7" s="3" t="s">
        <v>712</v>
      </c>
      <c r="D7" s="3" t="s">
        <v>53</v>
      </c>
      <c r="E7" s="3" t="s">
        <v>58</v>
      </c>
      <c r="F7" s="3" t="s">
        <v>14</v>
      </c>
      <c r="G7" s="5" t="e">
        <f ca="1">_xll.AtlasFormulas.AtlasFunctions.AtlasTable("UAT",DataAreaId,"T.InventTableModule","%TaxItemGroupId","","","","","","","ItemId|ModuleType",$A7,"Purch")</f>
        <v>#NAME?</v>
      </c>
    </row>
    <row r="8" spans="1:7" x14ac:dyDescent="0.15">
      <c r="A8" s="3" t="s">
        <v>713</v>
      </c>
      <c r="B8" s="3" t="s">
        <v>1340</v>
      </c>
      <c r="C8" s="3" t="s">
        <v>713</v>
      </c>
      <c r="D8" s="3" t="s">
        <v>53</v>
      </c>
      <c r="E8" s="3" t="s">
        <v>58</v>
      </c>
      <c r="F8" s="3" t="s">
        <v>14</v>
      </c>
      <c r="G8" s="5" t="e">
        <f ca="1">_xll.AtlasFormulas.AtlasFunctions.AtlasTable("UAT",DataAreaId,"T.InventTableModule","%TaxItemGroupId","","","","","","","ItemId|ModuleType",$A8,"Purch")</f>
        <v>#NAME?</v>
      </c>
    </row>
    <row r="9" spans="1:7" x14ac:dyDescent="0.15">
      <c r="A9" s="3" t="s">
        <v>714</v>
      </c>
      <c r="B9" s="3" t="s">
        <v>715</v>
      </c>
      <c r="C9" s="3" t="s">
        <v>716</v>
      </c>
      <c r="D9" s="3" t="s">
        <v>717</v>
      </c>
      <c r="E9" s="3" t="s">
        <v>54</v>
      </c>
      <c r="F9" s="3" t="s">
        <v>14</v>
      </c>
      <c r="G9" s="5" t="e">
        <f ca="1">_xll.AtlasFormulas.AtlasFunctions.AtlasTable("UAT",DataAreaId,"T.InventTableModule","%TaxItemGroupId","","","","","","","ItemId|ModuleType",$A9,"Purch")</f>
        <v>#NAME?</v>
      </c>
    </row>
    <row r="10" spans="1:7" x14ac:dyDescent="0.15">
      <c r="A10" s="3" t="s">
        <v>1341</v>
      </c>
      <c r="B10" s="3" t="s">
        <v>813</v>
      </c>
      <c r="C10" s="3" t="s">
        <v>812</v>
      </c>
      <c r="D10" s="3" t="s">
        <v>717</v>
      </c>
      <c r="E10" s="3" t="s">
        <v>54</v>
      </c>
      <c r="F10" s="3" t="s">
        <v>14</v>
      </c>
      <c r="G10" s="5" t="e">
        <f ca="1">_xll.AtlasFormulas.AtlasFunctions.AtlasTable("UAT",DataAreaId,"T.InventTableModule","%TaxItemGroupId","","","","","","","ItemId|ModuleType",$A10,"Purch")</f>
        <v>#NAME?</v>
      </c>
    </row>
    <row r="11" spans="1:7" x14ac:dyDescent="0.15">
      <c r="A11" s="3" t="s">
        <v>1342</v>
      </c>
      <c r="B11" s="3" t="s">
        <v>1343</v>
      </c>
      <c r="C11" s="3" t="s">
        <v>1343</v>
      </c>
      <c r="D11" s="3" t="s">
        <v>53</v>
      </c>
      <c r="E11" s="3" t="s">
        <v>54</v>
      </c>
      <c r="F11" s="3" t="s">
        <v>14</v>
      </c>
      <c r="G11" s="5" t="e">
        <f ca="1">_xll.AtlasFormulas.AtlasFunctions.AtlasTable("UAT",DataAreaId,"T.InventTableModule","%TaxItemGroupId","","","","","","","ItemId|ModuleType",$A11,"Purch")</f>
        <v>#NAME?</v>
      </c>
    </row>
    <row r="12" spans="1:7" x14ac:dyDescent="0.15">
      <c r="A12" s="3" t="s">
        <v>1344</v>
      </c>
      <c r="B12" s="3" t="s">
        <v>1345</v>
      </c>
      <c r="C12" s="3" t="s">
        <v>1345</v>
      </c>
      <c r="D12" s="3" t="s">
        <v>53</v>
      </c>
      <c r="E12" s="3" t="s">
        <v>54</v>
      </c>
      <c r="F12" s="3" t="s">
        <v>14</v>
      </c>
      <c r="G12" s="5" t="e">
        <f ca="1">_xll.AtlasFormulas.AtlasFunctions.AtlasTable("UAT",DataAreaId,"T.InventTableModule","%TaxItemGroupId","","","","","","","ItemId|ModuleType",$A12,"Purch")</f>
        <v>#NAME?</v>
      </c>
    </row>
    <row r="13" spans="1:7" x14ac:dyDescent="0.15">
      <c r="A13" s="3" t="s">
        <v>1346</v>
      </c>
      <c r="B13" s="3" t="s">
        <v>1347</v>
      </c>
      <c r="C13" s="3" t="s">
        <v>1347</v>
      </c>
      <c r="D13" s="3" t="s">
        <v>53</v>
      </c>
      <c r="E13" s="3" t="s">
        <v>54</v>
      </c>
      <c r="F13" s="3" t="s">
        <v>14</v>
      </c>
      <c r="G13" s="5" t="e">
        <f ca="1">_xll.AtlasFormulas.AtlasFunctions.AtlasTable("UAT",DataAreaId,"T.InventTableModule","%TaxItemGroupId","","","","","","","ItemId|ModuleType",$A13,"Purch")</f>
        <v>#NAME?</v>
      </c>
    </row>
    <row r="14" spans="1:7" x14ac:dyDescent="0.15">
      <c r="A14" s="3" t="s">
        <v>1348</v>
      </c>
      <c r="B14" s="3" t="s">
        <v>809</v>
      </c>
      <c r="C14" s="3" t="s">
        <v>808</v>
      </c>
      <c r="D14" s="3" t="s">
        <v>717</v>
      </c>
      <c r="E14" s="3" t="s">
        <v>54</v>
      </c>
      <c r="F14" s="3" t="s">
        <v>14</v>
      </c>
      <c r="G14" s="5" t="e">
        <f ca="1">_xll.AtlasFormulas.AtlasFunctions.AtlasTable("UAT",DataAreaId,"T.InventTableModule","%TaxItemGroupId","","","","","","","ItemId|ModuleType",$A14,"Purch")</f>
        <v>#NAME?</v>
      </c>
    </row>
    <row r="15" spans="1:7" x14ac:dyDescent="0.15">
      <c r="A15" s="3" t="s">
        <v>1349</v>
      </c>
      <c r="B15" s="3" t="s">
        <v>821</v>
      </c>
      <c r="C15" s="3" t="s">
        <v>820</v>
      </c>
      <c r="D15" s="3" t="s">
        <v>717</v>
      </c>
      <c r="E15" s="3" t="s">
        <v>54</v>
      </c>
      <c r="F15" s="3" t="s">
        <v>14</v>
      </c>
      <c r="G15" s="5" t="e">
        <f ca="1">_xll.AtlasFormulas.AtlasFunctions.AtlasTable("UAT",DataAreaId,"T.InventTableModule","%TaxItemGroupId","","","","","","","ItemId|ModuleType",$A15,"Purch")</f>
        <v>#NAME?</v>
      </c>
    </row>
    <row r="16" spans="1:7" x14ac:dyDescent="0.15">
      <c r="A16" s="3" t="s">
        <v>1350</v>
      </c>
      <c r="B16" s="3" t="s">
        <v>1351</v>
      </c>
      <c r="C16" s="3" t="s">
        <v>1352</v>
      </c>
      <c r="D16" s="3" t="s">
        <v>53</v>
      </c>
      <c r="E16" s="3" t="s">
        <v>54</v>
      </c>
      <c r="F16" s="3" t="s">
        <v>14</v>
      </c>
      <c r="G16" s="5" t="e">
        <f ca="1">_xll.AtlasFormulas.AtlasFunctions.AtlasTable("UAT",DataAreaId,"T.InventTableModule","%TaxItemGroupId","","","","","","","ItemId|ModuleType",$A16,"Purch")</f>
        <v>#NAME?</v>
      </c>
    </row>
    <row r="17" spans="1:7" x14ac:dyDescent="0.15">
      <c r="A17" s="3" t="s">
        <v>718</v>
      </c>
      <c r="B17" s="3" t="s">
        <v>719</v>
      </c>
      <c r="C17" s="3" t="s">
        <v>720</v>
      </c>
      <c r="D17" s="3" t="s">
        <v>56</v>
      </c>
      <c r="E17" s="3" t="s">
        <v>57</v>
      </c>
      <c r="F17" s="3" t="s">
        <v>15</v>
      </c>
      <c r="G17" s="5" t="e">
        <f ca="1">_xll.AtlasFormulas.AtlasFunctions.AtlasTable("UAT",DataAreaId,"T.InventTableModule","%TaxItemGroupId","","","","","","","ItemId|ModuleType",$A17,"Purch")</f>
        <v>#NAME?</v>
      </c>
    </row>
    <row r="18" spans="1:7" x14ac:dyDescent="0.15">
      <c r="A18" s="3" t="s">
        <v>721</v>
      </c>
      <c r="B18" s="3" t="s">
        <v>722</v>
      </c>
      <c r="C18" s="3" t="s">
        <v>723</v>
      </c>
      <c r="D18" s="3" t="s">
        <v>56</v>
      </c>
      <c r="E18" s="3" t="s">
        <v>57</v>
      </c>
      <c r="F18" s="3" t="s">
        <v>15</v>
      </c>
      <c r="G18" s="5" t="e">
        <f ca="1">_xll.AtlasFormulas.AtlasFunctions.AtlasTable("UAT",DataAreaId,"T.InventTableModule","%TaxItemGroupId","","","","","","","ItemId|ModuleType",$A18,"Purch")</f>
        <v>#NAME?</v>
      </c>
    </row>
    <row r="19" spans="1:7" x14ac:dyDescent="0.15">
      <c r="A19" s="3" t="s">
        <v>1353</v>
      </c>
      <c r="B19" s="3" t="s">
        <v>819</v>
      </c>
      <c r="C19" s="3" t="s">
        <v>818</v>
      </c>
      <c r="D19" s="3" t="s">
        <v>717</v>
      </c>
      <c r="E19" s="3" t="s">
        <v>54</v>
      </c>
      <c r="F19" s="3" t="s">
        <v>14</v>
      </c>
      <c r="G19" s="5" t="e">
        <f ca="1">_xll.AtlasFormulas.AtlasFunctions.AtlasTable("UAT",DataAreaId,"T.InventTableModule","%TaxItemGroupId","","","","","","","ItemId|ModuleType",$A19,"Purch")</f>
        <v>#NAME?</v>
      </c>
    </row>
    <row r="20" spans="1:7" x14ac:dyDescent="0.15">
      <c r="A20" s="3" t="s">
        <v>724</v>
      </c>
      <c r="B20" s="3" t="s">
        <v>725</v>
      </c>
      <c r="C20" s="3" t="s">
        <v>726</v>
      </c>
      <c r="D20" s="3" t="s">
        <v>717</v>
      </c>
      <c r="E20" s="3" t="s">
        <v>54</v>
      </c>
      <c r="F20" s="3" t="s">
        <v>14</v>
      </c>
      <c r="G20" s="5" t="e">
        <f ca="1">_xll.AtlasFormulas.AtlasFunctions.AtlasTable("UAT",DataAreaId,"T.InventTableModule","%TaxItemGroupId","","","","","","","ItemId|ModuleType",$A20,"Purch")</f>
        <v>#NAME?</v>
      </c>
    </row>
    <row r="21" spans="1:7" x14ac:dyDescent="0.15">
      <c r="A21" s="3" t="s">
        <v>727</v>
      </c>
      <c r="B21" s="3" t="s">
        <v>728</v>
      </c>
      <c r="C21" s="3" t="s">
        <v>729</v>
      </c>
      <c r="D21" s="3" t="s">
        <v>717</v>
      </c>
      <c r="E21" s="3" t="s">
        <v>54</v>
      </c>
      <c r="F21" s="3" t="s">
        <v>14</v>
      </c>
      <c r="G21" s="5" t="e">
        <f ca="1">_xll.AtlasFormulas.AtlasFunctions.AtlasTable("UAT",DataAreaId,"T.InventTableModule","%TaxItemGroupId","","","","","","","ItemId|ModuleType",$A21,"Purch")</f>
        <v>#NAME?</v>
      </c>
    </row>
    <row r="22" spans="1:7" x14ac:dyDescent="0.15">
      <c r="A22" s="3" t="s">
        <v>730</v>
      </c>
      <c r="B22" s="3" t="s">
        <v>731</v>
      </c>
      <c r="C22" s="3" t="s">
        <v>732</v>
      </c>
      <c r="D22" s="3" t="s">
        <v>717</v>
      </c>
      <c r="E22" s="3" t="s">
        <v>54</v>
      </c>
      <c r="F22" s="3" t="s">
        <v>14</v>
      </c>
      <c r="G22" s="5" t="e">
        <f ca="1">_xll.AtlasFormulas.AtlasFunctions.AtlasTable("UAT",DataAreaId,"T.InventTableModule","%TaxItemGroupId","","","","","","","ItemId|ModuleType",$A22,"Purch")</f>
        <v>#NAME?</v>
      </c>
    </row>
    <row r="23" spans="1:7" x14ac:dyDescent="0.15">
      <c r="A23" s="3" t="s">
        <v>733</v>
      </c>
      <c r="B23" s="3" t="s">
        <v>734</v>
      </c>
      <c r="C23" s="3" t="s">
        <v>735</v>
      </c>
      <c r="D23" s="3" t="s">
        <v>717</v>
      </c>
      <c r="E23" s="3" t="s">
        <v>54</v>
      </c>
      <c r="F23" s="3" t="s">
        <v>14</v>
      </c>
      <c r="G23" s="5" t="e">
        <f ca="1">_xll.AtlasFormulas.AtlasFunctions.AtlasTable("UAT",DataAreaId,"T.InventTableModule","%TaxItemGroupId","","","","","","","ItemId|ModuleType",$A23,"Purch")</f>
        <v>#NAME?</v>
      </c>
    </row>
    <row r="24" spans="1:7" x14ac:dyDescent="0.15">
      <c r="A24" s="3" t="s">
        <v>1354</v>
      </c>
      <c r="B24" s="3" t="s">
        <v>1355</v>
      </c>
      <c r="C24" s="3" t="s">
        <v>1355</v>
      </c>
      <c r="D24" s="3" t="s">
        <v>53</v>
      </c>
      <c r="E24" s="3" t="s">
        <v>54</v>
      </c>
      <c r="F24" s="3" t="s">
        <v>14</v>
      </c>
      <c r="G24" s="5" t="e">
        <f ca="1">_xll.AtlasFormulas.AtlasFunctions.AtlasTable("UAT",DataAreaId,"T.InventTableModule","%TaxItemGroupId","","","","","","","ItemId|ModuleType",$A24,"Purch")</f>
        <v>#NAME?</v>
      </c>
    </row>
    <row r="25" spans="1:7" x14ac:dyDescent="0.15">
      <c r="A25" s="3" t="s">
        <v>1356</v>
      </c>
      <c r="B25" s="3" t="s">
        <v>1357</v>
      </c>
      <c r="C25" s="3" t="s">
        <v>1357</v>
      </c>
      <c r="D25" s="3" t="s">
        <v>53</v>
      </c>
      <c r="E25" s="3" t="s">
        <v>54</v>
      </c>
      <c r="F25" s="3" t="s">
        <v>14</v>
      </c>
      <c r="G25" s="5" t="e">
        <f ca="1">_xll.AtlasFormulas.AtlasFunctions.AtlasTable("UAT",DataAreaId,"T.InventTableModule","%TaxItemGroupId","","","","","","","ItemId|ModuleType",$A25,"Purch")</f>
        <v>#NAME?</v>
      </c>
    </row>
    <row r="26" spans="1:7" x14ac:dyDescent="0.15">
      <c r="A26" s="3" t="s">
        <v>1358</v>
      </c>
      <c r="B26" s="3" t="s">
        <v>1359</v>
      </c>
      <c r="C26" s="3" t="s">
        <v>1359</v>
      </c>
      <c r="D26" s="3" t="s">
        <v>53</v>
      </c>
      <c r="E26" s="3" t="s">
        <v>54</v>
      </c>
      <c r="F26" s="3" t="s">
        <v>14</v>
      </c>
      <c r="G26" s="5" t="e">
        <f ca="1">_xll.AtlasFormulas.AtlasFunctions.AtlasTable("UAT",DataAreaId,"T.InventTableModule","%TaxItemGroupId","","","","","","","ItemId|ModuleType",$A26,"Purch")</f>
        <v>#NAME?</v>
      </c>
    </row>
    <row r="27" spans="1:7" x14ac:dyDescent="0.15">
      <c r="A27" s="3" t="s">
        <v>1360</v>
      </c>
      <c r="B27" s="3" t="s">
        <v>1361</v>
      </c>
      <c r="C27" s="3" t="s">
        <v>1361</v>
      </c>
      <c r="D27" s="3" t="s">
        <v>53</v>
      </c>
      <c r="E27" s="3" t="s">
        <v>54</v>
      </c>
      <c r="F27" s="3" t="s">
        <v>14</v>
      </c>
      <c r="G27" s="5" t="e">
        <f ca="1">_xll.AtlasFormulas.AtlasFunctions.AtlasTable("UAT",DataAreaId,"T.InventTableModule","%TaxItemGroupId","","","","","","","ItemId|ModuleType",$A27,"Purch")</f>
        <v>#NAME?</v>
      </c>
    </row>
    <row r="28" spans="1:7" x14ac:dyDescent="0.15">
      <c r="A28" s="3" t="s">
        <v>736</v>
      </c>
      <c r="B28" s="3" t="s">
        <v>737</v>
      </c>
      <c r="C28" s="3" t="s">
        <v>738</v>
      </c>
      <c r="D28" s="3" t="s">
        <v>717</v>
      </c>
      <c r="E28" s="3" t="s">
        <v>54</v>
      </c>
      <c r="F28" s="3" t="s">
        <v>14</v>
      </c>
      <c r="G28" s="5" t="e">
        <f ca="1">_xll.AtlasFormulas.AtlasFunctions.AtlasTable("UAT",DataAreaId,"T.InventTableModule","%TaxItemGroupId","","","","","","","ItemId|ModuleType",$A28,"Purch")</f>
        <v>#NAME?</v>
      </c>
    </row>
    <row r="29" spans="1:7" x14ac:dyDescent="0.15">
      <c r="A29" s="3" t="s">
        <v>739</v>
      </c>
      <c r="B29" s="3" t="s">
        <v>1362</v>
      </c>
      <c r="C29" s="3" t="s">
        <v>739</v>
      </c>
      <c r="D29" s="3" t="s">
        <v>53</v>
      </c>
      <c r="E29" s="3" t="s">
        <v>58</v>
      </c>
      <c r="F29" s="3" t="s">
        <v>14</v>
      </c>
      <c r="G29" s="5" t="e">
        <f ca="1">_xll.AtlasFormulas.AtlasFunctions.AtlasTable("UAT",DataAreaId,"T.InventTableModule","%TaxItemGroupId","","","","","","","ItemId|ModuleType",$A29,"Purch")</f>
        <v>#NAME?</v>
      </c>
    </row>
    <row r="30" spans="1:7" x14ac:dyDescent="0.15">
      <c r="A30" s="3" t="s">
        <v>740</v>
      </c>
      <c r="B30" s="3" t="s">
        <v>1363</v>
      </c>
      <c r="C30" s="3" t="s">
        <v>740</v>
      </c>
      <c r="D30" s="3" t="s">
        <v>53</v>
      </c>
      <c r="E30" s="3" t="s">
        <v>58</v>
      </c>
      <c r="F30" s="3" t="s">
        <v>14</v>
      </c>
      <c r="G30" s="5" t="e">
        <f ca="1">_xll.AtlasFormulas.AtlasFunctions.AtlasTable("UAT",DataAreaId,"T.InventTableModule","%TaxItemGroupId","","","","","","","ItemId|ModuleType",$A30,"Purch")</f>
        <v>#NAME?</v>
      </c>
    </row>
    <row r="31" spans="1:7" x14ac:dyDescent="0.15">
      <c r="A31" s="3" t="s">
        <v>741</v>
      </c>
      <c r="B31" s="3" t="s">
        <v>1364</v>
      </c>
      <c r="C31" s="3" t="s">
        <v>741</v>
      </c>
      <c r="D31" s="3" t="s">
        <v>53</v>
      </c>
      <c r="E31" s="3" t="s">
        <v>58</v>
      </c>
      <c r="F31" s="3" t="s">
        <v>14</v>
      </c>
      <c r="G31" s="5" t="e">
        <f ca="1">_xll.AtlasFormulas.AtlasFunctions.AtlasTable("UAT",DataAreaId,"T.InventTableModule","%TaxItemGroupId","","","","","","","ItemId|ModuleType",$A31,"Purch")</f>
        <v>#NAME?</v>
      </c>
    </row>
    <row r="32" spans="1:7" x14ac:dyDescent="0.15">
      <c r="A32" s="3" t="s">
        <v>59</v>
      </c>
      <c r="B32" s="3" t="s">
        <v>60</v>
      </c>
      <c r="C32" s="3" t="s">
        <v>61</v>
      </c>
      <c r="D32" s="3" t="s">
        <v>56</v>
      </c>
      <c r="E32" s="3" t="s">
        <v>57</v>
      </c>
      <c r="F32" s="3" t="s">
        <v>14</v>
      </c>
      <c r="G32" s="5" t="e">
        <f ca="1">_xll.AtlasFormulas.AtlasFunctions.AtlasTable("UAT",DataAreaId,"T.InventTableModule","%TaxItemGroupId","","","","","","","ItemId|ModuleType",$A32,"Purch")</f>
        <v>#NAME?</v>
      </c>
    </row>
    <row r="33" spans="1:7" x14ac:dyDescent="0.15">
      <c r="A33" s="3" t="s">
        <v>1365</v>
      </c>
      <c r="B33" s="3" t="s">
        <v>807</v>
      </c>
      <c r="C33" s="3" t="s">
        <v>806</v>
      </c>
      <c r="D33" s="3" t="s">
        <v>717</v>
      </c>
      <c r="E33" s="3" t="s">
        <v>54</v>
      </c>
      <c r="F33" s="3" t="s">
        <v>14</v>
      </c>
      <c r="G33" s="5" t="e">
        <f ca="1">_xll.AtlasFormulas.AtlasFunctions.AtlasTable("UAT",DataAreaId,"T.InventTableModule","%TaxItemGroupId","","","","","","","ItemId|ModuleType",$A33,"Purch")</f>
        <v>#NAME?</v>
      </c>
    </row>
    <row r="34" spans="1:7" x14ac:dyDescent="0.15">
      <c r="A34" s="3" t="s">
        <v>1366</v>
      </c>
      <c r="B34" s="3" t="s">
        <v>823</v>
      </c>
      <c r="C34" s="3" t="s">
        <v>822</v>
      </c>
      <c r="D34" s="3" t="s">
        <v>717</v>
      </c>
      <c r="E34" s="3" t="s">
        <v>54</v>
      </c>
      <c r="F34" s="3" t="s">
        <v>14</v>
      </c>
      <c r="G34" s="5" t="e">
        <f ca="1">_xll.AtlasFormulas.AtlasFunctions.AtlasTable("UAT",DataAreaId,"T.InventTableModule","%TaxItemGroupId","","","","","","","ItemId|ModuleType",$A34,"Purch")</f>
        <v>#NAME?</v>
      </c>
    </row>
    <row r="35" spans="1:7" x14ac:dyDescent="0.15">
      <c r="A35" s="3" t="s">
        <v>1367</v>
      </c>
      <c r="B35" s="3" t="s">
        <v>815</v>
      </c>
      <c r="C35" s="3" t="s">
        <v>814</v>
      </c>
      <c r="D35" s="3" t="s">
        <v>717</v>
      </c>
      <c r="E35" s="3" t="s">
        <v>54</v>
      </c>
      <c r="F35" s="3" t="s">
        <v>14</v>
      </c>
      <c r="G35" s="5" t="e">
        <f ca="1">_xll.AtlasFormulas.AtlasFunctions.AtlasTable("UAT",DataAreaId,"T.InventTableModule","%TaxItemGroupId","","","","","","","ItemId|ModuleType",$A35,"Purch")</f>
        <v>#NAME?</v>
      </c>
    </row>
    <row r="36" spans="1:7" x14ac:dyDescent="0.15">
      <c r="A36" s="3" t="s">
        <v>742</v>
      </c>
      <c r="B36" s="3" t="s">
        <v>743</v>
      </c>
      <c r="C36" s="3" t="s">
        <v>744</v>
      </c>
      <c r="D36" s="3" t="s">
        <v>717</v>
      </c>
      <c r="E36" s="3" t="s">
        <v>54</v>
      </c>
      <c r="F36" s="3" t="s">
        <v>14</v>
      </c>
      <c r="G36" s="5" t="e">
        <f ca="1">_xll.AtlasFormulas.AtlasFunctions.AtlasTable("UAT",DataAreaId,"T.InventTableModule","%TaxItemGroupId","","","","","","","ItemId|ModuleType",$A36,"Purch")</f>
        <v>#NAME?</v>
      </c>
    </row>
    <row r="37" spans="1:7" x14ac:dyDescent="0.15">
      <c r="A37" s="3" t="s">
        <v>745</v>
      </c>
      <c r="B37" s="3" t="s">
        <v>746</v>
      </c>
      <c r="C37" s="3" t="s">
        <v>747</v>
      </c>
      <c r="D37" s="3" t="s">
        <v>717</v>
      </c>
      <c r="E37" s="3" t="s">
        <v>54</v>
      </c>
      <c r="F37" s="3" t="s">
        <v>14</v>
      </c>
      <c r="G37" s="5" t="e">
        <f ca="1">_xll.AtlasFormulas.AtlasFunctions.AtlasTable("UAT",DataAreaId,"T.InventTableModule","%TaxItemGroupId","","","","","","","ItemId|ModuleType",$A37,"Purch")</f>
        <v>#NAME?</v>
      </c>
    </row>
    <row r="38" spans="1:7" x14ac:dyDescent="0.15">
      <c r="A38" s="3" t="s">
        <v>748</v>
      </c>
      <c r="B38" s="3" t="s">
        <v>749</v>
      </c>
      <c r="C38" s="3" t="s">
        <v>750</v>
      </c>
      <c r="D38" s="3" t="s">
        <v>717</v>
      </c>
      <c r="E38" s="3" t="s">
        <v>54</v>
      </c>
      <c r="F38" s="3" t="s">
        <v>14</v>
      </c>
      <c r="G38" s="5" t="e">
        <f ca="1">_xll.AtlasFormulas.AtlasFunctions.AtlasTable("UAT",DataAreaId,"T.InventTableModule","%TaxItemGroupId","","","","","","","ItemId|ModuleType",$A38,"Purch")</f>
        <v>#NAME?</v>
      </c>
    </row>
    <row r="39" spans="1:7" x14ac:dyDescent="0.15">
      <c r="A39" s="3" t="s">
        <v>751</v>
      </c>
      <c r="B39" s="3" t="s">
        <v>752</v>
      </c>
      <c r="C39" s="3" t="s">
        <v>753</v>
      </c>
      <c r="D39" s="3" t="s">
        <v>717</v>
      </c>
      <c r="E39" s="3" t="s">
        <v>54</v>
      </c>
      <c r="F39" s="3" t="s">
        <v>14</v>
      </c>
      <c r="G39" s="5" t="e">
        <f ca="1">_xll.AtlasFormulas.AtlasFunctions.AtlasTable("UAT",DataAreaId,"T.InventTableModule","%TaxItemGroupId","","","","","","","ItemId|ModuleType",$A39,"Purch")</f>
        <v>#NAME?</v>
      </c>
    </row>
    <row r="40" spans="1:7" x14ac:dyDescent="0.15">
      <c r="A40" s="3" t="s">
        <v>754</v>
      </c>
      <c r="B40" s="3" t="s">
        <v>755</v>
      </c>
      <c r="C40" s="3" t="s">
        <v>756</v>
      </c>
      <c r="D40" s="3" t="s">
        <v>717</v>
      </c>
      <c r="E40" s="3" t="s">
        <v>54</v>
      </c>
      <c r="F40" s="3" t="s">
        <v>14</v>
      </c>
      <c r="G40" s="5" t="e">
        <f ca="1">_xll.AtlasFormulas.AtlasFunctions.AtlasTable("UAT",DataAreaId,"T.InventTableModule","%TaxItemGroupId","","","","","","","ItemId|ModuleType",$A40,"Purch")</f>
        <v>#NAME?</v>
      </c>
    </row>
    <row r="41" spans="1:7" x14ac:dyDescent="0.15">
      <c r="A41" s="3" t="s">
        <v>757</v>
      </c>
      <c r="B41" s="3" t="s">
        <v>758</v>
      </c>
      <c r="C41" s="3" t="s">
        <v>759</v>
      </c>
      <c r="D41" s="3" t="s">
        <v>717</v>
      </c>
      <c r="E41" s="3" t="s">
        <v>54</v>
      </c>
      <c r="F41" s="3" t="s">
        <v>14</v>
      </c>
      <c r="G41" s="5" t="e">
        <f ca="1">_xll.AtlasFormulas.AtlasFunctions.AtlasTable("UAT",DataAreaId,"T.InventTableModule","%TaxItemGroupId","","","","","","","ItemId|ModuleType",$A41,"Purch")</f>
        <v>#NAME?</v>
      </c>
    </row>
    <row r="42" spans="1:7" x14ac:dyDescent="0.15">
      <c r="A42" s="3" t="s">
        <v>760</v>
      </c>
      <c r="B42" s="3" t="s">
        <v>761</v>
      </c>
      <c r="C42" s="3" t="s">
        <v>762</v>
      </c>
      <c r="D42" s="3" t="s">
        <v>717</v>
      </c>
      <c r="E42" s="3" t="s">
        <v>54</v>
      </c>
      <c r="F42" s="3" t="s">
        <v>14</v>
      </c>
      <c r="G42" s="5" t="e">
        <f ca="1">_xll.AtlasFormulas.AtlasFunctions.AtlasTable("UAT",DataAreaId,"T.InventTableModule","%TaxItemGroupId","","","","","","","ItemId|ModuleType",$A42,"Purch")</f>
        <v>#NAME?</v>
      </c>
    </row>
    <row r="43" spans="1:7" x14ac:dyDescent="0.15">
      <c r="A43" s="3" t="s">
        <v>763</v>
      </c>
      <c r="B43" s="3" t="s">
        <v>764</v>
      </c>
      <c r="C43" s="3" t="s">
        <v>765</v>
      </c>
      <c r="D43" s="3" t="s">
        <v>717</v>
      </c>
      <c r="E43" s="3" t="s">
        <v>54</v>
      </c>
      <c r="F43" s="3" t="s">
        <v>14</v>
      </c>
      <c r="G43" s="5" t="e">
        <f ca="1">_xll.AtlasFormulas.AtlasFunctions.AtlasTable("UAT",DataAreaId,"T.InventTableModule","%TaxItemGroupId","","","","","","","ItemId|ModuleType",$A43,"Purch")</f>
        <v>#NAME?</v>
      </c>
    </row>
    <row r="44" spans="1:7" x14ac:dyDescent="0.15">
      <c r="A44" s="3" t="s">
        <v>1368</v>
      </c>
      <c r="B44" s="3" t="s">
        <v>1369</v>
      </c>
      <c r="C44" s="3" t="s">
        <v>1370</v>
      </c>
      <c r="D44" s="3" t="s">
        <v>53</v>
      </c>
      <c r="E44" s="3" t="s">
        <v>54</v>
      </c>
      <c r="F44" s="3" t="s">
        <v>14</v>
      </c>
      <c r="G44" s="5" t="e">
        <f ca="1">_xll.AtlasFormulas.AtlasFunctions.AtlasTable("UAT",DataAreaId,"T.InventTableModule","%TaxItemGroupId","","","","","","","ItemId|ModuleType",$A44,"Purch")</f>
        <v>#NAME?</v>
      </c>
    </row>
    <row r="45" spans="1:7" x14ac:dyDescent="0.15">
      <c r="A45" s="3" t="s">
        <v>766</v>
      </c>
      <c r="B45" s="3" t="s">
        <v>1371</v>
      </c>
      <c r="C45" s="3" t="s">
        <v>766</v>
      </c>
      <c r="D45" s="3" t="s">
        <v>53</v>
      </c>
      <c r="E45" s="3" t="s">
        <v>58</v>
      </c>
      <c r="F45" s="3" t="s">
        <v>14</v>
      </c>
      <c r="G45" s="5" t="e">
        <f ca="1">_xll.AtlasFormulas.AtlasFunctions.AtlasTable("UAT",DataAreaId,"T.InventTableModule","%TaxItemGroupId","","","","","","","ItemId|ModuleType",$A45,"Purch")</f>
        <v>#NAME?</v>
      </c>
    </row>
    <row r="46" spans="1:7" x14ac:dyDescent="0.15">
      <c r="A46" s="3" t="s">
        <v>1372</v>
      </c>
      <c r="B46" s="3" t="s">
        <v>1373</v>
      </c>
      <c r="C46" s="3" t="s">
        <v>1372</v>
      </c>
      <c r="D46" s="3" t="s">
        <v>55</v>
      </c>
      <c r="E46" s="3" t="s">
        <v>58</v>
      </c>
      <c r="F46" s="3" t="s">
        <v>14</v>
      </c>
      <c r="G46" s="5" t="e">
        <f ca="1">_xll.AtlasFormulas.AtlasFunctions.AtlasTable("UAT",DataAreaId,"T.InventTableModule","%TaxItemGroupId","","","","","","","ItemId|ModuleType",$A46,"Purch")</f>
        <v>#NAME?</v>
      </c>
    </row>
    <row r="47" spans="1:7" x14ac:dyDescent="0.15">
      <c r="A47" s="3" t="s">
        <v>767</v>
      </c>
      <c r="B47" s="3" t="s">
        <v>1374</v>
      </c>
      <c r="C47" s="3" t="s">
        <v>767</v>
      </c>
      <c r="D47" s="3" t="s">
        <v>53</v>
      </c>
      <c r="E47" s="3" t="s">
        <v>58</v>
      </c>
      <c r="F47" s="3" t="s">
        <v>14</v>
      </c>
      <c r="G47" s="5" t="e">
        <f ca="1">_xll.AtlasFormulas.AtlasFunctions.AtlasTable("UAT",DataAreaId,"T.InventTableModule","%TaxItemGroupId","","","","","","","ItemId|ModuleType",$A47,"Purch")</f>
        <v>#NAME?</v>
      </c>
    </row>
    <row r="48" spans="1:7" x14ac:dyDescent="0.15">
      <c r="A48" s="3" t="s">
        <v>1375</v>
      </c>
      <c r="B48" s="3" t="s">
        <v>1376</v>
      </c>
      <c r="C48" s="3" t="s">
        <v>1375</v>
      </c>
      <c r="D48" s="3" t="s">
        <v>55</v>
      </c>
      <c r="E48" s="3" t="s">
        <v>58</v>
      </c>
      <c r="F48" s="3" t="s">
        <v>14</v>
      </c>
      <c r="G48" s="5" t="e">
        <f ca="1">_xll.AtlasFormulas.AtlasFunctions.AtlasTable("UAT",DataAreaId,"T.InventTableModule","%TaxItemGroupId","","","","","","","ItemId|ModuleType",$A48,"Purch")</f>
        <v>#NAME?</v>
      </c>
    </row>
    <row r="49" spans="1:7" x14ac:dyDescent="0.15">
      <c r="A49" s="3" t="s">
        <v>1377</v>
      </c>
      <c r="B49" s="3" t="s">
        <v>1378</v>
      </c>
      <c r="C49" s="3" t="s">
        <v>1379</v>
      </c>
      <c r="D49" s="3" t="s">
        <v>53</v>
      </c>
      <c r="E49" s="3" t="s">
        <v>54</v>
      </c>
      <c r="F49" s="3" t="s">
        <v>14</v>
      </c>
      <c r="G49" s="5" t="e">
        <f ca="1">_xll.AtlasFormulas.AtlasFunctions.AtlasTable("UAT",DataAreaId,"T.InventTableModule","%TaxItemGroupId","","","","","","","ItemId|ModuleType",$A49,"Purch")</f>
        <v>#NAME?</v>
      </c>
    </row>
    <row r="50" spans="1:7" x14ac:dyDescent="0.15">
      <c r="A50" s="3" t="s">
        <v>1380</v>
      </c>
      <c r="B50" s="3" t="s">
        <v>1381</v>
      </c>
      <c r="C50" s="3" t="s">
        <v>1382</v>
      </c>
      <c r="D50" s="3" t="s">
        <v>53</v>
      </c>
      <c r="E50" s="3" t="s">
        <v>54</v>
      </c>
      <c r="F50" s="3" t="s">
        <v>14</v>
      </c>
      <c r="G50" s="5" t="e">
        <f ca="1">_xll.AtlasFormulas.AtlasFunctions.AtlasTable("UAT",DataAreaId,"T.InventTableModule","%TaxItemGroupId","","","","","","","ItemId|ModuleType",$A50,"Purch")</f>
        <v>#NAME?</v>
      </c>
    </row>
    <row r="51" spans="1:7" x14ac:dyDescent="0.15">
      <c r="A51" s="3" t="s">
        <v>1383</v>
      </c>
      <c r="B51" s="3" t="s">
        <v>1384</v>
      </c>
      <c r="C51" s="3" t="s">
        <v>1385</v>
      </c>
      <c r="D51" s="3" t="s">
        <v>53</v>
      </c>
      <c r="E51" s="3" t="s">
        <v>54</v>
      </c>
      <c r="F51" s="3" t="s">
        <v>14</v>
      </c>
      <c r="G51" s="5" t="e">
        <f ca="1">_xll.AtlasFormulas.AtlasFunctions.AtlasTable("UAT",DataAreaId,"T.InventTableModule","%TaxItemGroupId","","","","","","","ItemId|ModuleType",$A51,"Purch")</f>
        <v>#NAME?</v>
      </c>
    </row>
    <row r="52" spans="1:7" x14ac:dyDescent="0.15">
      <c r="A52" s="3" t="s">
        <v>1386</v>
      </c>
      <c r="B52" s="3" t="s">
        <v>1387</v>
      </c>
      <c r="C52" s="3" t="s">
        <v>1388</v>
      </c>
      <c r="D52" s="3" t="s">
        <v>53</v>
      </c>
      <c r="E52" s="3" t="s">
        <v>54</v>
      </c>
      <c r="F52" s="3" t="s">
        <v>14</v>
      </c>
      <c r="G52" s="5" t="e">
        <f ca="1">_xll.AtlasFormulas.AtlasFunctions.AtlasTable("UAT",DataAreaId,"T.InventTableModule","%TaxItemGroupId","","","","","","","ItemId|ModuleType",$A52,"Purch")</f>
        <v>#NAME?</v>
      </c>
    </row>
    <row r="53" spans="1:7" x14ac:dyDescent="0.15">
      <c r="A53" s="3" t="s">
        <v>1389</v>
      </c>
      <c r="B53" s="3" t="s">
        <v>1390</v>
      </c>
      <c r="C53" s="3" t="s">
        <v>1391</v>
      </c>
      <c r="D53" s="3" t="s">
        <v>53</v>
      </c>
      <c r="E53" s="3" t="s">
        <v>54</v>
      </c>
      <c r="F53" s="3" t="s">
        <v>14</v>
      </c>
      <c r="G53" s="5" t="e">
        <f ca="1">_xll.AtlasFormulas.AtlasFunctions.AtlasTable("UAT",DataAreaId,"T.InventTableModule","%TaxItemGroupId","","","","","","","ItemId|ModuleType",$A53,"Purch")</f>
        <v>#NAME?</v>
      </c>
    </row>
    <row r="54" spans="1:7" x14ac:dyDescent="0.15">
      <c r="A54" s="3" t="s">
        <v>1392</v>
      </c>
      <c r="B54" s="3" t="s">
        <v>1393</v>
      </c>
      <c r="C54" s="3" t="s">
        <v>1394</v>
      </c>
      <c r="D54" s="3" t="s">
        <v>53</v>
      </c>
      <c r="E54" s="3" t="s">
        <v>54</v>
      </c>
      <c r="F54" s="3" t="s">
        <v>14</v>
      </c>
      <c r="G54" s="5" t="e">
        <f ca="1">_xll.AtlasFormulas.AtlasFunctions.AtlasTable("UAT",DataAreaId,"T.InventTableModule","%TaxItemGroupId","","","","","","","ItemId|ModuleType",$A54,"Purch")</f>
        <v>#NAME?</v>
      </c>
    </row>
    <row r="55" spans="1:7" x14ac:dyDescent="0.15">
      <c r="A55" s="3" t="s">
        <v>1395</v>
      </c>
      <c r="B55" s="3" t="s">
        <v>1396</v>
      </c>
      <c r="C55" s="3" t="s">
        <v>1397</v>
      </c>
      <c r="D55" s="3" t="s">
        <v>53</v>
      </c>
      <c r="E55" s="3" t="s">
        <v>54</v>
      </c>
      <c r="F55" s="3" t="s">
        <v>14</v>
      </c>
      <c r="G55" s="5" t="e">
        <f ca="1">_xll.AtlasFormulas.AtlasFunctions.AtlasTable("UAT",DataAreaId,"T.InventTableModule","%TaxItemGroupId","","","","","","","ItemId|ModuleType",$A55,"Purch")</f>
        <v>#NAME?</v>
      </c>
    </row>
    <row r="56" spans="1:7" x14ac:dyDescent="0.15">
      <c r="A56" s="3" t="s">
        <v>1398</v>
      </c>
      <c r="B56" s="3" t="s">
        <v>1399</v>
      </c>
      <c r="C56" s="3" t="s">
        <v>1400</v>
      </c>
      <c r="D56" s="3" t="s">
        <v>53</v>
      </c>
      <c r="E56" s="3" t="s">
        <v>54</v>
      </c>
      <c r="F56" s="3" t="s">
        <v>14</v>
      </c>
      <c r="G56" s="5" t="e">
        <f ca="1">_xll.AtlasFormulas.AtlasFunctions.AtlasTable("UAT",DataAreaId,"T.InventTableModule","%TaxItemGroupId","","","","","","","ItemId|ModuleType",$A56,"Purch")</f>
        <v>#NAME?</v>
      </c>
    </row>
    <row r="57" spans="1:7" x14ac:dyDescent="0.15">
      <c r="A57" s="3" t="s">
        <v>1401</v>
      </c>
      <c r="B57" s="3" t="s">
        <v>1402</v>
      </c>
      <c r="C57" s="3" t="s">
        <v>1402</v>
      </c>
      <c r="D57" s="3" t="s">
        <v>56</v>
      </c>
      <c r="E57" s="3" t="s">
        <v>57</v>
      </c>
      <c r="F57" s="3" t="s">
        <v>15</v>
      </c>
      <c r="G57" s="5" t="e">
        <f ca="1">_xll.AtlasFormulas.AtlasFunctions.AtlasTable("UAT",DataAreaId,"T.InventTableModule","%TaxItemGroupId","","","","","","","ItemId|ModuleType",$A57,"Purch")</f>
        <v>#NAME?</v>
      </c>
    </row>
    <row r="58" spans="1:7" x14ac:dyDescent="0.15">
      <c r="A58" s="3" t="s">
        <v>1403</v>
      </c>
      <c r="B58" s="3" t="s">
        <v>1404</v>
      </c>
      <c r="C58" s="3" t="s">
        <v>1404</v>
      </c>
      <c r="D58" s="3" t="s">
        <v>56</v>
      </c>
      <c r="E58" s="3" t="s">
        <v>57</v>
      </c>
      <c r="F58" s="3" t="s">
        <v>15</v>
      </c>
      <c r="G58" s="5" t="e">
        <f ca="1">_xll.AtlasFormulas.AtlasFunctions.AtlasTable("UAT",DataAreaId,"T.InventTableModule","%TaxItemGroupId","","","","","","","ItemId|ModuleType",$A58,"Purch")</f>
        <v>#NAME?</v>
      </c>
    </row>
    <row r="59" spans="1:7" x14ac:dyDescent="0.15">
      <c r="A59" s="3" t="s">
        <v>1405</v>
      </c>
      <c r="B59" s="3" t="s">
        <v>1406</v>
      </c>
      <c r="C59" s="3" t="s">
        <v>1406</v>
      </c>
      <c r="D59" s="3" t="s">
        <v>53</v>
      </c>
      <c r="E59" s="3" t="s">
        <v>54</v>
      </c>
      <c r="F59" s="3" t="s">
        <v>14</v>
      </c>
      <c r="G59" s="5" t="e">
        <f ca="1">_xll.AtlasFormulas.AtlasFunctions.AtlasTable("UAT",DataAreaId,"T.InventTableModule","%TaxItemGroupId","","","","","","","ItemId|ModuleType",$A59,"Purch")</f>
        <v>#NAME?</v>
      </c>
    </row>
    <row r="60" spans="1:7" x14ac:dyDescent="0.15">
      <c r="A60" s="3" t="s">
        <v>768</v>
      </c>
      <c r="B60" s="3" t="s">
        <v>768</v>
      </c>
      <c r="C60" s="3" t="s">
        <v>769</v>
      </c>
      <c r="D60" s="3" t="s">
        <v>56</v>
      </c>
      <c r="E60" s="3" t="s">
        <v>57</v>
      </c>
      <c r="F60" s="3" t="s">
        <v>15</v>
      </c>
      <c r="G60" s="5" t="e">
        <f ca="1">_xll.AtlasFormulas.AtlasFunctions.AtlasTable("UAT",DataAreaId,"T.InventTableModule","%TaxItemGroupId","","","","","","","ItemId|ModuleType",$A60,"Purch")</f>
        <v>#NAME?</v>
      </c>
    </row>
    <row r="61" spans="1:7" x14ac:dyDescent="0.15">
      <c r="A61" s="3" t="s">
        <v>770</v>
      </c>
      <c r="B61" s="3" t="s">
        <v>770</v>
      </c>
      <c r="C61" s="3" t="s">
        <v>771</v>
      </c>
      <c r="D61" s="3" t="s">
        <v>56</v>
      </c>
      <c r="E61" s="3" t="s">
        <v>57</v>
      </c>
      <c r="F61" s="3" t="s">
        <v>15</v>
      </c>
      <c r="G61" s="5" t="e">
        <f ca="1">_xll.AtlasFormulas.AtlasFunctions.AtlasTable("UAT",DataAreaId,"T.InventTableModule","%TaxItemGroupId","","","","","","","ItemId|ModuleType",$A61,"Purch")</f>
        <v>#NAME?</v>
      </c>
    </row>
    <row r="62" spans="1:7" x14ac:dyDescent="0.15">
      <c r="A62" s="3" t="s">
        <v>772</v>
      </c>
      <c r="B62" s="3" t="s">
        <v>773</v>
      </c>
      <c r="C62" s="3" t="s">
        <v>774</v>
      </c>
      <c r="D62" s="3" t="s">
        <v>717</v>
      </c>
      <c r="E62" s="3" t="s">
        <v>54</v>
      </c>
      <c r="F62" s="3" t="s">
        <v>14</v>
      </c>
      <c r="G62" s="5" t="e">
        <f ca="1">_xll.AtlasFormulas.AtlasFunctions.AtlasTable("UAT",DataAreaId,"T.InventTableModule","%TaxItemGroupId","","","","","","","ItemId|ModuleType",$A62,"Purch")</f>
        <v>#NAME?</v>
      </c>
    </row>
    <row r="63" spans="1:7" x14ac:dyDescent="0.15">
      <c r="A63" s="3" t="s">
        <v>775</v>
      </c>
      <c r="B63" s="3" t="s">
        <v>776</v>
      </c>
      <c r="C63" s="3" t="s">
        <v>777</v>
      </c>
      <c r="D63" s="3" t="s">
        <v>717</v>
      </c>
      <c r="E63" s="3" t="s">
        <v>54</v>
      </c>
      <c r="F63" s="3" t="s">
        <v>14</v>
      </c>
      <c r="G63" s="5" t="e">
        <f ca="1">_xll.AtlasFormulas.AtlasFunctions.AtlasTable("UAT",DataAreaId,"T.InventTableModule","%TaxItemGroupId","","","","","","","ItemId|ModuleType",$A63,"Purch")</f>
        <v>#NAME?</v>
      </c>
    </row>
    <row r="64" spans="1:7" x14ac:dyDescent="0.15">
      <c r="A64" s="3" t="s">
        <v>778</v>
      </c>
      <c r="B64" s="3" t="s">
        <v>778</v>
      </c>
      <c r="C64" s="3" t="s">
        <v>779</v>
      </c>
      <c r="D64" s="3" t="s">
        <v>56</v>
      </c>
      <c r="E64" s="3" t="s">
        <v>57</v>
      </c>
      <c r="F64" s="3" t="s">
        <v>15</v>
      </c>
      <c r="G64" s="5" t="e">
        <f ca="1">_xll.AtlasFormulas.AtlasFunctions.AtlasTable("UAT",DataAreaId,"T.InventTableModule","%TaxItemGroupId","","","","","","","ItemId|ModuleType",$A64,"Purch")</f>
        <v>#NAME?</v>
      </c>
    </row>
    <row r="65" spans="1:7" x14ac:dyDescent="0.15">
      <c r="A65" s="3" t="s">
        <v>780</v>
      </c>
      <c r="B65" s="3" t="s">
        <v>780</v>
      </c>
      <c r="C65" s="3" t="s">
        <v>781</v>
      </c>
      <c r="D65" s="3" t="s">
        <v>56</v>
      </c>
      <c r="E65" s="3" t="s">
        <v>57</v>
      </c>
      <c r="F65" s="3" t="s">
        <v>15</v>
      </c>
      <c r="G65" s="5" t="e">
        <f ca="1">_xll.AtlasFormulas.AtlasFunctions.AtlasTable("UAT",DataAreaId,"T.InventTableModule","%TaxItemGroupId","","","","","","","ItemId|ModuleType",$A65,"Purch")</f>
        <v>#NAME?</v>
      </c>
    </row>
    <row r="66" spans="1:7" x14ac:dyDescent="0.15">
      <c r="A66" s="3" t="s">
        <v>782</v>
      </c>
      <c r="B66" s="3" t="s">
        <v>782</v>
      </c>
      <c r="C66" s="3" t="s">
        <v>783</v>
      </c>
      <c r="D66" s="3" t="s">
        <v>56</v>
      </c>
      <c r="E66" s="3" t="s">
        <v>57</v>
      </c>
      <c r="F66" s="3" t="s">
        <v>15</v>
      </c>
      <c r="G66" s="5" t="e">
        <f ca="1">_xll.AtlasFormulas.AtlasFunctions.AtlasTable("UAT",DataAreaId,"T.InventTableModule","%TaxItemGroupId","","","","","","","ItemId|ModuleType",$A66,"Purch")</f>
        <v>#NAME?</v>
      </c>
    </row>
    <row r="67" spans="1:7" x14ac:dyDescent="0.15">
      <c r="A67" s="3" t="s">
        <v>784</v>
      </c>
      <c r="B67" s="3" t="s">
        <v>784</v>
      </c>
      <c r="C67" s="3" t="s">
        <v>785</v>
      </c>
      <c r="D67" s="3" t="s">
        <v>56</v>
      </c>
      <c r="E67" s="3" t="s">
        <v>57</v>
      </c>
      <c r="F67" s="3" t="s">
        <v>15</v>
      </c>
      <c r="G67" s="5" t="e">
        <f ca="1">_xll.AtlasFormulas.AtlasFunctions.AtlasTable("UAT",DataAreaId,"T.InventTableModule","%TaxItemGroupId","","","","","","","ItemId|ModuleType",$A67,"Purch")</f>
        <v>#NAME?</v>
      </c>
    </row>
    <row r="68" spans="1:7" x14ac:dyDescent="0.15">
      <c r="A68" s="3" t="s">
        <v>786</v>
      </c>
      <c r="B68" s="3" t="s">
        <v>786</v>
      </c>
      <c r="C68" s="3" t="s">
        <v>787</v>
      </c>
      <c r="D68" s="3" t="s">
        <v>56</v>
      </c>
      <c r="E68" s="3" t="s">
        <v>57</v>
      </c>
      <c r="F68" s="3" t="s">
        <v>15</v>
      </c>
      <c r="G68" s="5" t="e">
        <f ca="1">_xll.AtlasFormulas.AtlasFunctions.AtlasTable("UAT",DataAreaId,"T.InventTableModule","%TaxItemGroupId","","","","","","","ItemId|ModuleType",$A68,"Purch")</f>
        <v>#NAME?</v>
      </c>
    </row>
    <row r="69" spans="1:7" x14ac:dyDescent="0.15">
      <c r="A69" s="3" t="s">
        <v>788</v>
      </c>
      <c r="B69" s="3" t="s">
        <v>788</v>
      </c>
      <c r="C69" s="3" t="s">
        <v>789</v>
      </c>
      <c r="D69" s="3" t="s">
        <v>56</v>
      </c>
      <c r="E69" s="3" t="s">
        <v>57</v>
      </c>
      <c r="F69" s="3" t="s">
        <v>15</v>
      </c>
      <c r="G69" s="5" t="e">
        <f ca="1">_xll.AtlasFormulas.AtlasFunctions.AtlasTable("UAT",DataAreaId,"T.InventTableModule","%TaxItemGroupId","","","","","","","ItemId|ModuleType",$A69,"Purch")</f>
        <v>#NAME?</v>
      </c>
    </row>
    <row r="70" spans="1:7" x14ac:dyDescent="0.15">
      <c r="A70" s="3" t="s">
        <v>790</v>
      </c>
      <c r="B70" s="3" t="s">
        <v>1407</v>
      </c>
      <c r="C70" s="3" t="s">
        <v>790</v>
      </c>
      <c r="D70" s="3" t="s">
        <v>53</v>
      </c>
      <c r="E70" s="3" t="s">
        <v>58</v>
      </c>
      <c r="F70" s="3" t="s">
        <v>14</v>
      </c>
      <c r="G70" s="5" t="e">
        <f ca="1">_xll.AtlasFormulas.AtlasFunctions.AtlasTable("UAT",DataAreaId,"T.InventTableModule","%TaxItemGroupId","","","","","","","ItemId|ModuleType",$A70,"Purch")</f>
        <v>#NAME?</v>
      </c>
    </row>
    <row r="71" spans="1:7" x14ac:dyDescent="0.15">
      <c r="A71" s="3" t="s">
        <v>1408</v>
      </c>
      <c r="B71" s="3" t="s">
        <v>1409</v>
      </c>
      <c r="C71" s="3" t="s">
        <v>1408</v>
      </c>
      <c r="D71" s="3" t="s">
        <v>55</v>
      </c>
      <c r="E71" s="3" t="s">
        <v>58</v>
      </c>
      <c r="F71" s="3" t="s">
        <v>14</v>
      </c>
      <c r="G71" s="5" t="e">
        <f ca="1">_xll.AtlasFormulas.AtlasFunctions.AtlasTable("UAT",DataAreaId,"T.InventTableModule","%TaxItemGroupId","","","","","","","ItemId|ModuleType",$A71,"Purch")</f>
        <v>#NAME?</v>
      </c>
    </row>
    <row r="72" spans="1:7" x14ac:dyDescent="0.15">
      <c r="A72" s="3" t="s">
        <v>791</v>
      </c>
      <c r="B72" s="3" t="s">
        <v>1410</v>
      </c>
      <c r="C72" s="3" t="s">
        <v>791</v>
      </c>
      <c r="D72" s="3" t="s">
        <v>53</v>
      </c>
      <c r="E72" s="3" t="s">
        <v>58</v>
      </c>
      <c r="F72" s="3" t="s">
        <v>14</v>
      </c>
      <c r="G72" s="5" t="e">
        <f ca="1">_xll.AtlasFormulas.AtlasFunctions.AtlasTable("UAT",DataAreaId,"T.InventTableModule","%TaxItemGroupId","","","","","","","ItemId|ModuleType",$A72,"Purch")</f>
        <v>#NAME?</v>
      </c>
    </row>
    <row r="73" spans="1:7" x14ac:dyDescent="0.15">
      <c r="A73" s="3" t="s">
        <v>1411</v>
      </c>
      <c r="B73" s="3" t="s">
        <v>1412</v>
      </c>
      <c r="C73" s="3" t="s">
        <v>1411</v>
      </c>
      <c r="D73" s="3" t="s">
        <v>55</v>
      </c>
      <c r="E73" s="3" t="s">
        <v>58</v>
      </c>
      <c r="F73" s="3" t="s">
        <v>14</v>
      </c>
      <c r="G73" s="5" t="e">
        <f ca="1">_xll.AtlasFormulas.AtlasFunctions.AtlasTable("UAT",DataAreaId,"T.InventTableModule","%TaxItemGroupId","","","","","","","ItemId|ModuleType",$A73,"Purch")</f>
        <v>#NAME?</v>
      </c>
    </row>
    <row r="74" spans="1:7" x14ac:dyDescent="0.15">
      <c r="A74" s="3" t="s">
        <v>792</v>
      </c>
      <c r="B74" s="3" t="s">
        <v>1413</v>
      </c>
      <c r="C74" s="3" t="s">
        <v>792</v>
      </c>
      <c r="D74" s="3" t="s">
        <v>53</v>
      </c>
      <c r="E74" s="3" t="s">
        <v>58</v>
      </c>
      <c r="F74" s="3" t="s">
        <v>14</v>
      </c>
      <c r="G74" s="5" t="e">
        <f ca="1">_xll.AtlasFormulas.AtlasFunctions.AtlasTable("UAT",DataAreaId,"T.InventTableModule","%TaxItemGroupId","","","","","","","ItemId|ModuleType",$A74,"Purch")</f>
        <v>#NAME?</v>
      </c>
    </row>
    <row r="75" spans="1:7" x14ac:dyDescent="0.15">
      <c r="A75" s="3" t="s">
        <v>1414</v>
      </c>
      <c r="B75" s="3" t="s">
        <v>1415</v>
      </c>
      <c r="C75" s="3" t="s">
        <v>1414</v>
      </c>
      <c r="D75" s="3" t="s">
        <v>55</v>
      </c>
      <c r="E75" s="3" t="s">
        <v>58</v>
      </c>
      <c r="F75" s="3" t="s">
        <v>14</v>
      </c>
      <c r="G75" s="5" t="e">
        <f ca="1">_xll.AtlasFormulas.AtlasFunctions.AtlasTable("UAT",DataAreaId,"T.InventTableModule","%TaxItemGroupId","","","","","","","ItemId|ModuleType",$A75,"Purch")</f>
        <v>#NAME?</v>
      </c>
    </row>
    <row r="76" spans="1:7" x14ac:dyDescent="0.15">
      <c r="A76" s="3" t="s">
        <v>793</v>
      </c>
      <c r="B76" s="3" t="s">
        <v>1416</v>
      </c>
      <c r="C76" s="3" t="s">
        <v>793</v>
      </c>
      <c r="D76" s="3" t="s">
        <v>53</v>
      </c>
      <c r="E76" s="3" t="s">
        <v>58</v>
      </c>
      <c r="F76" s="3" t="s">
        <v>14</v>
      </c>
      <c r="G76" s="5" t="e">
        <f ca="1">_xll.AtlasFormulas.AtlasFunctions.AtlasTable("UAT",DataAreaId,"T.InventTableModule","%TaxItemGroupId","","","","","","","ItemId|ModuleType",$A76,"Purch")</f>
        <v>#NAME?</v>
      </c>
    </row>
    <row r="77" spans="1:7" x14ac:dyDescent="0.15">
      <c r="A77" s="3" t="s">
        <v>1417</v>
      </c>
      <c r="B77" s="3" t="s">
        <v>1418</v>
      </c>
      <c r="C77" s="3" t="s">
        <v>1417</v>
      </c>
      <c r="D77" s="3" t="s">
        <v>55</v>
      </c>
      <c r="E77" s="3" t="s">
        <v>58</v>
      </c>
      <c r="F77" s="3" t="s">
        <v>14</v>
      </c>
      <c r="G77" s="5" t="e">
        <f ca="1">_xll.AtlasFormulas.AtlasFunctions.AtlasTable("UAT",DataAreaId,"T.InventTableModule","%TaxItemGroupId","","","","","","","ItemId|ModuleType",$A77,"Purch")</f>
        <v>#NAME?</v>
      </c>
    </row>
    <row r="78" spans="1:7" x14ac:dyDescent="0.15">
      <c r="A78" s="3" t="s">
        <v>794</v>
      </c>
      <c r="B78" s="3" t="s">
        <v>1419</v>
      </c>
      <c r="C78" s="3" t="s">
        <v>794</v>
      </c>
      <c r="D78" s="3" t="s">
        <v>53</v>
      </c>
      <c r="E78" s="3" t="s">
        <v>58</v>
      </c>
      <c r="F78" s="3" t="s">
        <v>14</v>
      </c>
      <c r="G78" s="5" t="e">
        <f ca="1">_xll.AtlasFormulas.AtlasFunctions.AtlasTable("UAT",DataAreaId,"T.InventTableModule","%TaxItemGroupId","","","","","","","ItemId|ModuleType",$A78,"Purch")</f>
        <v>#NAME?</v>
      </c>
    </row>
    <row r="79" spans="1:7" x14ac:dyDescent="0.15">
      <c r="A79" s="3" t="s">
        <v>1420</v>
      </c>
      <c r="B79" s="3" t="s">
        <v>1421</v>
      </c>
      <c r="C79" s="3" t="s">
        <v>1420</v>
      </c>
      <c r="D79" s="3" t="s">
        <v>55</v>
      </c>
      <c r="E79" s="3" t="s">
        <v>58</v>
      </c>
      <c r="F79" s="3" t="s">
        <v>14</v>
      </c>
      <c r="G79" s="5" t="e">
        <f ca="1">_xll.AtlasFormulas.AtlasFunctions.AtlasTable("UAT",DataAreaId,"T.InventTableModule","%TaxItemGroupId","","","","","","","ItemId|ModuleType",$A79,"Purch")</f>
        <v>#NAME?</v>
      </c>
    </row>
    <row r="80" spans="1:7" x14ac:dyDescent="0.15">
      <c r="A80" s="3" t="s">
        <v>795</v>
      </c>
      <c r="B80" s="3" t="s">
        <v>1422</v>
      </c>
      <c r="C80" s="3" t="s">
        <v>795</v>
      </c>
      <c r="D80" s="3" t="s">
        <v>53</v>
      </c>
      <c r="E80" s="3" t="s">
        <v>58</v>
      </c>
      <c r="F80" s="3" t="s">
        <v>14</v>
      </c>
      <c r="G80" s="5" t="e">
        <f ca="1">_xll.AtlasFormulas.AtlasFunctions.AtlasTable("UAT",DataAreaId,"T.InventTableModule","%TaxItemGroupId","","","","","","","ItemId|ModuleType",$A80,"Purch")</f>
        <v>#NAME?</v>
      </c>
    </row>
    <row r="81" spans="1:7" x14ac:dyDescent="0.15">
      <c r="A81" s="3" t="s">
        <v>1423</v>
      </c>
      <c r="B81" s="3" t="s">
        <v>1424</v>
      </c>
      <c r="C81" s="3" t="s">
        <v>1423</v>
      </c>
      <c r="D81" s="3" t="s">
        <v>55</v>
      </c>
      <c r="E81" s="3" t="s">
        <v>58</v>
      </c>
      <c r="F81" s="3" t="s">
        <v>14</v>
      </c>
      <c r="G81" s="5" t="e">
        <f ca="1">_xll.AtlasFormulas.AtlasFunctions.AtlasTable("UAT",DataAreaId,"T.InventTableModule","%TaxItemGroupId","","","","","","","ItemId|ModuleType",$A81,"Purch")</f>
        <v>#NAME?</v>
      </c>
    </row>
    <row r="82" spans="1:7" x14ac:dyDescent="0.15">
      <c r="A82" s="3" t="s">
        <v>796</v>
      </c>
      <c r="B82" s="3" t="s">
        <v>1425</v>
      </c>
      <c r="C82" s="3" t="s">
        <v>796</v>
      </c>
      <c r="D82" s="3" t="s">
        <v>53</v>
      </c>
      <c r="E82" s="3" t="s">
        <v>58</v>
      </c>
      <c r="F82" s="3" t="s">
        <v>14</v>
      </c>
      <c r="G82" s="5" t="e">
        <f ca="1">_xll.AtlasFormulas.AtlasFunctions.AtlasTable("UAT",DataAreaId,"T.InventTableModule","%TaxItemGroupId","","","","","","","ItemId|ModuleType",$A82,"Purch")</f>
        <v>#NAME?</v>
      </c>
    </row>
    <row r="83" spans="1:7" x14ac:dyDescent="0.15">
      <c r="A83" s="3" t="s">
        <v>1426</v>
      </c>
      <c r="B83" s="3" t="s">
        <v>1427</v>
      </c>
      <c r="C83" s="3" t="s">
        <v>1426</v>
      </c>
      <c r="D83" s="3" t="s">
        <v>55</v>
      </c>
      <c r="E83" s="3" t="s">
        <v>58</v>
      </c>
      <c r="F83" s="3" t="s">
        <v>14</v>
      </c>
      <c r="G83" s="5" t="e">
        <f ca="1">_xll.AtlasFormulas.AtlasFunctions.AtlasTable("UAT",DataAreaId,"T.InventTableModule","%TaxItemGroupId","","","","","","","ItemId|ModuleType",$A83,"Purch")</f>
        <v>#NAME?</v>
      </c>
    </row>
    <row r="84" spans="1:7" x14ac:dyDescent="0.15">
      <c r="A84" s="3" t="s">
        <v>797</v>
      </c>
      <c r="B84" s="3" t="s">
        <v>1428</v>
      </c>
      <c r="C84" s="3" t="s">
        <v>797</v>
      </c>
      <c r="D84" s="3" t="s">
        <v>53</v>
      </c>
      <c r="E84" s="3" t="s">
        <v>58</v>
      </c>
      <c r="F84" s="3" t="s">
        <v>14</v>
      </c>
      <c r="G84" s="5" t="e">
        <f ca="1">_xll.AtlasFormulas.AtlasFunctions.AtlasTable("UAT",DataAreaId,"T.InventTableModule","%TaxItemGroupId","","","","","","","ItemId|ModuleType",$A84,"Purch")</f>
        <v>#NAME?</v>
      </c>
    </row>
    <row r="85" spans="1:7" x14ac:dyDescent="0.15">
      <c r="A85" s="3" t="s">
        <v>1429</v>
      </c>
      <c r="B85" s="3" t="s">
        <v>1430</v>
      </c>
      <c r="C85" s="3" t="s">
        <v>1429</v>
      </c>
      <c r="D85" s="3" t="s">
        <v>55</v>
      </c>
      <c r="E85" s="3" t="s">
        <v>58</v>
      </c>
      <c r="F85" s="3" t="s">
        <v>14</v>
      </c>
      <c r="G85" s="5" t="e">
        <f ca="1">_xll.AtlasFormulas.AtlasFunctions.AtlasTable("UAT",DataAreaId,"T.InventTableModule","%TaxItemGroupId","","","","","","","ItemId|ModuleType",$A85,"Purch")</f>
        <v>#NAME?</v>
      </c>
    </row>
    <row r="86" spans="1:7" x14ac:dyDescent="0.15">
      <c r="A86" s="3" t="s">
        <v>798</v>
      </c>
      <c r="B86" s="3" t="s">
        <v>1431</v>
      </c>
      <c r="C86" s="3" t="s">
        <v>798</v>
      </c>
      <c r="D86" s="3" t="s">
        <v>53</v>
      </c>
      <c r="E86" s="3" t="s">
        <v>58</v>
      </c>
      <c r="F86" s="3" t="s">
        <v>14</v>
      </c>
      <c r="G86" s="5" t="e">
        <f ca="1">_xll.AtlasFormulas.AtlasFunctions.AtlasTable("UAT",DataAreaId,"T.InventTableModule","%TaxItemGroupId","","","","","","","ItemId|ModuleType",$A86,"Purch")</f>
        <v>#NAME?</v>
      </c>
    </row>
    <row r="87" spans="1:7" x14ac:dyDescent="0.15">
      <c r="A87" s="3" t="s">
        <v>1432</v>
      </c>
      <c r="B87" s="3" t="s">
        <v>1433</v>
      </c>
      <c r="C87" s="3" t="s">
        <v>1432</v>
      </c>
      <c r="D87" s="3" t="s">
        <v>55</v>
      </c>
      <c r="E87" s="3" t="s">
        <v>58</v>
      </c>
      <c r="F87" s="3" t="s">
        <v>14</v>
      </c>
      <c r="G87" s="5" t="e">
        <f ca="1">_xll.AtlasFormulas.AtlasFunctions.AtlasTable("UAT",DataAreaId,"T.InventTableModule","%TaxItemGroupId","","","","","","","ItemId|ModuleType",$A87,"Purch")</f>
        <v>#NAME?</v>
      </c>
    </row>
    <row r="88" spans="1:7" x14ac:dyDescent="0.15">
      <c r="A88" s="3" t="s">
        <v>799</v>
      </c>
      <c r="B88" s="3" t="s">
        <v>1434</v>
      </c>
      <c r="C88" s="3" t="s">
        <v>799</v>
      </c>
      <c r="D88" s="3" t="s">
        <v>53</v>
      </c>
      <c r="E88" s="3" t="s">
        <v>58</v>
      </c>
      <c r="F88" s="3" t="s">
        <v>14</v>
      </c>
      <c r="G88" s="5" t="e">
        <f ca="1">_xll.AtlasFormulas.AtlasFunctions.AtlasTable("UAT",DataAreaId,"T.InventTableModule","%TaxItemGroupId","","","","","","","ItemId|ModuleType",$A88,"Purch")</f>
        <v>#NAME?</v>
      </c>
    </row>
    <row r="89" spans="1:7" x14ac:dyDescent="0.15">
      <c r="A89" s="3" t="s">
        <v>1435</v>
      </c>
      <c r="B89" s="3" t="s">
        <v>1436</v>
      </c>
      <c r="C89" s="3" t="s">
        <v>1435</v>
      </c>
      <c r="D89" s="3" t="s">
        <v>55</v>
      </c>
      <c r="E89" s="3" t="s">
        <v>58</v>
      </c>
      <c r="F89" s="3" t="s">
        <v>14</v>
      </c>
      <c r="G89" s="5" t="e">
        <f ca="1">_xll.AtlasFormulas.AtlasFunctions.AtlasTable("UAT",DataAreaId,"T.InventTableModule","%TaxItemGroupId","","","","","","","ItemId|ModuleType",$A89,"Purch")</f>
        <v>#NAME?</v>
      </c>
    </row>
    <row r="90" spans="1:7" x14ac:dyDescent="0.15">
      <c r="A90" s="3" t="s">
        <v>800</v>
      </c>
      <c r="B90" s="3" t="s">
        <v>1437</v>
      </c>
      <c r="C90" s="3" t="s">
        <v>800</v>
      </c>
      <c r="D90" s="3" t="s">
        <v>53</v>
      </c>
      <c r="E90" s="3" t="s">
        <v>58</v>
      </c>
      <c r="F90" s="3" t="s">
        <v>14</v>
      </c>
      <c r="G90" s="5" t="e">
        <f ca="1">_xll.AtlasFormulas.AtlasFunctions.AtlasTable("UAT",DataAreaId,"T.InventTableModule","%TaxItemGroupId","","","","","","","ItemId|ModuleType",$A90,"Purch")</f>
        <v>#NAME?</v>
      </c>
    </row>
    <row r="91" spans="1:7" x14ac:dyDescent="0.15">
      <c r="A91" s="3" t="s">
        <v>1438</v>
      </c>
      <c r="B91" s="3" t="s">
        <v>1439</v>
      </c>
      <c r="C91" s="3" t="s">
        <v>1438</v>
      </c>
      <c r="D91" s="3" t="s">
        <v>55</v>
      </c>
      <c r="E91" s="3" t="s">
        <v>58</v>
      </c>
      <c r="F91" s="3" t="s">
        <v>14</v>
      </c>
      <c r="G91" s="5" t="e">
        <f ca="1">_xll.AtlasFormulas.AtlasFunctions.AtlasTable("UAT",DataAreaId,"T.InventTableModule","%TaxItemGroupId","","","","","","","ItemId|ModuleType",$A91,"Purch")</f>
        <v>#NAME?</v>
      </c>
    </row>
    <row r="92" spans="1:7" x14ac:dyDescent="0.15">
      <c r="A92" s="3" t="s">
        <v>801</v>
      </c>
      <c r="B92" s="3" t="s">
        <v>1440</v>
      </c>
      <c r="C92" s="3" t="s">
        <v>801</v>
      </c>
      <c r="D92" s="3" t="s">
        <v>53</v>
      </c>
      <c r="E92" s="3" t="s">
        <v>58</v>
      </c>
      <c r="F92" s="3" t="s">
        <v>14</v>
      </c>
      <c r="G92" s="5" t="e">
        <f ca="1">_xll.AtlasFormulas.AtlasFunctions.AtlasTable("UAT",DataAreaId,"T.InventTableModule","%TaxItemGroupId","","","","","","","ItemId|ModuleType",$A92,"Purch")</f>
        <v>#NAME?</v>
      </c>
    </row>
    <row r="93" spans="1:7" x14ac:dyDescent="0.15">
      <c r="A93" s="3" t="s">
        <v>1441</v>
      </c>
      <c r="B93" s="3" t="s">
        <v>1442</v>
      </c>
      <c r="C93" s="3" t="s">
        <v>1441</v>
      </c>
      <c r="D93" s="3" t="s">
        <v>55</v>
      </c>
      <c r="E93" s="3" t="s">
        <v>58</v>
      </c>
      <c r="F93" s="3" t="s">
        <v>14</v>
      </c>
      <c r="G93" s="5" t="e">
        <f ca="1">_xll.AtlasFormulas.AtlasFunctions.AtlasTable("UAT",DataAreaId,"T.InventTableModule","%TaxItemGroupId","","","","","","","ItemId|ModuleType",$A93,"Purch")</f>
        <v>#NAME?</v>
      </c>
    </row>
    <row r="94" spans="1:7" x14ac:dyDescent="0.15">
      <c r="A94" s="3" t="s">
        <v>802</v>
      </c>
      <c r="B94" s="3" t="s">
        <v>1443</v>
      </c>
      <c r="C94" s="3" t="s">
        <v>802</v>
      </c>
      <c r="D94" s="3" t="s">
        <v>53</v>
      </c>
      <c r="E94" s="3" t="s">
        <v>58</v>
      </c>
      <c r="F94" s="3" t="s">
        <v>14</v>
      </c>
      <c r="G94" s="5" t="e">
        <f ca="1">_xll.AtlasFormulas.AtlasFunctions.AtlasTable("UAT",DataAreaId,"T.InventTableModule","%TaxItemGroupId","","","","","","","ItemId|ModuleType",$A94,"Purch")</f>
        <v>#NAME?</v>
      </c>
    </row>
    <row r="95" spans="1:7" x14ac:dyDescent="0.15">
      <c r="A95" s="3" t="s">
        <v>1444</v>
      </c>
      <c r="B95" s="3" t="s">
        <v>1445</v>
      </c>
      <c r="C95" s="3" t="s">
        <v>1444</v>
      </c>
      <c r="D95" s="3" t="s">
        <v>55</v>
      </c>
      <c r="E95" s="3" t="s">
        <v>58</v>
      </c>
      <c r="F95" s="3" t="s">
        <v>14</v>
      </c>
      <c r="G95" s="5" t="e">
        <f ca="1">_xll.AtlasFormulas.AtlasFunctions.AtlasTable("UAT",DataAreaId,"T.InventTableModule","%TaxItemGroupId","","","","","","","ItemId|ModuleType",$A95,"Purch")</f>
        <v>#NAME?</v>
      </c>
    </row>
    <row r="96" spans="1:7" x14ac:dyDescent="0.15">
      <c r="A96" s="3" t="s">
        <v>803</v>
      </c>
      <c r="B96" s="3" t="s">
        <v>1446</v>
      </c>
      <c r="C96" s="3" t="s">
        <v>803</v>
      </c>
      <c r="D96" s="3" t="s">
        <v>53</v>
      </c>
      <c r="E96" s="3" t="s">
        <v>58</v>
      </c>
      <c r="F96" s="3" t="s">
        <v>14</v>
      </c>
      <c r="G96" s="5" t="e">
        <f ca="1">_xll.AtlasFormulas.AtlasFunctions.AtlasTable("UAT",DataAreaId,"T.InventTableModule","%TaxItemGroupId","","","","","","","ItemId|ModuleType",$A96,"Purch")</f>
        <v>#NAME?</v>
      </c>
    </row>
    <row r="97" spans="1:7" x14ac:dyDescent="0.15">
      <c r="A97" s="3" t="s">
        <v>1447</v>
      </c>
      <c r="B97" s="3" t="s">
        <v>1448</v>
      </c>
      <c r="C97" s="3" t="s">
        <v>1447</v>
      </c>
      <c r="D97" s="3" t="s">
        <v>55</v>
      </c>
      <c r="E97" s="3" t="s">
        <v>58</v>
      </c>
      <c r="F97" s="3" t="s">
        <v>14</v>
      </c>
      <c r="G97" s="5" t="e">
        <f ca="1">_xll.AtlasFormulas.AtlasFunctions.AtlasTable("UAT",DataAreaId,"T.InventTableModule","%TaxItemGroupId","","","","","","","ItemId|ModuleType",$A97,"Purch")</f>
        <v>#NAME?</v>
      </c>
    </row>
    <row r="98" spans="1:7" x14ac:dyDescent="0.15">
      <c r="A98" s="3" t="s">
        <v>824</v>
      </c>
      <c r="B98" s="3" t="s">
        <v>1449</v>
      </c>
      <c r="C98" s="3" t="s">
        <v>824</v>
      </c>
      <c r="D98" s="3" t="s">
        <v>717</v>
      </c>
      <c r="E98" s="3" t="s">
        <v>54</v>
      </c>
      <c r="F98" s="3" t="s">
        <v>14</v>
      </c>
      <c r="G98" s="5" t="e">
        <f ca="1">_xll.AtlasFormulas.AtlasFunctions.AtlasTable("UAT",DataAreaId,"T.InventTableModule","%TaxItemGroupId","","","","","","","ItemId|ModuleType",$A98,"Purch")</f>
        <v>#NAME?</v>
      </c>
    </row>
    <row r="99" spans="1:7" x14ac:dyDescent="0.15">
      <c r="A99" s="3" t="s">
        <v>1450</v>
      </c>
      <c r="B99" s="3" t="s">
        <v>1451</v>
      </c>
      <c r="C99" s="3" t="s">
        <v>1450</v>
      </c>
      <c r="D99" s="3" t="s">
        <v>717</v>
      </c>
      <c r="E99" s="3" t="s">
        <v>54</v>
      </c>
      <c r="F99" s="3" t="s">
        <v>14</v>
      </c>
      <c r="G99" s="5" t="e">
        <f ca="1">_xll.AtlasFormulas.AtlasFunctions.AtlasTable("UAT",DataAreaId,"T.InventTableModule","%TaxItemGroupId","","","","","","","ItemId|ModuleType",$A99,"Purch")</f>
        <v>#NAME?</v>
      </c>
    </row>
    <row r="100" spans="1:7" x14ac:dyDescent="0.15">
      <c r="A100" s="3" t="s">
        <v>1452</v>
      </c>
      <c r="B100" s="3" t="s">
        <v>1453</v>
      </c>
      <c r="C100" s="3" t="s">
        <v>1452</v>
      </c>
      <c r="D100" s="3" t="s">
        <v>717</v>
      </c>
      <c r="E100" s="3" t="s">
        <v>54</v>
      </c>
      <c r="F100" s="3" t="s">
        <v>14</v>
      </c>
      <c r="G100" s="5" t="e">
        <f ca="1">_xll.AtlasFormulas.AtlasFunctions.AtlasTable("UAT",DataAreaId,"T.InventTableModule","%TaxItemGroupId","","","","","","","ItemId|ModuleType",$A100,"Purch")</f>
        <v>#NAME?</v>
      </c>
    </row>
    <row r="101" spans="1:7" x14ac:dyDescent="0.15">
      <c r="A101" s="3" t="s">
        <v>827</v>
      </c>
      <c r="B101" s="3" t="s">
        <v>828</v>
      </c>
      <c r="C101" s="3" t="s">
        <v>827</v>
      </c>
      <c r="D101" s="3" t="s">
        <v>717</v>
      </c>
      <c r="E101" s="3" t="s">
        <v>54</v>
      </c>
      <c r="F101" s="3" t="s">
        <v>14</v>
      </c>
      <c r="G101" s="5" t="e">
        <f ca="1">_xll.AtlasFormulas.AtlasFunctions.AtlasTable("UAT",DataAreaId,"T.InventTableModule","%TaxItemGroupId","","","","","","","ItemId|ModuleType",$A101,"Purch")</f>
        <v>#NAME?</v>
      </c>
    </row>
    <row r="102" spans="1:7" x14ac:dyDescent="0.15">
      <c r="A102" s="3" t="s">
        <v>829</v>
      </c>
      <c r="B102" s="3" t="s">
        <v>830</v>
      </c>
      <c r="C102" s="3" t="s">
        <v>831</v>
      </c>
      <c r="D102" s="3" t="s">
        <v>717</v>
      </c>
      <c r="E102" s="3" t="s">
        <v>54</v>
      </c>
      <c r="F102" s="3" t="s">
        <v>14</v>
      </c>
      <c r="G102" s="5" t="e">
        <f ca="1">_xll.AtlasFormulas.AtlasFunctions.AtlasTable("UAT",DataAreaId,"T.InventTableModule","%TaxItemGroupId","","","","","","","ItemId|ModuleType",$A102,"Purch")</f>
        <v>#NAME?</v>
      </c>
    </row>
    <row r="103" spans="1:7" x14ac:dyDescent="0.15">
      <c r="A103" s="3" t="s">
        <v>832</v>
      </c>
      <c r="B103" s="3" t="s">
        <v>833</v>
      </c>
      <c r="C103" s="3" t="s">
        <v>834</v>
      </c>
      <c r="D103" s="3" t="s">
        <v>717</v>
      </c>
      <c r="E103" s="3" t="s">
        <v>54</v>
      </c>
      <c r="F103" s="3" t="s">
        <v>14</v>
      </c>
      <c r="G103" s="5" t="e">
        <f ca="1">_xll.AtlasFormulas.AtlasFunctions.AtlasTable("UAT",DataAreaId,"T.InventTableModule","%TaxItemGroupId","","","","","","","ItemId|ModuleType",$A103,"Purch")</f>
        <v>#NAME?</v>
      </c>
    </row>
    <row r="104" spans="1:7" x14ac:dyDescent="0.15">
      <c r="A104" s="3" t="s">
        <v>835</v>
      </c>
      <c r="B104" s="3" t="s">
        <v>835</v>
      </c>
      <c r="C104" s="3" t="s">
        <v>836</v>
      </c>
      <c r="D104" s="3" t="s">
        <v>56</v>
      </c>
      <c r="E104" s="3" t="s">
        <v>57</v>
      </c>
      <c r="F104" s="3" t="s">
        <v>15</v>
      </c>
      <c r="G104" s="5" t="e">
        <f ca="1">_xll.AtlasFormulas.AtlasFunctions.AtlasTable("UAT",DataAreaId,"T.InventTableModule","%TaxItemGroupId","","","","","","","ItemId|ModuleType",$A104,"Purch")</f>
        <v>#NAME?</v>
      </c>
    </row>
    <row r="105" spans="1:7" x14ac:dyDescent="0.15">
      <c r="A105" s="3" t="s">
        <v>837</v>
      </c>
      <c r="B105" s="3" t="s">
        <v>838</v>
      </c>
      <c r="C105" s="3" t="s">
        <v>837</v>
      </c>
      <c r="D105" s="3" t="s">
        <v>53</v>
      </c>
      <c r="E105" s="3" t="s">
        <v>58</v>
      </c>
      <c r="F105" s="3" t="s">
        <v>14</v>
      </c>
      <c r="G105" s="5" t="e">
        <f ca="1">_xll.AtlasFormulas.AtlasFunctions.AtlasTable("UAT",DataAreaId,"T.InventTableModule","%TaxItemGroupId","","","","","","","ItemId|ModuleType",$A105,"Purch")</f>
        <v>#NAME?</v>
      </c>
    </row>
    <row r="106" spans="1:7" x14ac:dyDescent="0.15">
      <c r="A106" s="3" t="s">
        <v>1454</v>
      </c>
      <c r="B106" s="3" t="s">
        <v>1455</v>
      </c>
      <c r="C106" s="3" t="s">
        <v>1456</v>
      </c>
      <c r="D106" s="3" t="s">
        <v>717</v>
      </c>
      <c r="E106" s="3" t="s">
        <v>54</v>
      </c>
      <c r="F106" s="3" t="s">
        <v>14</v>
      </c>
      <c r="G106" s="5" t="e">
        <f ca="1">_xll.AtlasFormulas.AtlasFunctions.AtlasTable("UAT",DataAreaId,"T.InventTableModule","%TaxItemGroupId","","","","","","","ItemId|ModuleType",$A106,"Purch")</f>
        <v>#NAME?</v>
      </c>
    </row>
    <row r="107" spans="1:7" x14ac:dyDescent="0.15">
      <c r="A107" s="3" t="s">
        <v>1457</v>
      </c>
      <c r="B107" s="3" t="s">
        <v>1458</v>
      </c>
      <c r="C107" s="3" t="s">
        <v>1459</v>
      </c>
      <c r="D107" s="3" t="s">
        <v>717</v>
      </c>
      <c r="E107" s="3" t="s">
        <v>54</v>
      </c>
      <c r="F107" s="3" t="s">
        <v>14</v>
      </c>
      <c r="G107" s="5" t="e">
        <f ca="1">_xll.AtlasFormulas.AtlasFunctions.AtlasTable("UAT",DataAreaId,"T.InventTableModule","%TaxItemGroupId","","","","","","","ItemId|ModuleType",$A107,"Purch")</f>
        <v>#NAME?</v>
      </c>
    </row>
    <row r="108" spans="1:7" x14ac:dyDescent="0.15">
      <c r="A108" s="3" t="s">
        <v>839</v>
      </c>
      <c r="B108" s="3" t="s">
        <v>839</v>
      </c>
      <c r="C108" s="3" t="s">
        <v>839</v>
      </c>
      <c r="D108" s="3" t="s">
        <v>56</v>
      </c>
      <c r="E108" s="3" t="s">
        <v>57</v>
      </c>
      <c r="F108" s="3" t="s">
        <v>15</v>
      </c>
      <c r="G108" s="5" t="e">
        <f ca="1">_xll.AtlasFormulas.AtlasFunctions.AtlasTable("UAT",DataAreaId,"T.InventTableModule","%TaxItemGroupId","","","","","","","ItemId|ModuleType",$A108,"Purch")</f>
        <v>#NAME?</v>
      </c>
    </row>
    <row r="109" spans="1:7" x14ac:dyDescent="0.15">
      <c r="A109" s="3" t="s">
        <v>840</v>
      </c>
      <c r="B109" s="3" t="s">
        <v>840</v>
      </c>
      <c r="C109" s="3" t="s">
        <v>841</v>
      </c>
      <c r="D109" s="3" t="s">
        <v>56</v>
      </c>
      <c r="E109" s="3" t="s">
        <v>57</v>
      </c>
      <c r="F109" s="3" t="s">
        <v>15</v>
      </c>
      <c r="G109" s="5" t="e">
        <f ca="1">_xll.AtlasFormulas.AtlasFunctions.AtlasTable("UAT",DataAreaId,"T.InventTableModule","%TaxItemGroupId","","","","","","","ItemId|ModuleType",$A109,"Purch")</f>
        <v>#NAME?</v>
      </c>
    </row>
    <row r="110" spans="1:7" x14ac:dyDescent="0.15">
      <c r="A110" s="3" t="s">
        <v>842</v>
      </c>
      <c r="B110" s="3" t="s">
        <v>842</v>
      </c>
      <c r="C110" s="3" t="s">
        <v>843</v>
      </c>
      <c r="D110" s="3" t="s">
        <v>56</v>
      </c>
      <c r="E110" s="3" t="s">
        <v>57</v>
      </c>
      <c r="F110" s="3" t="s">
        <v>15</v>
      </c>
      <c r="G110" s="5" t="e">
        <f ca="1">_xll.AtlasFormulas.AtlasFunctions.AtlasTable("UAT",DataAreaId,"T.InventTableModule","%TaxItemGroupId","","","","","","","ItemId|ModuleType",$A110,"Purch")</f>
        <v>#NAME?</v>
      </c>
    </row>
    <row r="111" spans="1:7" x14ac:dyDescent="0.15">
      <c r="A111" s="3" t="s">
        <v>844</v>
      </c>
      <c r="B111" s="3" t="s">
        <v>844</v>
      </c>
      <c r="C111" s="3" t="s">
        <v>845</v>
      </c>
      <c r="D111" s="3" t="s">
        <v>56</v>
      </c>
      <c r="E111" s="3" t="s">
        <v>57</v>
      </c>
      <c r="F111" s="3" t="s">
        <v>15</v>
      </c>
      <c r="G111" s="5" t="e">
        <f ca="1">_xll.AtlasFormulas.AtlasFunctions.AtlasTable("UAT",DataAreaId,"T.InventTableModule","%TaxItemGroupId","","","","","","","ItemId|ModuleType",$A111,"Purch")</f>
        <v>#NAME?</v>
      </c>
    </row>
    <row r="112" spans="1:7" x14ac:dyDescent="0.15">
      <c r="A112" s="3" t="s">
        <v>846</v>
      </c>
      <c r="B112" s="3" t="s">
        <v>846</v>
      </c>
      <c r="C112" s="3" t="s">
        <v>847</v>
      </c>
      <c r="D112" s="3" t="s">
        <v>56</v>
      </c>
      <c r="E112" s="3" t="s">
        <v>57</v>
      </c>
      <c r="F112" s="3" t="s">
        <v>15</v>
      </c>
      <c r="G112" s="5" t="e">
        <f ca="1">_xll.AtlasFormulas.AtlasFunctions.AtlasTable("UAT",DataAreaId,"T.InventTableModule","%TaxItemGroupId","","","","","","","ItemId|ModuleType",$A112,"Purch")</f>
        <v>#NAME?</v>
      </c>
    </row>
    <row r="113" spans="1:7" x14ac:dyDescent="0.15">
      <c r="A113" s="3" t="s">
        <v>848</v>
      </c>
      <c r="B113" s="3" t="s">
        <v>848</v>
      </c>
      <c r="C113" s="3" t="s">
        <v>849</v>
      </c>
      <c r="D113" s="3" t="s">
        <v>56</v>
      </c>
      <c r="E113" s="3" t="s">
        <v>57</v>
      </c>
      <c r="F113" s="3" t="s">
        <v>15</v>
      </c>
      <c r="G113" s="5" t="e">
        <f ca="1">_xll.AtlasFormulas.AtlasFunctions.AtlasTable("UAT",DataAreaId,"T.InventTableModule","%TaxItemGroupId","","","","","","","ItemId|ModuleType",$A113,"Purch")</f>
        <v>#NAME?</v>
      </c>
    </row>
    <row r="114" spans="1:7" x14ac:dyDescent="0.15">
      <c r="A114" s="3" t="s">
        <v>850</v>
      </c>
      <c r="B114" s="3" t="s">
        <v>1460</v>
      </c>
      <c r="C114" s="3" t="s">
        <v>850</v>
      </c>
      <c r="D114" s="3" t="s">
        <v>53</v>
      </c>
      <c r="E114" s="3" t="s">
        <v>58</v>
      </c>
      <c r="F114" s="3" t="s">
        <v>14</v>
      </c>
      <c r="G114" s="5" t="e">
        <f ca="1">_xll.AtlasFormulas.AtlasFunctions.AtlasTable("UAT",DataAreaId,"T.InventTableModule","%TaxItemGroupId","","","","","","","ItemId|ModuleType",$A114,"Purch")</f>
        <v>#NAME?</v>
      </c>
    </row>
    <row r="115" spans="1:7" x14ac:dyDescent="0.15">
      <c r="A115" s="3" t="s">
        <v>851</v>
      </c>
      <c r="B115" s="3" t="s">
        <v>1461</v>
      </c>
      <c r="C115" s="3" t="s">
        <v>851</v>
      </c>
      <c r="D115" s="3" t="s">
        <v>53</v>
      </c>
      <c r="E115" s="3" t="s">
        <v>58</v>
      </c>
      <c r="F115" s="3" t="s">
        <v>14</v>
      </c>
      <c r="G115" s="5" t="e">
        <f ca="1">_xll.AtlasFormulas.AtlasFunctions.AtlasTable("UAT",DataAreaId,"T.InventTableModule","%TaxItemGroupId","","","","","","","ItemId|ModuleType",$A115,"Purch")</f>
        <v>#NAME?</v>
      </c>
    </row>
    <row r="116" spans="1:7" x14ac:dyDescent="0.15">
      <c r="A116" s="3" t="s">
        <v>852</v>
      </c>
      <c r="B116" s="3" t="s">
        <v>1462</v>
      </c>
      <c r="C116" s="3" t="s">
        <v>852</v>
      </c>
      <c r="D116" s="3" t="s">
        <v>53</v>
      </c>
      <c r="E116" s="3" t="s">
        <v>58</v>
      </c>
      <c r="F116" s="3" t="s">
        <v>14</v>
      </c>
      <c r="G116" s="5" t="e">
        <f ca="1">_xll.AtlasFormulas.AtlasFunctions.AtlasTable("UAT",DataAreaId,"T.InventTableModule","%TaxItemGroupId","","","","","","","ItemId|ModuleType",$A116,"Purch")</f>
        <v>#NAME?</v>
      </c>
    </row>
    <row r="117" spans="1:7" x14ac:dyDescent="0.15">
      <c r="A117" s="3" t="s">
        <v>853</v>
      </c>
      <c r="B117" s="3" t="s">
        <v>1463</v>
      </c>
      <c r="C117" s="3" t="s">
        <v>853</v>
      </c>
      <c r="D117" s="3" t="s">
        <v>53</v>
      </c>
      <c r="E117" s="3" t="s">
        <v>58</v>
      </c>
      <c r="F117" s="3" t="s">
        <v>14</v>
      </c>
      <c r="G117" s="5" t="e">
        <f ca="1">_xll.AtlasFormulas.AtlasFunctions.AtlasTable("UAT",DataAreaId,"T.InventTableModule","%TaxItemGroupId","","","","","","","ItemId|ModuleType",$A117,"Purch")</f>
        <v>#NAME?</v>
      </c>
    </row>
    <row r="118" spans="1:7" x14ac:dyDescent="0.15">
      <c r="A118" s="3" t="s">
        <v>854</v>
      </c>
      <c r="B118" s="3" t="s">
        <v>1464</v>
      </c>
      <c r="C118" s="3" t="s">
        <v>854</v>
      </c>
      <c r="D118" s="3" t="s">
        <v>53</v>
      </c>
      <c r="E118" s="3" t="s">
        <v>58</v>
      </c>
      <c r="F118" s="3" t="s">
        <v>14</v>
      </c>
      <c r="G118" s="5" t="e">
        <f ca="1">_xll.AtlasFormulas.AtlasFunctions.AtlasTable("UAT",DataAreaId,"T.InventTableModule","%TaxItemGroupId","","","","","","","ItemId|ModuleType",$A118,"Purch")</f>
        <v>#NAME?</v>
      </c>
    </row>
    <row r="119" spans="1:7" x14ac:dyDescent="0.15">
      <c r="A119" s="3" t="s">
        <v>855</v>
      </c>
      <c r="B119" s="3" t="s">
        <v>1465</v>
      </c>
      <c r="C119" s="3" t="s">
        <v>855</v>
      </c>
      <c r="D119" s="3" t="s">
        <v>53</v>
      </c>
      <c r="E119" s="3" t="s">
        <v>58</v>
      </c>
      <c r="F119" s="3" t="s">
        <v>14</v>
      </c>
      <c r="G119" s="5" t="e">
        <f ca="1">_xll.AtlasFormulas.AtlasFunctions.AtlasTable("UAT",DataAreaId,"T.InventTableModule","%TaxItemGroupId","","","","","","","ItemId|ModuleType",$A119,"Purch")</f>
        <v>#NAME?</v>
      </c>
    </row>
    <row r="120" spans="1:7" x14ac:dyDescent="0.15">
      <c r="A120" s="3" t="s">
        <v>856</v>
      </c>
      <c r="B120" s="3" t="s">
        <v>1466</v>
      </c>
      <c r="C120" s="3" t="s">
        <v>856</v>
      </c>
      <c r="D120" s="3" t="s">
        <v>53</v>
      </c>
      <c r="E120" s="3" t="s">
        <v>58</v>
      </c>
      <c r="F120" s="3" t="s">
        <v>14</v>
      </c>
      <c r="G120" s="5" t="e">
        <f ca="1">_xll.AtlasFormulas.AtlasFunctions.AtlasTable("UAT",DataAreaId,"T.InventTableModule","%TaxItemGroupId","","","","","","","ItemId|ModuleType",$A120,"Purch")</f>
        <v>#NAME?</v>
      </c>
    </row>
    <row r="121" spans="1:7" x14ac:dyDescent="0.15">
      <c r="A121" s="3" t="s">
        <v>857</v>
      </c>
      <c r="B121" s="3" t="s">
        <v>1467</v>
      </c>
      <c r="C121" s="3" t="s">
        <v>857</v>
      </c>
      <c r="D121" s="3" t="s">
        <v>53</v>
      </c>
      <c r="E121" s="3" t="s">
        <v>58</v>
      </c>
      <c r="F121" s="3" t="s">
        <v>14</v>
      </c>
      <c r="G121" s="5" t="e">
        <f ca="1">_xll.AtlasFormulas.AtlasFunctions.AtlasTable("UAT",DataAreaId,"T.InventTableModule","%TaxItemGroupId","","","","","","","ItemId|ModuleType",$A121,"Purch")</f>
        <v>#NAME?</v>
      </c>
    </row>
    <row r="122" spans="1:7" x14ac:dyDescent="0.15">
      <c r="A122" s="3" t="s">
        <v>858</v>
      </c>
      <c r="B122" s="3" t="s">
        <v>1468</v>
      </c>
      <c r="C122" s="3" t="s">
        <v>858</v>
      </c>
      <c r="D122" s="3" t="s">
        <v>53</v>
      </c>
      <c r="E122" s="3" t="s">
        <v>58</v>
      </c>
      <c r="F122" s="3" t="s">
        <v>14</v>
      </c>
      <c r="G122" s="5" t="e">
        <f ca="1">_xll.AtlasFormulas.AtlasFunctions.AtlasTable("UAT",DataAreaId,"T.InventTableModule","%TaxItemGroupId","","","","","","","ItemId|ModuleType",$A122,"Purch")</f>
        <v>#NAME?</v>
      </c>
    </row>
    <row r="123" spans="1:7" x14ac:dyDescent="0.15">
      <c r="A123" s="3" t="s">
        <v>859</v>
      </c>
      <c r="B123" s="3" t="s">
        <v>1469</v>
      </c>
      <c r="C123" s="3" t="s">
        <v>859</v>
      </c>
      <c r="D123" s="3" t="s">
        <v>53</v>
      </c>
      <c r="E123" s="3" t="s">
        <v>58</v>
      </c>
      <c r="F123" s="3" t="s">
        <v>14</v>
      </c>
      <c r="G123" s="5" t="e">
        <f ca="1">_xll.AtlasFormulas.AtlasFunctions.AtlasTable("UAT",DataAreaId,"T.InventTableModule","%TaxItemGroupId","","","","","","","ItemId|ModuleType",$A123,"Purch")</f>
        <v>#NAME?</v>
      </c>
    </row>
    <row r="124" spans="1:7" x14ac:dyDescent="0.15">
      <c r="A124" s="3" t="s">
        <v>860</v>
      </c>
      <c r="B124" s="3" t="s">
        <v>1470</v>
      </c>
      <c r="C124" s="3" t="s">
        <v>860</v>
      </c>
      <c r="D124" s="3" t="s">
        <v>53</v>
      </c>
      <c r="E124" s="3" t="s">
        <v>58</v>
      </c>
      <c r="F124" s="3" t="s">
        <v>14</v>
      </c>
      <c r="G124" s="5" t="e">
        <f ca="1">_xll.AtlasFormulas.AtlasFunctions.AtlasTable("UAT",DataAreaId,"T.InventTableModule","%TaxItemGroupId","","","","","","","ItemId|ModuleType",$A124,"Purch")</f>
        <v>#NAME?</v>
      </c>
    </row>
    <row r="125" spans="1:7" x14ac:dyDescent="0.15">
      <c r="A125" s="3" t="s">
        <v>861</v>
      </c>
      <c r="B125" s="3" t="s">
        <v>1471</v>
      </c>
      <c r="C125" s="3" t="s">
        <v>861</v>
      </c>
      <c r="D125" s="3" t="s">
        <v>53</v>
      </c>
      <c r="E125" s="3" t="s">
        <v>58</v>
      </c>
      <c r="F125" s="3" t="s">
        <v>14</v>
      </c>
      <c r="G125" s="5" t="e">
        <f ca="1">_xll.AtlasFormulas.AtlasFunctions.AtlasTable("UAT",DataAreaId,"T.InventTableModule","%TaxItemGroupId","","","","","","","ItemId|ModuleType",$A125,"Purch")</f>
        <v>#NAME?</v>
      </c>
    </row>
    <row r="126" spans="1:7" x14ac:dyDescent="0.15">
      <c r="A126" s="3" t="s">
        <v>862</v>
      </c>
      <c r="B126" s="3" t="s">
        <v>1472</v>
      </c>
      <c r="C126" s="3" t="s">
        <v>862</v>
      </c>
      <c r="D126" s="3" t="s">
        <v>53</v>
      </c>
      <c r="E126" s="3" t="s">
        <v>58</v>
      </c>
      <c r="F126" s="3" t="s">
        <v>14</v>
      </c>
      <c r="G126" s="5" t="e">
        <f ca="1">_xll.AtlasFormulas.AtlasFunctions.AtlasTable("UAT",DataAreaId,"T.InventTableModule","%TaxItemGroupId","","","","","","","ItemId|ModuleType",$A126,"Purch")</f>
        <v>#NAME?</v>
      </c>
    </row>
    <row r="127" spans="1:7" x14ac:dyDescent="0.15">
      <c r="A127" s="3" t="s">
        <v>863</v>
      </c>
      <c r="B127" s="3" t="s">
        <v>1473</v>
      </c>
      <c r="C127" s="3" t="s">
        <v>863</v>
      </c>
      <c r="D127" s="3" t="s">
        <v>53</v>
      </c>
      <c r="E127" s="3" t="s">
        <v>58</v>
      </c>
      <c r="F127" s="3" t="s">
        <v>14</v>
      </c>
      <c r="G127" s="5" t="e">
        <f ca="1">_xll.AtlasFormulas.AtlasFunctions.AtlasTable("UAT",DataAreaId,"T.InventTableModule","%TaxItemGroupId","","","","","","","ItemId|ModuleType",$A127,"Purch")</f>
        <v>#NAME?</v>
      </c>
    </row>
    <row r="128" spans="1:7" x14ac:dyDescent="0.15">
      <c r="A128" s="3" t="s">
        <v>864</v>
      </c>
      <c r="B128" s="3" t="s">
        <v>1474</v>
      </c>
      <c r="C128" s="3" t="s">
        <v>864</v>
      </c>
      <c r="D128" s="3" t="s">
        <v>53</v>
      </c>
      <c r="E128" s="3" t="s">
        <v>58</v>
      </c>
      <c r="F128" s="3" t="s">
        <v>14</v>
      </c>
      <c r="G128" s="5" t="e">
        <f ca="1">_xll.AtlasFormulas.AtlasFunctions.AtlasTable("UAT",DataAreaId,"T.InventTableModule","%TaxItemGroupId","","","","","","","ItemId|ModuleType",$A128,"Purch")</f>
        <v>#NAME?</v>
      </c>
    </row>
    <row r="129" spans="1:7" x14ac:dyDescent="0.15">
      <c r="A129" s="3" t="s">
        <v>865</v>
      </c>
      <c r="B129" s="3" t="s">
        <v>866</v>
      </c>
      <c r="C129" s="3" t="s">
        <v>867</v>
      </c>
      <c r="D129" s="3" t="s">
        <v>717</v>
      </c>
      <c r="E129" s="3" t="s">
        <v>54</v>
      </c>
      <c r="F129" s="3" t="s">
        <v>14</v>
      </c>
      <c r="G129" s="5" t="e">
        <f ca="1">_xll.AtlasFormulas.AtlasFunctions.AtlasTable("UAT",DataAreaId,"T.InventTableModule","%TaxItemGroupId","","","","","","","ItemId|ModuleType",$A129,"Purch")</f>
        <v>#NAME?</v>
      </c>
    </row>
    <row r="130" spans="1:7" x14ac:dyDescent="0.15">
      <c r="A130" s="3" t="s">
        <v>868</v>
      </c>
      <c r="B130" s="3" t="s">
        <v>869</v>
      </c>
      <c r="C130" s="3" t="s">
        <v>870</v>
      </c>
      <c r="D130" s="3" t="s">
        <v>717</v>
      </c>
      <c r="E130" s="3" t="s">
        <v>54</v>
      </c>
      <c r="F130" s="3" t="s">
        <v>14</v>
      </c>
      <c r="G130" s="5" t="e">
        <f ca="1">_xll.AtlasFormulas.AtlasFunctions.AtlasTable("UAT",DataAreaId,"T.InventTableModule","%TaxItemGroupId","","","","","","","ItemId|ModuleType",$A130,"Purch")</f>
        <v>#NAME?</v>
      </c>
    </row>
    <row r="131" spans="1:7" x14ac:dyDescent="0.15">
      <c r="A131" s="3" t="s">
        <v>871</v>
      </c>
      <c r="B131" s="3" t="s">
        <v>1475</v>
      </c>
      <c r="C131" s="3" t="s">
        <v>871</v>
      </c>
      <c r="D131" s="3" t="s">
        <v>53</v>
      </c>
      <c r="E131" s="3" t="s">
        <v>58</v>
      </c>
      <c r="F131" s="3" t="s">
        <v>14</v>
      </c>
      <c r="G131" s="5" t="e">
        <f ca="1">_xll.AtlasFormulas.AtlasFunctions.AtlasTable("UAT",DataAreaId,"T.InventTableModule","%TaxItemGroupId","","","","","","","ItemId|ModuleType",$A131,"Purch")</f>
        <v>#NAME?</v>
      </c>
    </row>
    <row r="132" spans="1:7" x14ac:dyDescent="0.15">
      <c r="A132" s="3" t="s">
        <v>872</v>
      </c>
      <c r="B132" s="3" t="s">
        <v>1476</v>
      </c>
      <c r="C132" s="3" t="s">
        <v>872</v>
      </c>
      <c r="D132" s="3" t="s">
        <v>53</v>
      </c>
      <c r="E132" s="3" t="s">
        <v>58</v>
      </c>
      <c r="F132" s="3" t="s">
        <v>14</v>
      </c>
      <c r="G132" s="5" t="e">
        <f ca="1">_xll.AtlasFormulas.AtlasFunctions.AtlasTable("UAT",DataAreaId,"T.InventTableModule","%TaxItemGroupId","","","","","","","ItemId|ModuleType",$A132,"Purch")</f>
        <v>#NAME?</v>
      </c>
    </row>
    <row r="133" spans="1:7" x14ac:dyDescent="0.15">
      <c r="A133" s="3" t="s">
        <v>873</v>
      </c>
      <c r="B133" s="3" t="s">
        <v>1477</v>
      </c>
      <c r="C133" s="3" t="s">
        <v>873</v>
      </c>
      <c r="D133" s="3" t="s">
        <v>53</v>
      </c>
      <c r="E133" s="3" t="s">
        <v>58</v>
      </c>
      <c r="F133" s="3" t="s">
        <v>14</v>
      </c>
      <c r="G133" s="5" t="e">
        <f ca="1">_xll.AtlasFormulas.AtlasFunctions.AtlasTable("UAT",DataAreaId,"T.InventTableModule","%TaxItemGroupId","","","","","","","ItemId|ModuleType",$A133,"Purch")</f>
        <v>#NAME?</v>
      </c>
    </row>
    <row r="134" spans="1:7" x14ac:dyDescent="0.15">
      <c r="A134" s="3" t="s">
        <v>874</v>
      </c>
      <c r="B134" s="3" t="s">
        <v>1478</v>
      </c>
      <c r="C134" s="3" t="s">
        <v>874</v>
      </c>
      <c r="D134" s="3" t="s">
        <v>53</v>
      </c>
      <c r="E134" s="3" t="s">
        <v>58</v>
      </c>
      <c r="F134" s="3" t="s">
        <v>14</v>
      </c>
      <c r="G134" s="5" t="e">
        <f ca="1">_xll.AtlasFormulas.AtlasFunctions.AtlasTable("UAT",DataAreaId,"T.InventTableModule","%TaxItemGroupId","","","","","","","ItemId|ModuleType",$A134,"Purch")</f>
        <v>#NAME?</v>
      </c>
    </row>
    <row r="135" spans="1:7" x14ac:dyDescent="0.15">
      <c r="A135" s="3" t="s">
        <v>875</v>
      </c>
      <c r="B135" s="3" t="s">
        <v>875</v>
      </c>
      <c r="C135" s="3" t="s">
        <v>876</v>
      </c>
      <c r="D135" s="3" t="s">
        <v>56</v>
      </c>
      <c r="E135" s="3" t="s">
        <v>57</v>
      </c>
      <c r="F135" s="3" t="s">
        <v>15</v>
      </c>
      <c r="G135" s="5" t="e">
        <f ca="1">_xll.AtlasFormulas.AtlasFunctions.AtlasTable("UAT",DataAreaId,"T.InventTableModule","%TaxItemGroupId","","","","","","","ItemId|ModuleType",$A135,"Purch")</f>
        <v>#NAME?</v>
      </c>
    </row>
    <row r="136" spans="1:7" x14ac:dyDescent="0.15">
      <c r="A136" s="3" t="s">
        <v>877</v>
      </c>
      <c r="B136" s="3" t="s">
        <v>877</v>
      </c>
      <c r="C136" s="3" t="s">
        <v>877</v>
      </c>
      <c r="D136" s="3" t="s">
        <v>56</v>
      </c>
      <c r="E136" s="3" t="s">
        <v>57</v>
      </c>
      <c r="F136" s="3" t="s">
        <v>15</v>
      </c>
      <c r="G136" s="5" t="e">
        <f ca="1">_xll.AtlasFormulas.AtlasFunctions.AtlasTable("UAT",DataAreaId,"T.InventTableModule","%TaxItemGroupId","","","","","","","ItemId|ModuleType",$A136,"Purch")</f>
        <v>#NAME?</v>
      </c>
    </row>
    <row r="137" spans="1:7" x14ac:dyDescent="0.15">
      <c r="A137" s="3" t="s">
        <v>1479</v>
      </c>
      <c r="B137" s="3" t="s">
        <v>1480</v>
      </c>
      <c r="C137" s="3" t="s">
        <v>1481</v>
      </c>
      <c r="D137" s="3" t="s">
        <v>717</v>
      </c>
      <c r="E137" s="3" t="s">
        <v>54</v>
      </c>
      <c r="F137" s="3" t="s">
        <v>14</v>
      </c>
      <c r="G137" s="5" t="e">
        <f ca="1">_xll.AtlasFormulas.AtlasFunctions.AtlasTable("UAT",DataAreaId,"T.InventTableModule","%TaxItemGroupId","","","","","","","ItemId|ModuleType",$A137,"Purch")</f>
        <v>#NAME?</v>
      </c>
    </row>
    <row r="138" spans="1:7" x14ac:dyDescent="0.15">
      <c r="A138" s="3" t="s">
        <v>878</v>
      </c>
      <c r="B138" s="3" t="s">
        <v>878</v>
      </c>
      <c r="C138" s="3" t="s">
        <v>879</v>
      </c>
      <c r="D138" s="3" t="s">
        <v>56</v>
      </c>
      <c r="E138" s="3" t="s">
        <v>57</v>
      </c>
      <c r="F138" s="3" t="s">
        <v>15</v>
      </c>
      <c r="G138" s="5" t="e">
        <f ca="1">_xll.AtlasFormulas.AtlasFunctions.AtlasTable("UAT",DataAreaId,"T.InventTableModule","%TaxItemGroupId","","","","","","","ItemId|ModuleType",$A138,"Purch")</f>
        <v>#NAME?</v>
      </c>
    </row>
    <row r="139" spans="1:7" x14ac:dyDescent="0.15">
      <c r="A139" s="3" t="s">
        <v>880</v>
      </c>
      <c r="B139" s="3" t="s">
        <v>880</v>
      </c>
      <c r="C139" s="3" t="s">
        <v>881</v>
      </c>
      <c r="D139" s="3" t="s">
        <v>56</v>
      </c>
      <c r="E139" s="3" t="s">
        <v>57</v>
      </c>
      <c r="F139" s="3" t="s">
        <v>15</v>
      </c>
      <c r="G139" s="5" t="e">
        <f ca="1">_xll.AtlasFormulas.AtlasFunctions.AtlasTable("UAT",DataAreaId,"T.InventTableModule","%TaxItemGroupId","","","","","","","ItemId|ModuleType",$A139,"Purch")</f>
        <v>#NAME?</v>
      </c>
    </row>
    <row r="140" spans="1:7" x14ac:dyDescent="0.15">
      <c r="A140" s="3" t="s">
        <v>882</v>
      </c>
      <c r="B140" s="3" t="s">
        <v>882</v>
      </c>
      <c r="C140" s="3" t="s">
        <v>883</v>
      </c>
      <c r="D140" s="3" t="s">
        <v>56</v>
      </c>
      <c r="E140" s="3" t="s">
        <v>57</v>
      </c>
      <c r="F140" s="3" t="s">
        <v>15</v>
      </c>
      <c r="G140" s="5" t="e">
        <f ca="1">_xll.AtlasFormulas.AtlasFunctions.AtlasTable("UAT",DataAreaId,"T.InventTableModule","%TaxItemGroupId","","","","","","","ItemId|ModuleType",$A140,"Purch")</f>
        <v>#NAME?</v>
      </c>
    </row>
    <row r="141" spans="1:7" x14ac:dyDescent="0.15">
      <c r="A141" s="3" t="s">
        <v>884</v>
      </c>
      <c r="B141" s="3" t="s">
        <v>885</v>
      </c>
      <c r="C141" s="3" t="s">
        <v>886</v>
      </c>
      <c r="D141" s="3" t="s">
        <v>717</v>
      </c>
      <c r="E141" s="3" t="s">
        <v>54</v>
      </c>
      <c r="F141" s="3" t="s">
        <v>14</v>
      </c>
      <c r="G141" s="5" t="e">
        <f ca="1">_xll.AtlasFormulas.AtlasFunctions.AtlasTable("UAT",DataAreaId,"T.InventTableModule","%TaxItemGroupId","","","","","","","ItemId|ModuleType",$A141,"Purch")</f>
        <v>#NAME?</v>
      </c>
    </row>
    <row r="142" spans="1:7" x14ac:dyDescent="0.15">
      <c r="A142" s="3" t="s">
        <v>887</v>
      </c>
      <c r="B142" s="3" t="s">
        <v>888</v>
      </c>
      <c r="C142" s="3" t="s">
        <v>889</v>
      </c>
      <c r="D142" s="3" t="s">
        <v>717</v>
      </c>
      <c r="E142" s="3" t="s">
        <v>54</v>
      </c>
      <c r="F142" s="3" t="s">
        <v>14</v>
      </c>
      <c r="G142" s="5" t="e">
        <f ca="1">_xll.AtlasFormulas.AtlasFunctions.AtlasTable("UAT",DataAreaId,"T.InventTableModule","%TaxItemGroupId","","","","","","","ItemId|ModuleType",$A142,"Purch")</f>
        <v>#NAME?</v>
      </c>
    </row>
    <row r="143" spans="1:7" ht="27" x14ac:dyDescent="0.15">
      <c r="A143" s="3" t="s">
        <v>1482</v>
      </c>
      <c r="B143" s="4" t="s">
        <v>1483</v>
      </c>
      <c r="C143" s="3" t="s">
        <v>1484</v>
      </c>
      <c r="D143" s="3" t="s">
        <v>53</v>
      </c>
      <c r="E143" s="3" t="s">
        <v>54</v>
      </c>
      <c r="F143" s="3" t="s">
        <v>14</v>
      </c>
      <c r="G143" s="5" t="e">
        <f ca="1">_xll.AtlasFormulas.AtlasFunctions.AtlasTable("UAT",DataAreaId,"T.InventTableModule","%TaxItemGroupId","","","","","","","ItemId|ModuleType",$A143,"Purch")</f>
        <v>#NAME?</v>
      </c>
    </row>
    <row r="144" spans="1:7" x14ac:dyDescent="0.15">
      <c r="A144" s="3" t="s">
        <v>890</v>
      </c>
      <c r="B144" s="3" t="s">
        <v>891</v>
      </c>
      <c r="C144" s="3" t="s">
        <v>890</v>
      </c>
      <c r="D144" s="3" t="s">
        <v>55</v>
      </c>
      <c r="E144" s="3" t="s">
        <v>58</v>
      </c>
      <c r="F144" s="3" t="s">
        <v>14</v>
      </c>
      <c r="G144" s="5" t="e">
        <f ca="1">_xll.AtlasFormulas.AtlasFunctions.AtlasTable("UAT",DataAreaId,"T.InventTableModule","%TaxItemGroupId","","","","","","","ItemId|ModuleType",$A144,"Purch")</f>
        <v>#NAME?</v>
      </c>
    </row>
    <row r="145" spans="1:7" x14ac:dyDescent="0.15">
      <c r="A145" s="3" t="s">
        <v>892</v>
      </c>
      <c r="B145" s="3" t="s">
        <v>893</v>
      </c>
      <c r="C145" s="3" t="s">
        <v>892</v>
      </c>
      <c r="D145" s="3" t="s">
        <v>55</v>
      </c>
      <c r="E145" s="3" t="s">
        <v>58</v>
      </c>
      <c r="F145" s="3" t="s">
        <v>14</v>
      </c>
      <c r="G145" s="5" t="e">
        <f ca="1">_xll.AtlasFormulas.AtlasFunctions.AtlasTable("UAT",DataAreaId,"T.InventTableModule","%TaxItemGroupId","","","","","","","ItemId|ModuleType",$A145,"Purch")</f>
        <v>#NAME?</v>
      </c>
    </row>
    <row r="146" spans="1:7" x14ac:dyDescent="0.15">
      <c r="A146" s="3" t="s">
        <v>894</v>
      </c>
      <c r="B146" s="3" t="s">
        <v>895</v>
      </c>
      <c r="C146" s="3" t="s">
        <v>894</v>
      </c>
      <c r="D146" s="3" t="s">
        <v>55</v>
      </c>
      <c r="E146" s="3" t="s">
        <v>58</v>
      </c>
      <c r="F146" s="3" t="s">
        <v>14</v>
      </c>
      <c r="G146" s="5" t="e">
        <f ca="1">_xll.AtlasFormulas.AtlasFunctions.AtlasTable("UAT",DataAreaId,"T.InventTableModule","%TaxItemGroupId","","","","","","","ItemId|ModuleType",$A146,"Purch")</f>
        <v>#NAME?</v>
      </c>
    </row>
    <row r="147" spans="1:7" x14ac:dyDescent="0.15">
      <c r="A147" s="3" t="s">
        <v>896</v>
      </c>
      <c r="B147" s="3" t="s">
        <v>897</v>
      </c>
      <c r="C147" s="3" t="s">
        <v>896</v>
      </c>
      <c r="D147" s="3" t="s">
        <v>55</v>
      </c>
      <c r="E147" s="3" t="s">
        <v>58</v>
      </c>
      <c r="F147" s="3" t="s">
        <v>14</v>
      </c>
      <c r="G147" s="5" t="e">
        <f ca="1">_xll.AtlasFormulas.AtlasFunctions.AtlasTable("UAT",DataAreaId,"T.InventTableModule","%TaxItemGroupId","","","","","","","ItemId|ModuleType",$A147,"Purch")</f>
        <v>#NAME?</v>
      </c>
    </row>
    <row r="148" spans="1:7" x14ac:dyDescent="0.15">
      <c r="A148" s="3" t="s">
        <v>898</v>
      </c>
      <c r="B148" s="3" t="s">
        <v>899</v>
      </c>
      <c r="C148" s="3" t="s">
        <v>898</v>
      </c>
      <c r="D148" s="3" t="s">
        <v>55</v>
      </c>
      <c r="E148" s="3" t="s">
        <v>58</v>
      </c>
      <c r="F148" s="3" t="s">
        <v>14</v>
      </c>
      <c r="G148" s="5" t="e">
        <f ca="1">_xll.AtlasFormulas.AtlasFunctions.AtlasTable("UAT",DataAreaId,"T.InventTableModule","%TaxItemGroupId","","","","","","","ItemId|ModuleType",$A148,"Purch")</f>
        <v>#NAME?</v>
      </c>
    </row>
    <row r="149" spans="1:7" x14ac:dyDescent="0.15">
      <c r="A149" s="3" t="s">
        <v>900</v>
      </c>
      <c r="B149" s="3" t="s">
        <v>901</v>
      </c>
      <c r="C149" s="3" t="s">
        <v>902</v>
      </c>
      <c r="D149" s="3" t="s">
        <v>717</v>
      </c>
      <c r="E149" s="3" t="s">
        <v>54</v>
      </c>
      <c r="F149" s="3" t="s">
        <v>14</v>
      </c>
      <c r="G149" s="5" t="e">
        <f ca="1">_xll.AtlasFormulas.AtlasFunctions.AtlasTable("UAT",DataAreaId,"T.InventTableModule","%TaxItemGroupId","","","","","","","ItemId|ModuleType",$A149,"Purch")</f>
        <v>#NAME?</v>
      </c>
    </row>
    <row r="150" spans="1:7" x14ac:dyDescent="0.15">
      <c r="A150" s="3" t="s">
        <v>903</v>
      </c>
      <c r="B150" s="3" t="s">
        <v>904</v>
      </c>
      <c r="C150" s="3" t="s">
        <v>905</v>
      </c>
      <c r="D150" s="3" t="s">
        <v>717</v>
      </c>
      <c r="E150" s="3" t="s">
        <v>54</v>
      </c>
      <c r="F150" s="3" t="s">
        <v>14</v>
      </c>
      <c r="G150" s="5" t="e">
        <f ca="1">_xll.AtlasFormulas.AtlasFunctions.AtlasTable("UAT",DataAreaId,"T.InventTableModule","%TaxItemGroupId","","","","","","","ItemId|ModuleType",$A150,"Purch")</f>
        <v>#NAME?</v>
      </c>
    </row>
    <row r="151" spans="1:7" x14ac:dyDescent="0.15">
      <c r="A151" s="3" t="s">
        <v>1485</v>
      </c>
      <c r="B151" s="3" t="s">
        <v>826</v>
      </c>
      <c r="C151" s="3" t="s">
        <v>825</v>
      </c>
      <c r="D151" s="3" t="s">
        <v>717</v>
      </c>
      <c r="E151" s="3" t="s">
        <v>54</v>
      </c>
      <c r="F151" s="3" t="s">
        <v>14</v>
      </c>
      <c r="G151" s="5" t="e">
        <f ca="1">_xll.AtlasFormulas.AtlasFunctions.AtlasTable("UAT",DataAreaId,"T.InventTableModule","%TaxItemGroupId","","","","","","","ItemId|ModuleType",$A151,"Purch")</f>
        <v>#NAME?</v>
      </c>
    </row>
    <row r="152" spans="1:7" x14ac:dyDescent="0.15">
      <c r="A152" s="3" t="s">
        <v>906</v>
      </c>
      <c r="B152" s="3" t="s">
        <v>906</v>
      </c>
      <c r="C152" s="3" t="s">
        <v>907</v>
      </c>
      <c r="D152" s="3" t="s">
        <v>56</v>
      </c>
      <c r="E152" s="3" t="s">
        <v>57</v>
      </c>
      <c r="F152" s="3" t="s">
        <v>15</v>
      </c>
      <c r="G152" s="5" t="e">
        <f ca="1">_xll.AtlasFormulas.AtlasFunctions.AtlasTable("UAT",DataAreaId,"T.InventTableModule","%TaxItemGroupId","","","","","","","ItemId|ModuleType",$A152,"Purch")</f>
        <v>#NAME?</v>
      </c>
    </row>
    <row r="153" spans="1:7" x14ac:dyDescent="0.15">
      <c r="A153" s="3" t="s">
        <v>908</v>
      </c>
      <c r="B153" s="3" t="s">
        <v>909</v>
      </c>
      <c r="C153" s="3" t="s">
        <v>910</v>
      </c>
      <c r="D153" s="3" t="s">
        <v>717</v>
      </c>
      <c r="E153" s="3" t="s">
        <v>54</v>
      </c>
      <c r="F153" s="3" t="s">
        <v>14</v>
      </c>
      <c r="G153" s="5" t="e">
        <f ca="1">_xll.AtlasFormulas.AtlasFunctions.AtlasTable("UAT",DataAreaId,"T.InventTableModule","%TaxItemGroupId","","","","","","","ItemId|ModuleType",$A153,"Purch")</f>
        <v>#NAME?</v>
      </c>
    </row>
    <row r="154" spans="1:7" x14ac:dyDescent="0.15">
      <c r="A154" s="3" t="s">
        <v>911</v>
      </c>
      <c r="B154" s="3" t="s">
        <v>912</v>
      </c>
      <c r="C154" s="3" t="s">
        <v>913</v>
      </c>
      <c r="D154" s="3" t="s">
        <v>717</v>
      </c>
      <c r="E154" s="3" t="s">
        <v>54</v>
      </c>
      <c r="F154" s="3" t="s">
        <v>14</v>
      </c>
      <c r="G154" s="5" t="e">
        <f ca="1">_xll.AtlasFormulas.AtlasFunctions.AtlasTable("UAT",DataAreaId,"T.InventTableModule","%TaxItemGroupId","","","","","","","ItemId|ModuleType",$A154,"Purch")</f>
        <v>#NAME?</v>
      </c>
    </row>
    <row r="155" spans="1:7" x14ac:dyDescent="0.15">
      <c r="A155" s="3" t="s">
        <v>914</v>
      </c>
      <c r="B155" s="3" t="s">
        <v>914</v>
      </c>
      <c r="C155" s="3" t="s">
        <v>915</v>
      </c>
      <c r="D155" s="3" t="s">
        <v>56</v>
      </c>
      <c r="E155" s="3" t="s">
        <v>57</v>
      </c>
      <c r="F155" s="3" t="s">
        <v>15</v>
      </c>
      <c r="G155" s="5" t="e">
        <f ca="1">_xll.AtlasFormulas.AtlasFunctions.AtlasTable("UAT",DataAreaId,"T.InventTableModule","%TaxItemGroupId","","","","","","","ItemId|ModuleType",$A155,"Purch")</f>
        <v>#NAME?</v>
      </c>
    </row>
    <row r="156" spans="1:7" ht="54" x14ac:dyDescent="0.15">
      <c r="A156" s="3" t="s">
        <v>916</v>
      </c>
      <c r="B156" s="4" t="s">
        <v>917</v>
      </c>
      <c r="C156" s="4" t="s">
        <v>918</v>
      </c>
      <c r="D156" s="3" t="s">
        <v>56</v>
      </c>
      <c r="E156" s="3" t="s">
        <v>57</v>
      </c>
      <c r="F156" s="3" t="s">
        <v>14</v>
      </c>
      <c r="G156" s="5" t="e">
        <f ca="1">_xll.AtlasFormulas.AtlasFunctions.AtlasTable("UAT",DataAreaId,"T.InventTableModule","%TaxItemGroupId","","","","","","","ItemId|ModuleType",$A156,"Purch")</f>
        <v>#NAME?</v>
      </c>
    </row>
    <row r="157" spans="1:7" x14ac:dyDescent="0.15">
      <c r="A157" s="3" t="s">
        <v>919</v>
      </c>
      <c r="B157" s="3" t="s">
        <v>919</v>
      </c>
      <c r="C157" s="3" t="s">
        <v>920</v>
      </c>
      <c r="D157" s="3" t="s">
        <v>56</v>
      </c>
      <c r="E157" s="3" t="s">
        <v>57</v>
      </c>
      <c r="F157" s="3" t="s">
        <v>15</v>
      </c>
      <c r="G157" s="5" t="e">
        <f ca="1">_xll.AtlasFormulas.AtlasFunctions.AtlasTable("UAT",DataAreaId,"T.InventTableModule","%TaxItemGroupId","","","","","","","ItemId|ModuleType",$A157,"Purch")</f>
        <v>#NAME?</v>
      </c>
    </row>
    <row r="158" spans="1:7" x14ac:dyDescent="0.15">
      <c r="A158" s="3" t="s">
        <v>921</v>
      </c>
      <c r="B158" s="3" t="s">
        <v>921</v>
      </c>
      <c r="C158" s="3" t="s">
        <v>922</v>
      </c>
      <c r="D158" s="3" t="s">
        <v>56</v>
      </c>
      <c r="E158" s="3" t="s">
        <v>57</v>
      </c>
      <c r="F158" s="3" t="s">
        <v>15</v>
      </c>
      <c r="G158" s="5" t="e">
        <f ca="1">_xll.AtlasFormulas.AtlasFunctions.AtlasTable("UAT",DataAreaId,"T.InventTableModule","%TaxItemGroupId","","","","","","","ItemId|ModuleType",$A158,"Purch")</f>
        <v>#NAME?</v>
      </c>
    </row>
    <row r="159" spans="1:7" x14ac:dyDescent="0.15">
      <c r="A159" s="3" t="s">
        <v>923</v>
      </c>
      <c r="B159" s="3" t="s">
        <v>924</v>
      </c>
      <c r="C159" s="3" t="s">
        <v>925</v>
      </c>
      <c r="D159" s="3" t="s">
        <v>717</v>
      </c>
      <c r="E159" s="3" t="s">
        <v>54</v>
      </c>
      <c r="F159" s="3" t="s">
        <v>14</v>
      </c>
      <c r="G159" s="5" t="e">
        <f ca="1">_xll.AtlasFormulas.AtlasFunctions.AtlasTable("UAT",DataAreaId,"T.InventTableModule","%TaxItemGroupId","","","","","","","ItemId|ModuleType",$A159,"Purch")</f>
        <v>#NAME?</v>
      </c>
    </row>
    <row r="160" spans="1:7" x14ac:dyDescent="0.15">
      <c r="A160" s="3" t="s">
        <v>926</v>
      </c>
      <c r="B160" s="3" t="s">
        <v>926</v>
      </c>
      <c r="C160" s="3" t="s">
        <v>927</v>
      </c>
      <c r="D160" s="3" t="s">
        <v>56</v>
      </c>
      <c r="E160" s="3" t="s">
        <v>57</v>
      </c>
      <c r="F160" s="3" t="s">
        <v>15</v>
      </c>
      <c r="G160" s="5" t="e">
        <f ca="1">_xll.AtlasFormulas.AtlasFunctions.AtlasTable("UAT",DataAreaId,"T.InventTableModule","%TaxItemGroupId","","","","","","","ItemId|ModuleType",$A160,"Purch")</f>
        <v>#NAME?</v>
      </c>
    </row>
    <row r="161" spans="1:7" x14ac:dyDescent="0.15">
      <c r="A161" s="3" t="s">
        <v>928</v>
      </c>
      <c r="B161" s="3" t="s">
        <v>928</v>
      </c>
      <c r="C161" s="3" t="s">
        <v>929</v>
      </c>
      <c r="D161" s="3" t="s">
        <v>56</v>
      </c>
      <c r="E161" s="3" t="s">
        <v>57</v>
      </c>
      <c r="F161" s="3" t="s">
        <v>15</v>
      </c>
      <c r="G161" s="5" t="e">
        <f ca="1">_xll.AtlasFormulas.AtlasFunctions.AtlasTable("UAT",DataAreaId,"T.InventTableModule","%TaxItemGroupId","","","","","","","ItemId|ModuleType",$A161,"Purch")</f>
        <v>#NAME?</v>
      </c>
    </row>
    <row r="162" spans="1:7" x14ac:dyDescent="0.15">
      <c r="A162" s="3" t="s">
        <v>930</v>
      </c>
      <c r="B162" s="3" t="s">
        <v>930</v>
      </c>
      <c r="C162" s="3" t="s">
        <v>930</v>
      </c>
      <c r="D162" s="3" t="s">
        <v>56</v>
      </c>
      <c r="E162" s="3" t="s">
        <v>57</v>
      </c>
      <c r="F162" s="3" t="s">
        <v>15</v>
      </c>
      <c r="G162" s="5" t="e">
        <f ca="1">_xll.AtlasFormulas.AtlasFunctions.AtlasTable("UAT",DataAreaId,"T.InventTableModule","%TaxItemGroupId","","","","","","","ItemId|ModuleType",$A162,"Purch")</f>
        <v>#NAME?</v>
      </c>
    </row>
    <row r="163" spans="1:7" x14ac:dyDescent="0.15">
      <c r="A163" s="3" t="s">
        <v>62</v>
      </c>
      <c r="B163" s="3" t="s">
        <v>63</v>
      </c>
      <c r="C163" s="3" t="s">
        <v>63</v>
      </c>
      <c r="D163" s="3" t="s">
        <v>56</v>
      </c>
      <c r="E163" s="3" t="s">
        <v>57</v>
      </c>
      <c r="F163" s="3" t="s">
        <v>15</v>
      </c>
      <c r="G163" s="5" t="e">
        <f ca="1">_xll.AtlasFormulas.AtlasFunctions.AtlasTable("UAT",DataAreaId,"T.InventTableModule","%TaxItemGroupId","","","","","","","ItemId|ModuleType",$A163,"Purch")</f>
        <v>#NAME?</v>
      </c>
    </row>
    <row r="164" spans="1:7" x14ac:dyDescent="0.15">
      <c r="A164" s="3" t="s">
        <v>931</v>
      </c>
      <c r="B164" s="3" t="s">
        <v>932</v>
      </c>
      <c r="C164" s="3" t="s">
        <v>933</v>
      </c>
      <c r="D164" s="3" t="s">
        <v>717</v>
      </c>
      <c r="E164" s="3" t="s">
        <v>54</v>
      </c>
      <c r="F164" s="3" t="s">
        <v>14</v>
      </c>
      <c r="G164" s="5" t="e">
        <f ca="1">_xll.AtlasFormulas.AtlasFunctions.AtlasTable("UAT",DataAreaId,"T.InventTableModule","%TaxItemGroupId","","","","","","","ItemId|ModuleType",$A164,"Purch")</f>
        <v>#NAME?</v>
      </c>
    </row>
    <row r="165" spans="1:7" x14ac:dyDescent="0.15">
      <c r="A165" s="3" t="s">
        <v>934</v>
      </c>
      <c r="B165" s="3" t="s">
        <v>934</v>
      </c>
      <c r="C165" s="3" t="s">
        <v>935</v>
      </c>
      <c r="D165" s="3" t="s">
        <v>56</v>
      </c>
      <c r="E165" s="3" t="s">
        <v>57</v>
      </c>
      <c r="F165" s="3" t="s">
        <v>15</v>
      </c>
      <c r="G165" s="5" t="e">
        <f ca="1">_xll.AtlasFormulas.AtlasFunctions.AtlasTable("UAT",DataAreaId,"T.InventTableModule","%TaxItemGroupId","","","","","","","ItemId|ModuleType",$A165,"Purch")</f>
        <v>#NAME?</v>
      </c>
    </row>
    <row r="166" spans="1:7" x14ac:dyDescent="0.15">
      <c r="A166" s="3" t="s">
        <v>936</v>
      </c>
      <c r="B166" s="3" t="s">
        <v>936</v>
      </c>
      <c r="C166" s="3" t="s">
        <v>937</v>
      </c>
      <c r="D166" s="3" t="s">
        <v>56</v>
      </c>
      <c r="E166" s="3" t="s">
        <v>57</v>
      </c>
      <c r="F166" s="3" t="s">
        <v>15</v>
      </c>
      <c r="G166" s="5" t="e">
        <f ca="1">_xll.AtlasFormulas.AtlasFunctions.AtlasTable("UAT",DataAreaId,"T.InventTableModule","%TaxItemGroupId","","","","","","","ItemId|ModuleType",$A166,"Purch")</f>
        <v>#NAME?</v>
      </c>
    </row>
    <row r="167" spans="1:7" x14ac:dyDescent="0.15">
      <c r="A167" s="3" t="s">
        <v>938</v>
      </c>
      <c r="B167" s="3" t="s">
        <v>938</v>
      </c>
      <c r="C167" s="3" t="s">
        <v>939</v>
      </c>
      <c r="D167" s="3" t="s">
        <v>56</v>
      </c>
      <c r="E167" s="3" t="s">
        <v>57</v>
      </c>
      <c r="F167" s="3" t="s">
        <v>15</v>
      </c>
      <c r="G167" s="5" t="e">
        <f ca="1">_xll.AtlasFormulas.AtlasFunctions.AtlasTable("UAT",DataAreaId,"T.InventTableModule","%TaxItemGroupId","","","","","","","ItemId|ModuleType",$A167,"Purch")</f>
        <v>#NAME?</v>
      </c>
    </row>
    <row r="168" spans="1:7" x14ac:dyDescent="0.15">
      <c r="A168" s="3" t="s">
        <v>940</v>
      </c>
      <c r="B168" s="3" t="s">
        <v>941</v>
      </c>
      <c r="C168" s="3" t="s">
        <v>942</v>
      </c>
      <c r="D168" s="3" t="s">
        <v>56</v>
      </c>
      <c r="E168" s="3" t="s">
        <v>57</v>
      </c>
      <c r="F168" s="3" t="s">
        <v>943</v>
      </c>
      <c r="G168" s="5" t="e">
        <f ca="1">_xll.AtlasFormulas.AtlasFunctions.AtlasTable("UAT",DataAreaId,"T.InventTableModule","%TaxItemGroupId","","","","","","","ItemId|ModuleType",$A168,"Purch")</f>
        <v>#NAME?</v>
      </c>
    </row>
    <row r="169" spans="1:7" x14ac:dyDescent="0.15">
      <c r="A169" s="3" t="s">
        <v>944</v>
      </c>
      <c r="B169" s="3" t="s">
        <v>945</v>
      </c>
      <c r="C169" s="3" t="s">
        <v>946</v>
      </c>
      <c r="D169" s="3" t="s">
        <v>56</v>
      </c>
      <c r="E169" s="3" t="s">
        <v>57</v>
      </c>
      <c r="F169" s="3" t="s">
        <v>15</v>
      </c>
      <c r="G169" s="5" t="e">
        <f ca="1">_xll.AtlasFormulas.AtlasFunctions.AtlasTable("UAT",DataAreaId,"T.InventTableModule","%TaxItemGroupId","","","","","","","ItemId|ModuleType",$A169,"Purch")</f>
        <v>#NAME?</v>
      </c>
    </row>
    <row r="170" spans="1:7" x14ac:dyDescent="0.15">
      <c r="A170" s="3" t="s">
        <v>947</v>
      </c>
      <c r="B170" s="3" t="s">
        <v>948</v>
      </c>
      <c r="C170" s="3" t="s">
        <v>949</v>
      </c>
      <c r="D170" s="3" t="s">
        <v>56</v>
      </c>
      <c r="E170" s="3" t="s">
        <v>57</v>
      </c>
      <c r="F170" s="3" t="s">
        <v>15</v>
      </c>
      <c r="G170" s="5" t="e">
        <f ca="1">_xll.AtlasFormulas.AtlasFunctions.AtlasTable("UAT",DataAreaId,"T.InventTableModule","%TaxItemGroupId","","","","","","","ItemId|ModuleType",$A170,"Purch")</f>
        <v>#NAME?</v>
      </c>
    </row>
    <row r="171" spans="1:7" x14ac:dyDescent="0.15">
      <c r="A171" s="3" t="s">
        <v>950</v>
      </c>
      <c r="B171" s="3" t="s">
        <v>951</v>
      </c>
      <c r="C171" s="3" t="s">
        <v>951</v>
      </c>
      <c r="D171" s="3" t="s">
        <v>56</v>
      </c>
      <c r="E171" s="3" t="s">
        <v>57</v>
      </c>
      <c r="F171" s="3" t="s">
        <v>15</v>
      </c>
      <c r="G171" s="5" t="e">
        <f ca="1">_xll.AtlasFormulas.AtlasFunctions.AtlasTable("UAT",DataAreaId,"T.InventTableModule","%TaxItemGroupId","","","","","","","ItemId|ModuleType",$A171,"Purch")</f>
        <v>#NAME?</v>
      </c>
    </row>
    <row r="172" spans="1:7" x14ac:dyDescent="0.15">
      <c r="A172" s="3" t="s">
        <v>952</v>
      </c>
      <c r="B172" s="3" t="s">
        <v>953</v>
      </c>
      <c r="C172" s="3" t="s">
        <v>954</v>
      </c>
      <c r="D172" s="3" t="s">
        <v>56</v>
      </c>
      <c r="E172" s="3" t="s">
        <v>57</v>
      </c>
      <c r="F172" s="3" t="s">
        <v>15</v>
      </c>
      <c r="G172" s="5" t="e">
        <f ca="1">_xll.AtlasFormulas.AtlasFunctions.AtlasTable("UAT",DataAreaId,"T.InventTableModule","%TaxItemGroupId","","","","","","","ItemId|ModuleType",$A172,"Purch")</f>
        <v>#NAME?</v>
      </c>
    </row>
    <row r="173" spans="1:7" x14ac:dyDescent="0.15">
      <c r="A173" s="3" t="s">
        <v>955</v>
      </c>
      <c r="B173" s="3" t="s">
        <v>955</v>
      </c>
      <c r="C173" s="3" t="s">
        <v>956</v>
      </c>
      <c r="D173" s="3" t="s">
        <v>56</v>
      </c>
      <c r="E173" s="3" t="s">
        <v>57</v>
      </c>
      <c r="F173" s="3" t="s">
        <v>15</v>
      </c>
      <c r="G173" s="5" t="e">
        <f ca="1">_xll.AtlasFormulas.AtlasFunctions.AtlasTable("UAT",DataAreaId,"T.InventTableModule","%TaxItemGroupId","","","","","","","ItemId|ModuleType",$A173,"Purch")</f>
        <v>#NAME?</v>
      </c>
    </row>
    <row r="174" spans="1:7" x14ac:dyDescent="0.15">
      <c r="A174" s="3" t="s">
        <v>957</v>
      </c>
      <c r="B174" s="3" t="s">
        <v>957</v>
      </c>
      <c r="C174" s="3" t="s">
        <v>957</v>
      </c>
      <c r="D174" s="3" t="s">
        <v>56</v>
      </c>
      <c r="E174" s="3" t="s">
        <v>57</v>
      </c>
      <c r="F174" s="3" t="s">
        <v>15</v>
      </c>
      <c r="G174" s="5" t="e">
        <f ca="1">_xll.AtlasFormulas.AtlasFunctions.AtlasTable("UAT",DataAreaId,"T.InventTableModule","%TaxItemGroupId","","","","","","","ItemId|ModuleType",$A174,"Purch")</f>
        <v>#NAME?</v>
      </c>
    </row>
    <row r="175" spans="1:7" x14ac:dyDescent="0.15">
      <c r="A175" s="3" t="s">
        <v>958</v>
      </c>
      <c r="B175" s="3" t="s">
        <v>958</v>
      </c>
      <c r="C175" s="3" t="s">
        <v>959</v>
      </c>
      <c r="D175" s="3" t="s">
        <v>56</v>
      </c>
      <c r="E175" s="3" t="s">
        <v>57</v>
      </c>
      <c r="F175" s="3" t="s">
        <v>15</v>
      </c>
      <c r="G175" s="5" t="e">
        <f ca="1">_xll.AtlasFormulas.AtlasFunctions.AtlasTable("UAT",DataAreaId,"T.InventTableModule","%TaxItemGroupId","","","","","","","ItemId|ModuleType",$A175,"Purch")</f>
        <v>#NAME?</v>
      </c>
    </row>
    <row r="176" spans="1:7" x14ac:dyDescent="0.15">
      <c r="A176" s="2"/>
      <c r="B176" s="2"/>
      <c r="C176" s="2"/>
      <c r="D176" s="2"/>
      <c r="E176" s="2"/>
      <c r="F176" s="2"/>
      <c r="G176" s="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16"/>
  <sheetViews>
    <sheetView topLeftCell="A130" workbookViewId="0"/>
  </sheetViews>
  <sheetFormatPr defaultRowHeight="13.5" x14ac:dyDescent="0.15"/>
  <cols>
    <col min="1" max="1" width="19.375" customWidth="1"/>
    <col min="2" max="2" width="44.875" customWidth="1"/>
    <col min="3" max="3" width="10.5" customWidth="1"/>
    <col min="4" max="4" width="11.125" customWidth="1"/>
    <col min="5" max="5" width="17.5" customWidth="1"/>
    <col min="6" max="6" width="16.625" customWidth="1"/>
  </cols>
  <sheetData>
    <row r="1" spans="1:6" ht="22.5" x14ac:dyDescent="0.25">
      <c r="A1" s="1" t="s">
        <v>28</v>
      </c>
      <c r="B1" s="1"/>
      <c r="C1" s="1"/>
      <c r="D1" s="1"/>
      <c r="E1" s="1"/>
      <c r="F1" s="1"/>
    </row>
    <row r="2" spans="1:6" x14ac:dyDescent="0.15">
      <c r="A2" s="2" t="s">
        <v>29</v>
      </c>
      <c r="B2" s="2" t="s">
        <v>11</v>
      </c>
      <c r="C2" s="2" t="s">
        <v>30</v>
      </c>
      <c r="D2" s="2" t="s">
        <v>31</v>
      </c>
      <c r="E2" s="2" t="s">
        <v>32</v>
      </c>
      <c r="F2" s="2" t="s">
        <v>2</v>
      </c>
    </row>
    <row r="3" spans="1:6" ht="67.5" x14ac:dyDescent="0.15">
      <c r="A3" s="3" t="s">
        <v>960</v>
      </c>
      <c r="B3" s="3" t="s">
        <v>37</v>
      </c>
      <c r="C3" s="4" t="s">
        <v>77</v>
      </c>
      <c r="D3" s="3" t="s">
        <v>33</v>
      </c>
      <c r="E3" s="3" t="s">
        <v>38</v>
      </c>
      <c r="F3" s="3" t="s">
        <v>961</v>
      </c>
    </row>
    <row r="4" spans="1:6" ht="67.5" x14ac:dyDescent="0.15">
      <c r="A4" s="3" t="s">
        <v>962</v>
      </c>
      <c r="B4" s="3" t="s">
        <v>37</v>
      </c>
      <c r="C4" s="4" t="s">
        <v>77</v>
      </c>
      <c r="D4" s="3" t="s">
        <v>33</v>
      </c>
      <c r="E4" s="3" t="s">
        <v>38</v>
      </c>
      <c r="F4" s="3" t="s">
        <v>963</v>
      </c>
    </row>
    <row r="5" spans="1:6" ht="108" x14ac:dyDescent="0.15">
      <c r="A5" s="3" t="s">
        <v>964</v>
      </c>
      <c r="B5" s="3" t="s">
        <v>76</v>
      </c>
      <c r="C5" s="4" t="s">
        <v>1293</v>
      </c>
      <c r="D5" s="3" t="s">
        <v>33</v>
      </c>
      <c r="E5" s="3" t="s">
        <v>38</v>
      </c>
      <c r="F5" s="3" t="s">
        <v>961</v>
      </c>
    </row>
    <row r="6" spans="1:6" ht="54" x14ac:dyDescent="0.15">
      <c r="A6" s="3" t="s">
        <v>965</v>
      </c>
      <c r="B6" s="3" t="s">
        <v>74</v>
      </c>
      <c r="C6" s="4" t="s">
        <v>39</v>
      </c>
      <c r="D6" s="3" t="s">
        <v>33</v>
      </c>
      <c r="E6" s="3" t="s">
        <v>38</v>
      </c>
      <c r="F6" s="3" t="s">
        <v>961</v>
      </c>
    </row>
    <row r="7" spans="1:6" ht="94.5" x14ac:dyDescent="0.15">
      <c r="A7" s="3" t="s">
        <v>966</v>
      </c>
      <c r="B7" s="3" t="s">
        <v>40</v>
      </c>
      <c r="C7" s="4" t="s">
        <v>71</v>
      </c>
      <c r="D7" s="3" t="s">
        <v>33</v>
      </c>
      <c r="E7" s="3" t="s">
        <v>38</v>
      </c>
      <c r="F7" s="3" t="s">
        <v>961</v>
      </c>
    </row>
    <row r="8" spans="1:6" ht="121.5" x14ac:dyDescent="0.15">
      <c r="A8" s="3" t="s">
        <v>967</v>
      </c>
      <c r="B8" s="3" t="s">
        <v>93</v>
      </c>
      <c r="C8" s="4" t="s">
        <v>88</v>
      </c>
      <c r="D8" s="3" t="s">
        <v>33</v>
      </c>
      <c r="E8" s="3" t="s">
        <v>38</v>
      </c>
      <c r="F8" s="3" t="s">
        <v>961</v>
      </c>
    </row>
    <row r="9" spans="1:6" ht="67.5" x14ac:dyDescent="0.15">
      <c r="A9" s="3" t="s">
        <v>968</v>
      </c>
      <c r="B9" s="3" t="s">
        <v>41</v>
      </c>
      <c r="C9" s="4" t="s">
        <v>969</v>
      </c>
      <c r="D9" s="3" t="s">
        <v>33</v>
      </c>
      <c r="E9" s="3" t="s">
        <v>38</v>
      </c>
      <c r="F9" s="3" t="s">
        <v>961</v>
      </c>
    </row>
    <row r="10" spans="1:6" ht="81" x14ac:dyDescent="0.15">
      <c r="A10" s="3" t="s">
        <v>970</v>
      </c>
      <c r="B10" s="3" t="s">
        <v>971</v>
      </c>
      <c r="C10" s="4" t="s">
        <v>972</v>
      </c>
      <c r="D10" s="3" t="s">
        <v>33</v>
      </c>
      <c r="E10" s="3" t="s">
        <v>38</v>
      </c>
      <c r="F10" s="3" t="s">
        <v>961</v>
      </c>
    </row>
    <row r="11" spans="1:6" ht="108" x14ac:dyDescent="0.15">
      <c r="A11" s="3" t="s">
        <v>973</v>
      </c>
      <c r="B11" s="3" t="s">
        <v>974</v>
      </c>
      <c r="C11" s="4" t="s">
        <v>975</v>
      </c>
      <c r="D11" s="3" t="s">
        <v>33</v>
      </c>
      <c r="E11" s="3" t="s">
        <v>36</v>
      </c>
      <c r="F11" s="3" t="s">
        <v>963</v>
      </c>
    </row>
    <row r="12" spans="1:6" ht="121.5" x14ac:dyDescent="0.15">
      <c r="A12" s="3" t="s">
        <v>976</v>
      </c>
      <c r="B12" s="3" t="s">
        <v>977</v>
      </c>
      <c r="C12" s="4" t="s">
        <v>978</v>
      </c>
      <c r="D12" s="3" t="s">
        <v>33</v>
      </c>
      <c r="E12" s="3" t="s">
        <v>36</v>
      </c>
      <c r="F12" s="3" t="s">
        <v>961</v>
      </c>
    </row>
    <row r="13" spans="1:6" ht="135" x14ac:dyDescent="0.15">
      <c r="A13" s="3" t="s">
        <v>979</v>
      </c>
      <c r="B13" s="3" t="s">
        <v>980</v>
      </c>
      <c r="C13" s="4" t="s">
        <v>981</v>
      </c>
      <c r="D13" s="3" t="s">
        <v>33</v>
      </c>
      <c r="E13" s="3" t="s">
        <v>1294</v>
      </c>
      <c r="F13" s="3" t="s">
        <v>963</v>
      </c>
    </row>
    <row r="14" spans="1:6" ht="81" x14ac:dyDescent="0.15">
      <c r="A14" s="3" t="s">
        <v>982</v>
      </c>
      <c r="B14" s="3" t="s">
        <v>983</v>
      </c>
      <c r="C14" s="4" t="s">
        <v>984</v>
      </c>
      <c r="D14" s="3" t="s">
        <v>33</v>
      </c>
      <c r="E14" s="3" t="s">
        <v>34</v>
      </c>
      <c r="F14" s="3" t="s">
        <v>985</v>
      </c>
    </row>
    <row r="15" spans="1:6" ht="94.5" x14ac:dyDescent="0.15">
      <c r="A15" s="3" t="s">
        <v>986</v>
      </c>
      <c r="B15" s="3" t="s">
        <v>987</v>
      </c>
      <c r="C15" s="4" t="s">
        <v>988</v>
      </c>
      <c r="D15" s="3" t="s">
        <v>33</v>
      </c>
      <c r="E15" s="3" t="s">
        <v>34</v>
      </c>
      <c r="F15" s="3" t="s">
        <v>985</v>
      </c>
    </row>
    <row r="16" spans="1:6" ht="94.5" x14ac:dyDescent="0.15">
      <c r="A16" s="3" t="s">
        <v>989</v>
      </c>
      <c r="B16" s="3" t="s">
        <v>990</v>
      </c>
      <c r="C16" s="4" t="s">
        <v>991</v>
      </c>
      <c r="D16" s="3" t="s">
        <v>33</v>
      </c>
      <c r="E16" s="3" t="s">
        <v>34</v>
      </c>
      <c r="F16" s="3" t="s">
        <v>985</v>
      </c>
    </row>
    <row r="17" spans="1:6" ht="94.5" x14ac:dyDescent="0.15">
      <c r="A17" s="3" t="s">
        <v>992</v>
      </c>
      <c r="B17" s="3" t="s">
        <v>346</v>
      </c>
      <c r="C17" s="4" t="s">
        <v>993</v>
      </c>
      <c r="D17" s="3" t="s">
        <v>33</v>
      </c>
      <c r="E17" s="3" t="s">
        <v>34</v>
      </c>
      <c r="F17" s="3" t="s">
        <v>985</v>
      </c>
    </row>
    <row r="18" spans="1:6" ht="94.5" x14ac:dyDescent="0.15">
      <c r="A18" s="3" t="s">
        <v>994</v>
      </c>
      <c r="B18" s="3" t="s">
        <v>995</v>
      </c>
      <c r="C18" s="4" t="s">
        <v>996</v>
      </c>
      <c r="D18" s="3" t="s">
        <v>33</v>
      </c>
      <c r="E18" s="3" t="s">
        <v>34</v>
      </c>
      <c r="F18" s="3" t="s">
        <v>985</v>
      </c>
    </row>
    <row r="19" spans="1:6" ht="94.5" x14ac:dyDescent="0.15">
      <c r="A19" s="3" t="s">
        <v>997</v>
      </c>
      <c r="B19" s="3" t="s">
        <v>998</v>
      </c>
      <c r="C19" s="4" t="s">
        <v>999</v>
      </c>
      <c r="D19" s="3" t="s">
        <v>33</v>
      </c>
      <c r="E19" s="3" t="s">
        <v>34</v>
      </c>
      <c r="F19" s="3" t="s">
        <v>985</v>
      </c>
    </row>
    <row r="20" spans="1:6" ht="108" x14ac:dyDescent="0.15">
      <c r="A20" s="3" t="s">
        <v>1000</v>
      </c>
      <c r="B20" s="3" t="s">
        <v>1001</v>
      </c>
      <c r="C20" s="4" t="s">
        <v>1002</v>
      </c>
      <c r="D20" s="3" t="s">
        <v>33</v>
      </c>
      <c r="E20" s="3" t="s">
        <v>34</v>
      </c>
      <c r="F20" s="3" t="s">
        <v>985</v>
      </c>
    </row>
    <row r="21" spans="1:6" ht="67.5" x14ac:dyDescent="0.15">
      <c r="A21" s="3" t="s">
        <v>1003</v>
      </c>
      <c r="B21" s="3" t="s">
        <v>1004</v>
      </c>
      <c r="C21" s="4" t="s">
        <v>1005</v>
      </c>
      <c r="D21" s="3" t="s">
        <v>33</v>
      </c>
      <c r="E21" s="3" t="s">
        <v>34</v>
      </c>
      <c r="F21" s="3" t="s">
        <v>985</v>
      </c>
    </row>
    <row r="22" spans="1:6" ht="81" x14ac:dyDescent="0.15">
      <c r="A22" s="3" t="s">
        <v>1006</v>
      </c>
      <c r="B22" s="3" t="s">
        <v>1007</v>
      </c>
      <c r="C22" s="4" t="s">
        <v>1008</v>
      </c>
      <c r="D22" s="3" t="s">
        <v>33</v>
      </c>
      <c r="E22" s="3" t="s">
        <v>34</v>
      </c>
      <c r="F22" s="3" t="s">
        <v>985</v>
      </c>
    </row>
    <row r="23" spans="1:6" ht="81" x14ac:dyDescent="0.15">
      <c r="A23" s="3" t="s">
        <v>1009</v>
      </c>
      <c r="B23" s="3" t="s">
        <v>1010</v>
      </c>
      <c r="C23" s="4" t="s">
        <v>1011</v>
      </c>
      <c r="D23" s="3" t="s">
        <v>33</v>
      </c>
      <c r="E23" s="3" t="s">
        <v>34</v>
      </c>
      <c r="F23" s="3" t="s">
        <v>985</v>
      </c>
    </row>
    <row r="24" spans="1:6" ht="81" x14ac:dyDescent="0.15">
      <c r="A24" s="3" t="s">
        <v>1012</v>
      </c>
      <c r="B24" s="3" t="s">
        <v>1013</v>
      </c>
      <c r="C24" s="4" t="s">
        <v>1014</v>
      </c>
      <c r="D24" s="3" t="s">
        <v>33</v>
      </c>
      <c r="E24" s="3" t="s">
        <v>34</v>
      </c>
      <c r="F24" s="3" t="s">
        <v>985</v>
      </c>
    </row>
    <row r="25" spans="1:6" ht="67.5" x14ac:dyDescent="0.15">
      <c r="A25" s="3" t="s">
        <v>1015</v>
      </c>
      <c r="B25" s="3" t="s">
        <v>1016</v>
      </c>
      <c r="C25" s="4" t="s">
        <v>1017</v>
      </c>
      <c r="D25" s="3" t="s">
        <v>33</v>
      </c>
      <c r="E25" s="3" t="s">
        <v>34</v>
      </c>
      <c r="F25" s="3" t="s">
        <v>985</v>
      </c>
    </row>
    <row r="26" spans="1:6" ht="81" x14ac:dyDescent="0.15">
      <c r="A26" s="3" t="s">
        <v>1018</v>
      </c>
      <c r="B26" s="3" t="s">
        <v>1019</v>
      </c>
      <c r="C26" s="4" t="s">
        <v>1020</v>
      </c>
      <c r="D26" s="3" t="s">
        <v>33</v>
      </c>
      <c r="E26" s="3" t="s">
        <v>34</v>
      </c>
      <c r="F26" s="3" t="s">
        <v>985</v>
      </c>
    </row>
    <row r="27" spans="1:6" ht="94.5" x14ac:dyDescent="0.15">
      <c r="A27" s="3" t="s">
        <v>1021</v>
      </c>
      <c r="B27" s="3" t="s">
        <v>1022</v>
      </c>
      <c r="C27" s="4" t="s">
        <v>1023</v>
      </c>
      <c r="D27" s="3" t="s">
        <v>33</v>
      </c>
      <c r="E27" s="3" t="s">
        <v>34</v>
      </c>
      <c r="F27" s="3" t="s">
        <v>985</v>
      </c>
    </row>
    <row r="28" spans="1:6" ht="94.5" x14ac:dyDescent="0.15">
      <c r="A28" s="3" t="s">
        <v>1024</v>
      </c>
      <c r="B28" s="3" t="s">
        <v>1025</v>
      </c>
      <c r="C28" s="4" t="s">
        <v>1026</v>
      </c>
      <c r="D28" s="3" t="s">
        <v>33</v>
      </c>
      <c r="E28" s="3" t="s">
        <v>34</v>
      </c>
      <c r="F28" s="3" t="s">
        <v>985</v>
      </c>
    </row>
    <row r="29" spans="1:6" ht="67.5" x14ac:dyDescent="0.15">
      <c r="A29" s="3" t="s">
        <v>1027</v>
      </c>
      <c r="B29" s="3" t="s">
        <v>1028</v>
      </c>
      <c r="C29" s="4" t="s">
        <v>1029</v>
      </c>
      <c r="D29" s="3" t="s">
        <v>33</v>
      </c>
      <c r="E29" s="3" t="s">
        <v>34</v>
      </c>
      <c r="F29" s="3" t="s">
        <v>985</v>
      </c>
    </row>
    <row r="30" spans="1:6" ht="81" x14ac:dyDescent="0.15">
      <c r="A30" s="3" t="s">
        <v>1030</v>
      </c>
      <c r="B30" s="3" t="s">
        <v>1031</v>
      </c>
      <c r="C30" s="4" t="s">
        <v>1032</v>
      </c>
      <c r="D30" s="3" t="s">
        <v>33</v>
      </c>
      <c r="E30" s="3" t="s">
        <v>34</v>
      </c>
      <c r="F30" s="3" t="s">
        <v>985</v>
      </c>
    </row>
    <row r="31" spans="1:6" ht="81" x14ac:dyDescent="0.15">
      <c r="A31" s="3" t="s">
        <v>1033</v>
      </c>
      <c r="B31" s="3" t="s">
        <v>1034</v>
      </c>
      <c r="C31" s="4" t="s">
        <v>1035</v>
      </c>
      <c r="D31" s="3" t="s">
        <v>33</v>
      </c>
      <c r="E31" s="3" t="s">
        <v>34</v>
      </c>
      <c r="F31" s="3" t="s">
        <v>985</v>
      </c>
    </row>
    <row r="32" spans="1:6" ht="94.5" x14ac:dyDescent="0.15">
      <c r="A32" s="3" t="s">
        <v>1036</v>
      </c>
      <c r="B32" s="3" t="s">
        <v>1037</v>
      </c>
      <c r="C32" s="4" t="s">
        <v>1038</v>
      </c>
      <c r="D32" s="3" t="s">
        <v>33</v>
      </c>
      <c r="E32" s="3" t="s">
        <v>34</v>
      </c>
      <c r="F32" s="3" t="s">
        <v>985</v>
      </c>
    </row>
    <row r="33" spans="1:6" ht="81" x14ac:dyDescent="0.15">
      <c r="A33" s="3" t="s">
        <v>1039</v>
      </c>
      <c r="B33" s="3" t="s">
        <v>1040</v>
      </c>
      <c r="C33" s="4" t="s">
        <v>1041</v>
      </c>
      <c r="D33" s="3" t="s">
        <v>33</v>
      </c>
      <c r="E33" s="3" t="s">
        <v>34</v>
      </c>
      <c r="F33" s="3" t="s">
        <v>985</v>
      </c>
    </row>
    <row r="34" spans="1:6" ht="67.5" x14ac:dyDescent="0.15">
      <c r="A34" s="3" t="s">
        <v>1042</v>
      </c>
      <c r="B34" s="3" t="s">
        <v>538</v>
      </c>
      <c r="C34" s="4" t="s">
        <v>1043</v>
      </c>
      <c r="D34" s="3" t="s">
        <v>33</v>
      </c>
      <c r="E34" s="3" t="s">
        <v>34</v>
      </c>
      <c r="F34" s="3" t="s">
        <v>985</v>
      </c>
    </row>
    <row r="35" spans="1:6" ht="94.5" x14ac:dyDescent="0.15">
      <c r="A35" s="3" t="s">
        <v>1044</v>
      </c>
      <c r="B35" s="3" t="s">
        <v>1045</v>
      </c>
      <c r="C35" s="4" t="s">
        <v>1046</v>
      </c>
      <c r="D35" s="3" t="s">
        <v>33</v>
      </c>
      <c r="E35" s="3" t="s">
        <v>34</v>
      </c>
      <c r="F35" s="3" t="s">
        <v>985</v>
      </c>
    </row>
    <row r="36" spans="1:6" ht="67.5" x14ac:dyDescent="0.15">
      <c r="A36" s="3" t="s">
        <v>1047</v>
      </c>
      <c r="B36" s="3" t="s">
        <v>1048</v>
      </c>
      <c r="C36" s="4" t="s">
        <v>1049</v>
      </c>
      <c r="D36" s="3" t="s">
        <v>33</v>
      </c>
      <c r="E36" s="3" t="s">
        <v>34</v>
      </c>
      <c r="F36" s="3" t="s">
        <v>985</v>
      </c>
    </row>
    <row r="37" spans="1:6" ht="108" x14ac:dyDescent="0.15">
      <c r="A37" s="3" t="s">
        <v>1050</v>
      </c>
      <c r="B37" s="3" t="s">
        <v>1051</v>
      </c>
      <c r="C37" s="4" t="s">
        <v>1052</v>
      </c>
      <c r="D37" s="3" t="s">
        <v>33</v>
      </c>
      <c r="E37" s="3" t="s">
        <v>34</v>
      </c>
      <c r="F37" s="3" t="s">
        <v>985</v>
      </c>
    </row>
    <row r="38" spans="1:6" ht="67.5" x14ac:dyDescent="0.15">
      <c r="A38" s="3" t="s">
        <v>1053</v>
      </c>
      <c r="B38" s="3" t="s">
        <v>1054</v>
      </c>
      <c r="C38" s="4" t="s">
        <v>1055</v>
      </c>
      <c r="D38" s="3" t="s">
        <v>33</v>
      </c>
      <c r="E38" s="3" t="s">
        <v>34</v>
      </c>
      <c r="F38" s="3" t="s">
        <v>985</v>
      </c>
    </row>
    <row r="39" spans="1:6" ht="81" x14ac:dyDescent="0.15">
      <c r="A39" s="3" t="s">
        <v>1056</v>
      </c>
      <c r="B39" s="3" t="s">
        <v>1057</v>
      </c>
      <c r="C39" s="4" t="s">
        <v>1058</v>
      </c>
      <c r="D39" s="3" t="s">
        <v>33</v>
      </c>
      <c r="E39" s="3" t="s">
        <v>34</v>
      </c>
      <c r="F39" s="3" t="s">
        <v>985</v>
      </c>
    </row>
    <row r="40" spans="1:6" ht="94.5" x14ac:dyDescent="0.15">
      <c r="A40" s="3" t="s">
        <v>1059</v>
      </c>
      <c r="B40" s="3" t="s">
        <v>1060</v>
      </c>
      <c r="C40" s="4" t="s">
        <v>1061</v>
      </c>
      <c r="D40" s="3" t="s">
        <v>33</v>
      </c>
      <c r="E40" s="3" t="s">
        <v>1295</v>
      </c>
      <c r="F40" s="3" t="s">
        <v>961</v>
      </c>
    </row>
    <row r="41" spans="1:6" ht="81" x14ac:dyDescent="0.15">
      <c r="A41" s="3" t="s">
        <v>1062</v>
      </c>
      <c r="B41" s="3" t="s">
        <v>1063</v>
      </c>
      <c r="C41" s="4" t="s">
        <v>1064</v>
      </c>
      <c r="D41" s="3" t="s">
        <v>33</v>
      </c>
      <c r="E41" s="3" t="s">
        <v>34</v>
      </c>
      <c r="F41" s="3" t="s">
        <v>985</v>
      </c>
    </row>
    <row r="42" spans="1:6" ht="135" x14ac:dyDescent="0.15">
      <c r="A42" s="3" t="s">
        <v>1065</v>
      </c>
      <c r="B42" s="3" t="s">
        <v>1066</v>
      </c>
      <c r="C42" s="4" t="s">
        <v>1067</v>
      </c>
      <c r="D42" s="3" t="s">
        <v>33</v>
      </c>
      <c r="E42" s="3" t="s">
        <v>34</v>
      </c>
      <c r="F42" s="3" t="s">
        <v>985</v>
      </c>
    </row>
    <row r="43" spans="1:6" ht="121.5" x14ac:dyDescent="0.15">
      <c r="A43" s="3" t="s">
        <v>1068</v>
      </c>
      <c r="B43" s="3" t="s">
        <v>1069</v>
      </c>
      <c r="C43" s="4" t="s">
        <v>1070</v>
      </c>
      <c r="D43" s="3" t="s">
        <v>33</v>
      </c>
      <c r="E43" s="3" t="s">
        <v>34</v>
      </c>
      <c r="F43" s="3" t="s">
        <v>985</v>
      </c>
    </row>
    <row r="44" spans="1:6" ht="67.5" x14ac:dyDescent="0.15">
      <c r="A44" s="3" t="s">
        <v>1071</v>
      </c>
      <c r="B44" s="3" t="s">
        <v>1072</v>
      </c>
      <c r="C44" s="4" t="s">
        <v>1073</v>
      </c>
      <c r="D44" s="3" t="s">
        <v>33</v>
      </c>
      <c r="E44" s="3" t="s">
        <v>34</v>
      </c>
      <c r="F44" s="3" t="s">
        <v>985</v>
      </c>
    </row>
    <row r="45" spans="1:6" ht="108" x14ac:dyDescent="0.15">
      <c r="A45" s="3" t="s">
        <v>1074</v>
      </c>
      <c r="B45" s="3" t="s">
        <v>1075</v>
      </c>
      <c r="C45" s="4" t="s">
        <v>1076</v>
      </c>
      <c r="D45" s="3" t="s">
        <v>33</v>
      </c>
      <c r="E45" s="3" t="s">
        <v>34</v>
      </c>
      <c r="F45" s="3" t="s">
        <v>985</v>
      </c>
    </row>
    <row r="46" spans="1:6" ht="81" x14ac:dyDescent="0.15">
      <c r="A46" s="3" t="s">
        <v>1077</v>
      </c>
      <c r="B46" s="3" t="s">
        <v>1078</v>
      </c>
      <c r="C46" s="4" t="s">
        <v>1079</v>
      </c>
      <c r="D46" s="3" t="s">
        <v>33</v>
      </c>
      <c r="E46" s="3" t="s">
        <v>34</v>
      </c>
      <c r="F46" s="3" t="s">
        <v>985</v>
      </c>
    </row>
    <row r="47" spans="1:6" ht="54" x14ac:dyDescent="0.15">
      <c r="A47" s="3" t="s">
        <v>1080</v>
      </c>
      <c r="B47" s="3" t="s">
        <v>1081</v>
      </c>
      <c r="C47" s="4" t="s">
        <v>1082</v>
      </c>
      <c r="D47" s="3" t="s">
        <v>33</v>
      </c>
      <c r="E47" s="3" t="s">
        <v>34</v>
      </c>
      <c r="F47" s="3" t="s">
        <v>985</v>
      </c>
    </row>
    <row r="48" spans="1:6" ht="108" x14ac:dyDescent="0.15">
      <c r="A48" s="3" t="s">
        <v>1083</v>
      </c>
      <c r="B48" s="3" t="s">
        <v>1084</v>
      </c>
      <c r="C48" s="4" t="s">
        <v>1085</v>
      </c>
      <c r="D48" s="3" t="s">
        <v>33</v>
      </c>
      <c r="E48" s="3" t="s">
        <v>34</v>
      </c>
      <c r="F48" s="3" t="s">
        <v>985</v>
      </c>
    </row>
    <row r="49" spans="1:6" ht="54" x14ac:dyDescent="0.15">
      <c r="A49" s="3" t="s">
        <v>1086</v>
      </c>
      <c r="B49" s="3" t="s">
        <v>1087</v>
      </c>
      <c r="C49" s="4" t="s">
        <v>1088</v>
      </c>
      <c r="D49" s="3" t="s">
        <v>33</v>
      </c>
      <c r="E49" s="3" t="s">
        <v>34</v>
      </c>
      <c r="F49" s="3" t="s">
        <v>985</v>
      </c>
    </row>
    <row r="50" spans="1:6" ht="67.5" x14ac:dyDescent="0.15">
      <c r="A50" s="3" t="s">
        <v>1089</v>
      </c>
      <c r="B50" s="3" t="s">
        <v>1090</v>
      </c>
      <c r="C50" s="4" t="s">
        <v>1091</v>
      </c>
      <c r="D50" s="3" t="s">
        <v>33</v>
      </c>
      <c r="E50" s="3" t="s">
        <v>34</v>
      </c>
      <c r="F50" s="3" t="s">
        <v>985</v>
      </c>
    </row>
    <row r="51" spans="1:6" ht="121.5" x14ac:dyDescent="0.15">
      <c r="A51" s="3" t="s">
        <v>1092</v>
      </c>
      <c r="B51" s="3" t="s">
        <v>1093</v>
      </c>
      <c r="C51" s="4" t="s">
        <v>1094</v>
      </c>
      <c r="D51" s="3" t="s">
        <v>33</v>
      </c>
      <c r="E51" s="3" t="s">
        <v>34</v>
      </c>
      <c r="F51" s="3" t="s">
        <v>985</v>
      </c>
    </row>
    <row r="52" spans="1:6" ht="81" x14ac:dyDescent="0.15">
      <c r="A52" s="3" t="s">
        <v>1095</v>
      </c>
      <c r="B52" s="3" t="s">
        <v>1096</v>
      </c>
      <c r="C52" s="4" t="s">
        <v>1097</v>
      </c>
      <c r="D52" s="3" t="s">
        <v>33</v>
      </c>
      <c r="E52" s="3" t="s">
        <v>34</v>
      </c>
      <c r="F52" s="3" t="s">
        <v>985</v>
      </c>
    </row>
    <row r="53" spans="1:6" ht="135" x14ac:dyDescent="0.15">
      <c r="A53" s="3" t="s">
        <v>1098</v>
      </c>
      <c r="B53" s="3" t="s">
        <v>1099</v>
      </c>
      <c r="C53" s="4" t="s">
        <v>1100</v>
      </c>
      <c r="D53" s="3" t="s">
        <v>33</v>
      </c>
      <c r="E53" s="3" t="s">
        <v>34</v>
      </c>
      <c r="F53" s="3" t="s">
        <v>985</v>
      </c>
    </row>
    <row r="54" spans="1:6" ht="67.5" x14ac:dyDescent="0.15">
      <c r="A54" s="3" t="s">
        <v>1101</v>
      </c>
      <c r="B54" s="3" t="s">
        <v>1102</v>
      </c>
      <c r="C54" s="4" t="s">
        <v>1103</v>
      </c>
      <c r="D54" s="3" t="s">
        <v>33</v>
      </c>
      <c r="E54" s="3" t="s">
        <v>34</v>
      </c>
      <c r="F54" s="3" t="s">
        <v>985</v>
      </c>
    </row>
    <row r="55" spans="1:6" ht="94.5" x14ac:dyDescent="0.15">
      <c r="A55" s="3" t="s">
        <v>1104</v>
      </c>
      <c r="B55" s="3" t="s">
        <v>1105</v>
      </c>
      <c r="C55" s="4" t="s">
        <v>1106</v>
      </c>
      <c r="D55" s="3" t="s">
        <v>33</v>
      </c>
      <c r="E55" s="3" t="s">
        <v>34</v>
      </c>
      <c r="F55" s="3" t="s">
        <v>985</v>
      </c>
    </row>
    <row r="56" spans="1:6" ht="108" x14ac:dyDescent="0.15">
      <c r="A56" s="3" t="s">
        <v>1107</v>
      </c>
      <c r="B56" s="3" t="s">
        <v>1108</v>
      </c>
      <c r="C56" s="4" t="s">
        <v>1109</v>
      </c>
      <c r="D56" s="3" t="s">
        <v>33</v>
      </c>
      <c r="E56" s="3" t="s">
        <v>34</v>
      </c>
      <c r="F56" s="3" t="s">
        <v>985</v>
      </c>
    </row>
    <row r="57" spans="1:6" ht="81" x14ac:dyDescent="0.15">
      <c r="A57" s="3" t="s">
        <v>1110</v>
      </c>
      <c r="B57" s="3" t="s">
        <v>493</v>
      </c>
      <c r="C57" s="4" t="s">
        <v>1111</v>
      </c>
      <c r="D57" s="3" t="s">
        <v>33</v>
      </c>
      <c r="E57" s="3" t="s">
        <v>34</v>
      </c>
      <c r="F57" s="3" t="s">
        <v>985</v>
      </c>
    </row>
    <row r="58" spans="1:6" ht="67.5" x14ac:dyDescent="0.15">
      <c r="A58" s="3" t="s">
        <v>1112</v>
      </c>
      <c r="B58" s="3" t="s">
        <v>1113</v>
      </c>
      <c r="C58" s="4" t="s">
        <v>1114</v>
      </c>
      <c r="D58" s="3" t="s">
        <v>33</v>
      </c>
      <c r="E58" s="3" t="s">
        <v>34</v>
      </c>
      <c r="F58" s="3" t="s">
        <v>985</v>
      </c>
    </row>
    <row r="59" spans="1:6" ht="67.5" x14ac:dyDescent="0.15">
      <c r="A59" s="3" t="s">
        <v>1115</v>
      </c>
      <c r="B59" s="3" t="s">
        <v>1116</v>
      </c>
      <c r="C59" s="4" t="s">
        <v>1117</v>
      </c>
      <c r="D59" s="3" t="s">
        <v>33</v>
      </c>
      <c r="E59" s="3" t="s">
        <v>34</v>
      </c>
      <c r="F59" s="3" t="s">
        <v>985</v>
      </c>
    </row>
    <row r="60" spans="1:6" ht="108" x14ac:dyDescent="0.15">
      <c r="A60" s="3" t="s">
        <v>1118</v>
      </c>
      <c r="B60" s="3" t="s">
        <v>1119</v>
      </c>
      <c r="C60" s="4" t="s">
        <v>1120</v>
      </c>
      <c r="D60" s="3" t="s">
        <v>33</v>
      </c>
      <c r="E60" s="3" t="s">
        <v>34</v>
      </c>
      <c r="F60" s="3" t="s">
        <v>985</v>
      </c>
    </row>
    <row r="61" spans="1:6" ht="108" x14ac:dyDescent="0.15">
      <c r="A61" s="3" t="s">
        <v>1121</v>
      </c>
      <c r="B61" s="3" t="s">
        <v>1122</v>
      </c>
      <c r="C61" s="4" t="s">
        <v>1123</v>
      </c>
      <c r="D61" s="3" t="s">
        <v>33</v>
      </c>
      <c r="E61" s="3" t="s">
        <v>34</v>
      </c>
      <c r="F61" s="3" t="s">
        <v>985</v>
      </c>
    </row>
    <row r="62" spans="1:6" ht="81" x14ac:dyDescent="0.15">
      <c r="A62" s="3" t="s">
        <v>1124</v>
      </c>
      <c r="B62" s="3" t="s">
        <v>1125</v>
      </c>
      <c r="C62" s="4" t="s">
        <v>1126</v>
      </c>
      <c r="D62" s="3" t="s">
        <v>33</v>
      </c>
      <c r="E62" s="3" t="s">
        <v>34</v>
      </c>
      <c r="F62" s="3" t="s">
        <v>985</v>
      </c>
    </row>
    <row r="63" spans="1:6" ht="67.5" x14ac:dyDescent="0.15">
      <c r="A63" s="3" t="s">
        <v>1127</v>
      </c>
      <c r="B63" s="3" t="s">
        <v>1128</v>
      </c>
      <c r="C63" s="4" t="s">
        <v>1129</v>
      </c>
      <c r="D63" s="3" t="s">
        <v>33</v>
      </c>
      <c r="E63" s="3" t="s">
        <v>34</v>
      </c>
      <c r="F63" s="3" t="s">
        <v>985</v>
      </c>
    </row>
    <row r="64" spans="1:6" ht="94.5" x14ac:dyDescent="0.15">
      <c r="A64" s="3" t="s">
        <v>1130</v>
      </c>
      <c r="B64" s="3" t="s">
        <v>652</v>
      </c>
      <c r="C64" s="4" t="s">
        <v>1131</v>
      </c>
      <c r="D64" s="3" t="s">
        <v>33</v>
      </c>
      <c r="E64" s="3" t="s">
        <v>34</v>
      </c>
      <c r="F64" s="3" t="s">
        <v>985</v>
      </c>
    </row>
    <row r="65" spans="1:6" ht="81" x14ac:dyDescent="0.15">
      <c r="A65" s="3" t="s">
        <v>1132</v>
      </c>
      <c r="B65" s="3" t="s">
        <v>1133</v>
      </c>
      <c r="C65" s="4" t="s">
        <v>1134</v>
      </c>
      <c r="D65" s="3" t="s">
        <v>33</v>
      </c>
      <c r="E65" s="3" t="s">
        <v>34</v>
      </c>
      <c r="F65" s="3" t="s">
        <v>985</v>
      </c>
    </row>
    <row r="66" spans="1:6" ht="81" x14ac:dyDescent="0.15">
      <c r="A66" s="3" t="s">
        <v>1135</v>
      </c>
      <c r="B66" s="3" t="s">
        <v>1136</v>
      </c>
      <c r="C66" s="4" t="s">
        <v>1137</v>
      </c>
      <c r="D66" s="3" t="s">
        <v>33</v>
      </c>
      <c r="E66" s="3" t="s">
        <v>34</v>
      </c>
      <c r="F66" s="3" t="s">
        <v>985</v>
      </c>
    </row>
    <row r="67" spans="1:6" ht="121.5" x14ac:dyDescent="0.15">
      <c r="A67" s="3" t="s">
        <v>1138</v>
      </c>
      <c r="B67" s="3" t="s">
        <v>1139</v>
      </c>
      <c r="C67" s="4" t="s">
        <v>1140</v>
      </c>
      <c r="D67" s="3" t="s">
        <v>33</v>
      </c>
      <c r="E67" s="3" t="s">
        <v>34</v>
      </c>
      <c r="F67" s="3" t="s">
        <v>985</v>
      </c>
    </row>
    <row r="68" spans="1:6" ht="94.5" x14ac:dyDescent="0.15">
      <c r="A68" s="3" t="s">
        <v>1141</v>
      </c>
      <c r="B68" s="3" t="s">
        <v>1142</v>
      </c>
      <c r="C68" s="4" t="s">
        <v>1143</v>
      </c>
      <c r="D68" s="3" t="s">
        <v>33</v>
      </c>
      <c r="E68" s="3" t="s">
        <v>34</v>
      </c>
      <c r="F68" s="3" t="s">
        <v>985</v>
      </c>
    </row>
    <row r="69" spans="1:6" ht="108" x14ac:dyDescent="0.15">
      <c r="A69" s="3" t="s">
        <v>1144</v>
      </c>
      <c r="B69" s="3" t="s">
        <v>1145</v>
      </c>
      <c r="C69" s="4" t="s">
        <v>1146</v>
      </c>
      <c r="D69" s="3" t="s">
        <v>33</v>
      </c>
      <c r="E69" s="3" t="s">
        <v>34</v>
      </c>
      <c r="F69" s="3" t="s">
        <v>985</v>
      </c>
    </row>
    <row r="70" spans="1:6" ht="67.5" x14ac:dyDescent="0.15">
      <c r="A70" s="3" t="s">
        <v>1147</v>
      </c>
      <c r="B70" s="3" t="s">
        <v>1148</v>
      </c>
      <c r="C70" s="4" t="s">
        <v>1149</v>
      </c>
      <c r="D70" s="3" t="s">
        <v>33</v>
      </c>
      <c r="E70" s="3" t="s">
        <v>34</v>
      </c>
      <c r="F70" s="3" t="s">
        <v>985</v>
      </c>
    </row>
    <row r="71" spans="1:6" ht="108" x14ac:dyDescent="0.15">
      <c r="A71" s="3" t="s">
        <v>1150</v>
      </c>
      <c r="B71" s="3" t="s">
        <v>1151</v>
      </c>
      <c r="C71" s="4" t="s">
        <v>1152</v>
      </c>
      <c r="D71" s="3" t="s">
        <v>33</v>
      </c>
      <c r="E71" s="3" t="s">
        <v>34</v>
      </c>
      <c r="F71" s="3" t="s">
        <v>985</v>
      </c>
    </row>
    <row r="72" spans="1:6" ht="81" x14ac:dyDescent="0.15">
      <c r="A72" s="3" t="s">
        <v>1153</v>
      </c>
      <c r="B72" s="3" t="s">
        <v>1154</v>
      </c>
      <c r="C72" s="4" t="s">
        <v>1155</v>
      </c>
      <c r="D72" s="3" t="s">
        <v>33</v>
      </c>
      <c r="E72" s="3" t="s">
        <v>34</v>
      </c>
      <c r="F72" s="3" t="s">
        <v>985</v>
      </c>
    </row>
    <row r="73" spans="1:6" ht="121.5" x14ac:dyDescent="0.15">
      <c r="A73" s="3" t="s">
        <v>1156</v>
      </c>
      <c r="B73" s="3" t="s">
        <v>1157</v>
      </c>
      <c r="C73" s="4" t="s">
        <v>1158</v>
      </c>
      <c r="D73" s="3" t="s">
        <v>33</v>
      </c>
      <c r="E73" s="3" t="s">
        <v>34</v>
      </c>
      <c r="F73" s="3" t="s">
        <v>985</v>
      </c>
    </row>
    <row r="74" spans="1:6" ht="94.5" x14ac:dyDescent="0.15">
      <c r="A74" s="3" t="s">
        <v>1159</v>
      </c>
      <c r="B74" s="3" t="s">
        <v>1160</v>
      </c>
      <c r="C74" s="4" t="s">
        <v>1161</v>
      </c>
      <c r="D74" s="3" t="s">
        <v>33</v>
      </c>
      <c r="E74" s="3" t="s">
        <v>34</v>
      </c>
      <c r="F74" s="3" t="s">
        <v>985</v>
      </c>
    </row>
    <row r="75" spans="1:6" ht="121.5" x14ac:dyDescent="0.15">
      <c r="A75" s="3" t="s">
        <v>1162</v>
      </c>
      <c r="B75" s="3" t="s">
        <v>1163</v>
      </c>
      <c r="C75" s="4" t="s">
        <v>1164</v>
      </c>
      <c r="D75" s="3" t="s">
        <v>33</v>
      </c>
      <c r="E75" s="3" t="s">
        <v>34</v>
      </c>
      <c r="F75" s="3" t="s">
        <v>985</v>
      </c>
    </row>
    <row r="76" spans="1:6" ht="81" x14ac:dyDescent="0.15">
      <c r="A76" s="3" t="s">
        <v>1165</v>
      </c>
      <c r="B76" s="3" t="s">
        <v>1166</v>
      </c>
      <c r="C76" s="4" t="s">
        <v>1167</v>
      </c>
      <c r="D76" s="3" t="s">
        <v>33</v>
      </c>
      <c r="E76" s="3" t="s">
        <v>34</v>
      </c>
      <c r="F76" s="3" t="s">
        <v>985</v>
      </c>
    </row>
    <row r="77" spans="1:6" ht="81" x14ac:dyDescent="0.15">
      <c r="A77" s="3" t="s">
        <v>1168</v>
      </c>
      <c r="B77" s="3" t="s">
        <v>1169</v>
      </c>
      <c r="C77" s="4" t="s">
        <v>1170</v>
      </c>
      <c r="D77" s="3" t="s">
        <v>33</v>
      </c>
      <c r="E77" s="3" t="s">
        <v>34</v>
      </c>
      <c r="F77" s="3" t="s">
        <v>985</v>
      </c>
    </row>
    <row r="78" spans="1:6" ht="121.5" x14ac:dyDescent="0.15">
      <c r="A78" s="3" t="s">
        <v>1171</v>
      </c>
      <c r="B78" s="3" t="s">
        <v>1172</v>
      </c>
      <c r="C78" s="4" t="s">
        <v>1173</v>
      </c>
      <c r="D78" s="3" t="s">
        <v>33</v>
      </c>
      <c r="E78" s="3" t="s">
        <v>34</v>
      </c>
      <c r="F78" s="3" t="s">
        <v>985</v>
      </c>
    </row>
    <row r="79" spans="1:6" ht="67.5" x14ac:dyDescent="0.15">
      <c r="A79" s="3" t="s">
        <v>1174</v>
      </c>
      <c r="B79" s="3" t="s">
        <v>1175</v>
      </c>
      <c r="C79" s="4" t="s">
        <v>1176</v>
      </c>
      <c r="D79" s="3" t="s">
        <v>33</v>
      </c>
      <c r="E79" s="3" t="s">
        <v>34</v>
      </c>
      <c r="F79" s="3" t="s">
        <v>985</v>
      </c>
    </row>
    <row r="80" spans="1:6" ht="108" x14ac:dyDescent="0.15">
      <c r="A80" s="3" t="s">
        <v>1177</v>
      </c>
      <c r="B80" s="3" t="s">
        <v>1178</v>
      </c>
      <c r="C80" s="4" t="s">
        <v>1179</v>
      </c>
      <c r="D80" s="3" t="s">
        <v>33</v>
      </c>
      <c r="E80" s="3" t="s">
        <v>34</v>
      </c>
      <c r="F80" s="3" t="s">
        <v>985</v>
      </c>
    </row>
    <row r="81" spans="1:6" ht="81" x14ac:dyDescent="0.15">
      <c r="A81" s="3" t="s">
        <v>1180</v>
      </c>
      <c r="B81" s="3" t="s">
        <v>1181</v>
      </c>
      <c r="C81" s="4" t="s">
        <v>1182</v>
      </c>
      <c r="D81" s="3" t="s">
        <v>33</v>
      </c>
      <c r="E81" s="3" t="s">
        <v>34</v>
      </c>
      <c r="F81" s="3" t="s">
        <v>985</v>
      </c>
    </row>
    <row r="82" spans="1:6" ht="81" x14ac:dyDescent="0.15">
      <c r="A82" s="3" t="s">
        <v>1183</v>
      </c>
      <c r="B82" s="3" t="s">
        <v>1184</v>
      </c>
      <c r="C82" s="4" t="s">
        <v>1185</v>
      </c>
      <c r="D82" s="3" t="s">
        <v>33</v>
      </c>
      <c r="E82" s="3" t="s">
        <v>34</v>
      </c>
      <c r="F82" s="3" t="s">
        <v>985</v>
      </c>
    </row>
    <row r="83" spans="1:6" ht="81" x14ac:dyDescent="0.15">
      <c r="A83" s="3" t="s">
        <v>1186</v>
      </c>
      <c r="B83" s="3" t="s">
        <v>1187</v>
      </c>
      <c r="C83" s="4" t="s">
        <v>1188</v>
      </c>
      <c r="D83" s="3" t="s">
        <v>33</v>
      </c>
      <c r="E83" s="3" t="s">
        <v>34</v>
      </c>
      <c r="F83" s="3" t="s">
        <v>985</v>
      </c>
    </row>
    <row r="84" spans="1:6" ht="135" x14ac:dyDescent="0.15">
      <c r="A84" s="3" t="s">
        <v>1189</v>
      </c>
      <c r="B84" s="3" t="s">
        <v>1190</v>
      </c>
      <c r="C84" s="4" t="s">
        <v>1191</v>
      </c>
      <c r="D84" s="3" t="s">
        <v>33</v>
      </c>
      <c r="E84" s="3" t="s">
        <v>34</v>
      </c>
      <c r="F84" s="3" t="s">
        <v>985</v>
      </c>
    </row>
    <row r="85" spans="1:6" ht="81" x14ac:dyDescent="0.15">
      <c r="A85" s="3" t="s">
        <v>1192</v>
      </c>
      <c r="B85" s="3" t="s">
        <v>1193</v>
      </c>
      <c r="C85" s="4" t="s">
        <v>1194</v>
      </c>
      <c r="D85" s="3" t="s">
        <v>33</v>
      </c>
      <c r="E85" s="3" t="s">
        <v>34</v>
      </c>
      <c r="F85" s="3" t="s">
        <v>985</v>
      </c>
    </row>
    <row r="86" spans="1:6" ht="81" x14ac:dyDescent="0.15">
      <c r="A86" s="3" t="s">
        <v>1195</v>
      </c>
      <c r="B86" s="3" t="s">
        <v>1196</v>
      </c>
      <c r="C86" s="4" t="s">
        <v>1197</v>
      </c>
      <c r="D86" s="3" t="s">
        <v>33</v>
      </c>
      <c r="E86" s="3" t="s">
        <v>34</v>
      </c>
      <c r="F86" s="3" t="s">
        <v>985</v>
      </c>
    </row>
    <row r="87" spans="1:6" ht="121.5" x14ac:dyDescent="0.15">
      <c r="A87" s="3" t="s">
        <v>1198</v>
      </c>
      <c r="B87" s="3" t="s">
        <v>1199</v>
      </c>
      <c r="C87" s="4" t="s">
        <v>1200</v>
      </c>
      <c r="D87" s="3" t="s">
        <v>33</v>
      </c>
      <c r="E87" s="3" t="s">
        <v>34</v>
      </c>
      <c r="F87" s="3" t="s">
        <v>985</v>
      </c>
    </row>
    <row r="88" spans="1:6" ht="81" x14ac:dyDescent="0.15">
      <c r="A88" s="3" t="s">
        <v>1201</v>
      </c>
      <c r="B88" s="3" t="s">
        <v>1202</v>
      </c>
      <c r="C88" s="4" t="s">
        <v>1203</v>
      </c>
      <c r="D88" s="3" t="s">
        <v>33</v>
      </c>
      <c r="E88" s="3" t="s">
        <v>34</v>
      </c>
      <c r="F88" s="3" t="s">
        <v>985</v>
      </c>
    </row>
    <row r="89" spans="1:6" ht="81" x14ac:dyDescent="0.15">
      <c r="A89" s="3" t="s">
        <v>1204</v>
      </c>
      <c r="B89" s="3" t="s">
        <v>1205</v>
      </c>
      <c r="C89" s="4" t="s">
        <v>1206</v>
      </c>
      <c r="D89" s="3" t="s">
        <v>33</v>
      </c>
      <c r="E89" s="3" t="s">
        <v>34</v>
      </c>
      <c r="F89" s="3" t="s">
        <v>985</v>
      </c>
    </row>
    <row r="90" spans="1:6" ht="108" x14ac:dyDescent="0.15">
      <c r="A90" s="3" t="s">
        <v>1207</v>
      </c>
      <c r="B90" s="3" t="s">
        <v>265</v>
      </c>
      <c r="C90" s="4" t="s">
        <v>1208</v>
      </c>
      <c r="D90" s="3" t="s">
        <v>33</v>
      </c>
      <c r="E90" s="3" t="s">
        <v>34</v>
      </c>
      <c r="F90" s="3" t="s">
        <v>985</v>
      </c>
    </row>
    <row r="91" spans="1:6" ht="94.5" x14ac:dyDescent="0.15">
      <c r="A91" s="3" t="s">
        <v>1209</v>
      </c>
      <c r="B91" s="3" t="s">
        <v>1210</v>
      </c>
      <c r="C91" s="4" t="s">
        <v>1211</v>
      </c>
      <c r="D91" s="3" t="s">
        <v>33</v>
      </c>
      <c r="E91" s="3" t="s">
        <v>34</v>
      </c>
      <c r="F91" s="3" t="s">
        <v>985</v>
      </c>
    </row>
    <row r="92" spans="1:6" ht="67.5" x14ac:dyDescent="0.15">
      <c r="A92" s="3" t="s">
        <v>1212</v>
      </c>
      <c r="B92" s="3" t="s">
        <v>1213</v>
      </c>
      <c r="C92" s="4" t="s">
        <v>1214</v>
      </c>
      <c r="D92" s="3" t="s">
        <v>33</v>
      </c>
      <c r="E92" s="3" t="s">
        <v>34</v>
      </c>
      <c r="F92" s="3" t="s">
        <v>985</v>
      </c>
    </row>
    <row r="93" spans="1:6" ht="81" x14ac:dyDescent="0.15">
      <c r="A93" s="3" t="s">
        <v>1215</v>
      </c>
      <c r="B93" s="3" t="s">
        <v>1216</v>
      </c>
      <c r="C93" s="4" t="s">
        <v>1217</v>
      </c>
      <c r="D93" s="3" t="s">
        <v>33</v>
      </c>
      <c r="E93" s="3" t="s">
        <v>34</v>
      </c>
      <c r="F93" s="3" t="s">
        <v>985</v>
      </c>
    </row>
    <row r="94" spans="1:6" ht="81" x14ac:dyDescent="0.15">
      <c r="A94" s="3" t="s">
        <v>1218</v>
      </c>
      <c r="B94" s="3" t="s">
        <v>1219</v>
      </c>
      <c r="C94" s="4" t="s">
        <v>1220</v>
      </c>
      <c r="D94" s="3" t="s">
        <v>33</v>
      </c>
      <c r="E94" s="3" t="s">
        <v>34</v>
      </c>
      <c r="F94" s="3" t="s">
        <v>985</v>
      </c>
    </row>
    <row r="95" spans="1:6" ht="81" x14ac:dyDescent="0.15">
      <c r="A95" s="3" t="s">
        <v>1221</v>
      </c>
      <c r="B95" s="3" t="s">
        <v>1222</v>
      </c>
      <c r="C95" s="4" t="s">
        <v>1223</v>
      </c>
      <c r="D95" s="3" t="s">
        <v>33</v>
      </c>
      <c r="E95" s="3" t="s">
        <v>34</v>
      </c>
      <c r="F95" s="3" t="s">
        <v>985</v>
      </c>
    </row>
    <row r="96" spans="1:6" ht="108" x14ac:dyDescent="0.15">
      <c r="A96" s="3" t="s">
        <v>1224</v>
      </c>
      <c r="B96" s="3" t="s">
        <v>1225</v>
      </c>
      <c r="C96" s="4" t="s">
        <v>1226</v>
      </c>
      <c r="D96" s="3" t="s">
        <v>33</v>
      </c>
      <c r="E96" s="3" t="s">
        <v>34</v>
      </c>
      <c r="F96" s="3" t="s">
        <v>985</v>
      </c>
    </row>
    <row r="97" spans="1:6" ht="94.5" x14ac:dyDescent="0.15">
      <c r="A97" s="3" t="s">
        <v>1227</v>
      </c>
      <c r="B97" s="3" t="s">
        <v>1228</v>
      </c>
      <c r="C97" s="4" t="s">
        <v>1229</v>
      </c>
      <c r="D97" s="3" t="s">
        <v>33</v>
      </c>
      <c r="E97" s="3" t="s">
        <v>34</v>
      </c>
      <c r="F97" s="3" t="s">
        <v>985</v>
      </c>
    </row>
    <row r="98" spans="1:6" ht="94.5" x14ac:dyDescent="0.15">
      <c r="A98" s="3" t="s">
        <v>1230</v>
      </c>
      <c r="B98" s="3" t="s">
        <v>310</v>
      </c>
      <c r="C98" s="4" t="s">
        <v>1231</v>
      </c>
      <c r="D98" s="3" t="s">
        <v>33</v>
      </c>
      <c r="E98" s="3" t="s">
        <v>34</v>
      </c>
      <c r="F98" s="3" t="s">
        <v>985</v>
      </c>
    </row>
    <row r="99" spans="1:6" ht="81" x14ac:dyDescent="0.15">
      <c r="A99" s="3" t="s">
        <v>1232</v>
      </c>
      <c r="B99" s="3" t="s">
        <v>112</v>
      </c>
      <c r="C99" s="4" t="s">
        <v>1233</v>
      </c>
      <c r="D99" s="3" t="s">
        <v>33</v>
      </c>
      <c r="E99" s="3" t="s">
        <v>34</v>
      </c>
      <c r="F99" s="3" t="s">
        <v>985</v>
      </c>
    </row>
    <row r="100" spans="1:6" ht="94.5" x14ac:dyDescent="0.15">
      <c r="A100" s="3" t="s">
        <v>1234</v>
      </c>
      <c r="B100" s="3" t="s">
        <v>1235</v>
      </c>
      <c r="C100" s="4" t="s">
        <v>1236</v>
      </c>
      <c r="D100" s="3" t="s">
        <v>33</v>
      </c>
      <c r="E100" s="3" t="s">
        <v>34</v>
      </c>
      <c r="F100" s="3" t="s">
        <v>985</v>
      </c>
    </row>
    <row r="101" spans="1:6" ht="67.5" x14ac:dyDescent="0.15">
      <c r="A101" s="3" t="s">
        <v>1237</v>
      </c>
      <c r="B101" s="3" t="s">
        <v>37</v>
      </c>
      <c r="C101" s="4" t="s">
        <v>77</v>
      </c>
      <c r="D101" s="3" t="s">
        <v>33</v>
      </c>
      <c r="E101" s="3" t="s">
        <v>38</v>
      </c>
      <c r="F101" s="3" t="s">
        <v>961</v>
      </c>
    </row>
    <row r="102" spans="1:6" ht="67.5" x14ac:dyDescent="0.15">
      <c r="A102" s="3" t="s">
        <v>1238</v>
      </c>
      <c r="B102" s="3" t="s">
        <v>1276</v>
      </c>
      <c r="C102" s="4" t="s">
        <v>1277</v>
      </c>
      <c r="D102" s="3" t="s">
        <v>33</v>
      </c>
      <c r="E102" s="3" t="s">
        <v>34</v>
      </c>
      <c r="F102" s="3" t="s">
        <v>985</v>
      </c>
    </row>
    <row r="103" spans="1:6" ht="94.5" x14ac:dyDescent="0.15">
      <c r="A103" s="3" t="s">
        <v>1296</v>
      </c>
      <c r="B103" s="3" t="s">
        <v>1297</v>
      </c>
      <c r="C103" s="4" t="s">
        <v>1298</v>
      </c>
      <c r="D103" s="3" t="s">
        <v>33</v>
      </c>
      <c r="E103" s="3" t="s">
        <v>34</v>
      </c>
      <c r="F103" s="3" t="s">
        <v>985</v>
      </c>
    </row>
    <row r="104" spans="1:6" ht="67.5" x14ac:dyDescent="0.15">
      <c r="A104" s="3" t="s">
        <v>1299</v>
      </c>
      <c r="B104" s="3" t="s">
        <v>1300</v>
      </c>
      <c r="C104" s="4" t="s">
        <v>1301</v>
      </c>
      <c r="D104" s="3" t="s">
        <v>33</v>
      </c>
      <c r="E104" s="3" t="s">
        <v>34</v>
      </c>
      <c r="F104" s="3" t="s">
        <v>985</v>
      </c>
    </row>
    <row r="105" spans="1:6" ht="67.5" x14ac:dyDescent="0.15">
      <c r="A105" s="3" t="s">
        <v>1302</v>
      </c>
      <c r="B105" s="3" t="s">
        <v>1303</v>
      </c>
      <c r="C105" s="4" t="s">
        <v>1304</v>
      </c>
      <c r="D105" s="3" t="s">
        <v>33</v>
      </c>
      <c r="E105" s="3" t="s">
        <v>34</v>
      </c>
      <c r="F105" s="3" t="s">
        <v>985</v>
      </c>
    </row>
    <row r="106" spans="1:6" ht="81" x14ac:dyDescent="0.15">
      <c r="A106" s="3" t="s">
        <v>1305</v>
      </c>
      <c r="B106" s="3" t="s">
        <v>1306</v>
      </c>
      <c r="C106" s="4" t="s">
        <v>1307</v>
      </c>
      <c r="D106" s="3" t="s">
        <v>33</v>
      </c>
      <c r="E106" s="3" t="s">
        <v>34</v>
      </c>
      <c r="F106" s="3" t="s">
        <v>985</v>
      </c>
    </row>
    <row r="107" spans="1:6" ht="67.5" x14ac:dyDescent="0.15">
      <c r="A107" s="3" t="s">
        <v>1308</v>
      </c>
      <c r="B107" s="3" t="s">
        <v>1309</v>
      </c>
      <c r="C107" s="4" t="s">
        <v>1310</v>
      </c>
      <c r="D107" s="3" t="s">
        <v>33</v>
      </c>
      <c r="E107" s="3" t="s">
        <v>34</v>
      </c>
      <c r="F107" s="3" t="s">
        <v>985</v>
      </c>
    </row>
    <row r="108" spans="1:6" ht="67.5" x14ac:dyDescent="0.15">
      <c r="A108" s="3" t="s">
        <v>1311</v>
      </c>
      <c r="B108" s="3" t="s">
        <v>1312</v>
      </c>
      <c r="C108" s="4" t="s">
        <v>1313</v>
      </c>
      <c r="D108" s="3" t="s">
        <v>33</v>
      </c>
      <c r="E108" s="3" t="s">
        <v>34</v>
      </c>
      <c r="F108" s="3" t="s">
        <v>985</v>
      </c>
    </row>
    <row r="109" spans="1:6" ht="81" x14ac:dyDescent="0.15">
      <c r="A109" s="3" t="s">
        <v>1314</v>
      </c>
      <c r="B109" s="3" t="s">
        <v>1315</v>
      </c>
      <c r="C109" s="4" t="s">
        <v>1316</v>
      </c>
      <c r="D109" s="3" t="s">
        <v>33</v>
      </c>
      <c r="E109" s="3" t="s">
        <v>34</v>
      </c>
      <c r="F109" s="3" t="s">
        <v>985</v>
      </c>
    </row>
    <row r="110" spans="1:6" ht="81" x14ac:dyDescent="0.15">
      <c r="A110" s="3" t="s">
        <v>1317</v>
      </c>
      <c r="B110" s="3" t="s">
        <v>1318</v>
      </c>
      <c r="C110" s="4" t="s">
        <v>1319</v>
      </c>
      <c r="D110" s="3" t="s">
        <v>33</v>
      </c>
      <c r="E110" s="3" t="s">
        <v>34</v>
      </c>
      <c r="F110" s="3" t="s">
        <v>985</v>
      </c>
    </row>
    <row r="111" spans="1:6" ht="108" x14ac:dyDescent="0.15">
      <c r="A111" s="3" t="s">
        <v>1320</v>
      </c>
      <c r="B111" s="3" t="s">
        <v>1321</v>
      </c>
      <c r="C111" s="4" t="s">
        <v>1322</v>
      </c>
      <c r="D111" s="3" t="s">
        <v>33</v>
      </c>
      <c r="E111" s="3" t="s">
        <v>34</v>
      </c>
      <c r="F111" s="3" t="s">
        <v>985</v>
      </c>
    </row>
    <row r="112" spans="1:6" ht="108" x14ac:dyDescent="0.15">
      <c r="A112" s="3" t="s">
        <v>1323</v>
      </c>
      <c r="B112" s="3" t="s">
        <v>1324</v>
      </c>
      <c r="C112" s="4" t="s">
        <v>1325</v>
      </c>
      <c r="D112" s="3" t="s">
        <v>33</v>
      </c>
      <c r="E112" s="3" t="s">
        <v>34</v>
      </c>
      <c r="F112" s="3" t="s">
        <v>985</v>
      </c>
    </row>
    <row r="113" spans="1:6" ht="67.5" x14ac:dyDescent="0.15">
      <c r="A113" s="3" t="s">
        <v>1326</v>
      </c>
      <c r="B113" s="3" t="s">
        <v>1327</v>
      </c>
      <c r="C113" s="4" t="s">
        <v>1328</v>
      </c>
      <c r="D113" s="3" t="s">
        <v>33</v>
      </c>
      <c r="E113" s="3" t="s">
        <v>34</v>
      </c>
      <c r="F113" s="3" t="s">
        <v>985</v>
      </c>
    </row>
    <row r="114" spans="1:6" ht="81" x14ac:dyDescent="0.15">
      <c r="A114" s="3" t="s">
        <v>1329</v>
      </c>
      <c r="B114" s="3" t="s">
        <v>1330</v>
      </c>
      <c r="C114" s="4" t="s">
        <v>1331</v>
      </c>
      <c r="D114" s="3" t="s">
        <v>33</v>
      </c>
      <c r="E114" s="3" t="s">
        <v>34</v>
      </c>
      <c r="F114" s="3" t="s">
        <v>985</v>
      </c>
    </row>
    <row r="115" spans="1:6" ht="94.5" x14ac:dyDescent="0.15">
      <c r="A115" s="3" t="s">
        <v>1332</v>
      </c>
      <c r="B115" s="3" t="s">
        <v>1333</v>
      </c>
      <c r="C115" s="4" t="s">
        <v>1334</v>
      </c>
      <c r="D115" s="3" t="s">
        <v>33</v>
      </c>
      <c r="E115" s="3" t="s">
        <v>34</v>
      </c>
      <c r="F115" s="3" t="s">
        <v>985</v>
      </c>
    </row>
    <row r="116" spans="1:6" x14ac:dyDescent="0.15">
      <c r="A116" s="2"/>
      <c r="B116" s="2"/>
      <c r="C116" s="2"/>
      <c r="D116" s="2"/>
      <c r="E116" s="2"/>
      <c r="F116" s="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7"/>
  <sheetViews>
    <sheetView topLeftCell="A250" workbookViewId="0">
      <selection activeCell="C5" sqref="C5"/>
    </sheetView>
  </sheetViews>
  <sheetFormatPr defaultRowHeight="13.5" x14ac:dyDescent="0.15"/>
  <cols>
    <col min="1" max="1" width="17.375" customWidth="1"/>
    <col min="2" max="2" width="44.875" customWidth="1"/>
    <col min="3" max="3" width="10.5" customWidth="1"/>
    <col min="4" max="4" width="11.125" customWidth="1"/>
    <col min="5" max="5" width="8.875" customWidth="1"/>
    <col min="6" max="6" width="16.625" customWidth="1"/>
  </cols>
  <sheetData>
    <row r="1" spans="1:6" ht="22.5" x14ac:dyDescent="0.25">
      <c r="A1" s="1" t="s">
        <v>43</v>
      </c>
      <c r="B1" s="1"/>
      <c r="C1" s="1"/>
      <c r="D1" s="1"/>
      <c r="E1" s="1"/>
      <c r="F1" s="1"/>
    </row>
    <row r="2" spans="1:6" x14ac:dyDescent="0.15">
      <c r="A2" s="2" t="s">
        <v>44</v>
      </c>
      <c r="B2" s="2" t="s">
        <v>11</v>
      </c>
      <c r="C2" s="2" t="s">
        <v>30</v>
      </c>
      <c r="D2" s="2" t="s">
        <v>31</v>
      </c>
      <c r="E2" s="2" t="s">
        <v>45</v>
      </c>
      <c r="F2" s="2" t="s">
        <v>2</v>
      </c>
    </row>
    <row r="3" spans="1:6" ht="94.5" x14ac:dyDescent="0.15">
      <c r="A3" s="3" t="s">
        <v>70</v>
      </c>
      <c r="B3" s="3" t="s">
        <v>40</v>
      </c>
      <c r="C3" s="4" t="s">
        <v>71</v>
      </c>
      <c r="D3" s="3" t="s">
        <v>33</v>
      </c>
      <c r="E3" s="3" t="s">
        <v>38</v>
      </c>
      <c r="F3" s="3" t="s">
        <v>72</v>
      </c>
    </row>
    <row r="4" spans="1:6" ht="54" x14ac:dyDescent="0.15">
      <c r="A4" s="3" t="s">
        <v>73</v>
      </c>
      <c r="B4" s="3" t="s">
        <v>74</v>
      </c>
      <c r="C4" s="4" t="s">
        <v>39</v>
      </c>
      <c r="D4" s="3" t="s">
        <v>33</v>
      </c>
      <c r="E4" s="3" t="s">
        <v>38</v>
      </c>
      <c r="F4" s="3" t="s">
        <v>72</v>
      </c>
    </row>
    <row r="5" spans="1:6" ht="108" x14ac:dyDescent="0.15">
      <c r="A5" s="3" t="s">
        <v>75</v>
      </c>
      <c r="B5" s="3" t="s">
        <v>76</v>
      </c>
      <c r="C5" s="4" t="s">
        <v>1265</v>
      </c>
      <c r="D5" s="3" t="s">
        <v>33</v>
      </c>
      <c r="E5" s="3" t="s">
        <v>38</v>
      </c>
      <c r="F5" s="3" t="s">
        <v>72</v>
      </c>
    </row>
    <row r="6" spans="1:6" ht="81" x14ac:dyDescent="0.15">
      <c r="A6" s="3" t="s">
        <v>78</v>
      </c>
      <c r="B6" s="3" t="s">
        <v>42</v>
      </c>
      <c r="C6" s="4" t="s">
        <v>79</v>
      </c>
      <c r="D6" s="3" t="s">
        <v>33</v>
      </c>
      <c r="E6" s="3" t="s">
        <v>38</v>
      </c>
      <c r="F6" s="3" t="s">
        <v>80</v>
      </c>
    </row>
    <row r="7" spans="1:6" ht="94.5" x14ac:dyDescent="0.15">
      <c r="A7" s="3" t="s">
        <v>81</v>
      </c>
      <c r="B7" s="3" t="s">
        <v>37</v>
      </c>
      <c r="C7" s="4" t="s">
        <v>71</v>
      </c>
      <c r="D7" s="3" t="s">
        <v>33</v>
      </c>
      <c r="E7" s="3" t="s">
        <v>38</v>
      </c>
      <c r="F7" s="3" t="s">
        <v>72</v>
      </c>
    </row>
    <row r="8" spans="1:6" ht="148.5" x14ac:dyDescent="0.15">
      <c r="A8" s="3" t="s">
        <v>82</v>
      </c>
      <c r="B8" s="3" t="s">
        <v>83</v>
      </c>
      <c r="C8" s="4" t="s">
        <v>84</v>
      </c>
      <c r="D8" s="3" t="s">
        <v>33</v>
      </c>
      <c r="E8" s="3" t="s">
        <v>38</v>
      </c>
      <c r="F8" s="3" t="s">
        <v>72</v>
      </c>
    </row>
    <row r="9" spans="1:6" ht="67.5" x14ac:dyDescent="0.15">
      <c r="A9" s="3" t="s">
        <v>85</v>
      </c>
      <c r="B9" s="3" t="s">
        <v>37</v>
      </c>
      <c r="C9" s="4" t="s">
        <v>77</v>
      </c>
      <c r="D9" s="3" t="s">
        <v>33</v>
      </c>
      <c r="E9" s="3" t="s">
        <v>38</v>
      </c>
      <c r="F9" s="3" t="s">
        <v>86</v>
      </c>
    </row>
    <row r="10" spans="1:6" ht="121.5" x14ac:dyDescent="0.15">
      <c r="A10" s="3" t="s">
        <v>87</v>
      </c>
      <c r="B10" s="3" t="s">
        <v>35</v>
      </c>
      <c r="C10" s="4" t="s">
        <v>88</v>
      </c>
      <c r="D10" s="3" t="s">
        <v>33</v>
      </c>
      <c r="E10" s="3" t="s">
        <v>36</v>
      </c>
      <c r="F10" s="3" t="s">
        <v>72</v>
      </c>
    </row>
    <row r="11" spans="1:6" ht="81" x14ac:dyDescent="0.15">
      <c r="A11" s="3" t="s">
        <v>89</v>
      </c>
      <c r="B11" s="3" t="s">
        <v>90</v>
      </c>
      <c r="C11" s="4" t="s">
        <v>91</v>
      </c>
      <c r="D11" s="3" t="s">
        <v>33</v>
      </c>
      <c r="E11" s="3" t="s">
        <v>36</v>
      </c>
      <c r="F11" s="3" t="s">
        <v>72</v>
      </c>
    </row>
    <row r="12" spans="1:6" ht="108" x14ac:dyDescent="0.15">
      <c r="A12" s="3" t="s">
        <v>92</v>
      </c>
      <c r="B12" s="3" t="s">
        <v>93</v>
      </c>
      <c r="C12" s="4" t="s">
        <v>94</v>
      </c>
      <c r="D12" s="3" t="s">
        <v>33</v>
      </c>
      <c r="E12" s="3" t="s">
        <v>36</v>
      </c>
      <c r="F12" s="3" t="s">
        <v>72</v>
      </c>
    </row>
    <row r="13" spans="1:6" ht="108" x14ac:dyDescent="0.15">
      <c r="A13" s="3" t="s">
        <v>95</v>
      </c>
      <c r="B13" s="3" t="s">
        <v>96</v>
      </c>
      <c r="C13" s="4" t="s">
        <v>97</v>
      </c>
      <c r="D13" s="3" t="s">
        <v>33</v>
      </c>
      <c r="E13" s="3" t="s">
        <v>98</v>
      </c>
      <c r="F13" s="3" t="s">
        <v>80</v>
      </c>
    </row>
    <row r="14" spans="1:6" ht="94.5" x14ac:dyDescent="0.15">
      <c r="A14" s="3" t="s">
        <v>99</v>
      </c>
      <c r="B14" s="3" t="s">
        <v>100</v>
      </c>
      <c r="C14" s="4" t="s">
        <v>101</v>
      </c>
      <c r="D14" s="3" t="s">
        <v>33</v>
      </c>
      <c r="E14" s="3" t="s">
        <v>98</v>
      </c>
      <c r="F14" s="3" t="s">
        <v>80</v>
      </c>
    </row>
    <row r="15" spans="1:6" ht="108" x14ac:dyDescent="0.15">
      <c r="A15" s="3" t="s">
        <v>102</v>
      </c>
      <c r="B15" s="3" t="s">
        <v>103</v>
      </c>
      <c r="C15" s="4" t="s">
        <v>104</v>
      </c>
      <c r="D15" s="3" t="s">
        <v>33</v>
      </c>
      <c r="E15" s="3" t="s">
        <v>98</v>
      </c>
      <c r="F15" s="3" t="s">
        <v>72</v>
      </c>
    </row>
    <row r="16" spans="1:6" ht="81" x14ac:dyDescent="0.15">
      <c r="A16" s="3" t="s">
        <v>105</v>
      </c>
      <c r="B16" s="3" t="s">
        <v>106</v>
      </c>
      <c r="C16" s="4" t="s">
        <v>107</v>
      </c>
      <c r="D16" s="3" t="s">
        <v>33</v>
      </c>
      <c r="E16" s="3" t="s">
        <v>98</v>
      </c>
      <c r="F16" s="3" t="s">
        <v>80</v>
      </c>
    </row>
    <row r="17" spans="1:6" ht="67.5" x14ac:dyDescent="0.15">
      <c r="A17" s="3" t="s">
        <v>108</v>
      </c>
      <c r="B17" s="3" t="s">
        <v>109</v>
      </c>
      <c r="C17" s="4" t="s">
        <v>110</v>
      </c>
      <c r="D17" s="3" t="s">
        <v>33</v>
      </c>
      <c r="E17" s="3" t="s">
        <v>98</v>
      </c>
      <c r="F17" s="3" t="s">
        <v>80</v>
      </c>
    </row>
    <row r="18" spans="1:6" ht="81" x14ac:dyDescent="0.15">
      <c r="A18" s="3" t="s">
        <v>111</v>
      </c>
      <c r="B18" s="3" t="s">
        <v>112</v>
      </c>
      <c r="C18" s="4" t="s">
        <v>113</v>
      </c>
      <c r="D18" s="3" t="s">
        <v>33</v>
      </c>
      <c r="E18" s="3" t="s">
        <v>98</v>
      </c>
      <c r="F18" s="3" t="s">
        <v>80</v>
      </c>
    </row>
    <row r="19" spans="1:6" ht="94.5" x14ac:dyDescent="0.15">
      <c r="A19" s="3" t="s">
        <v>114</v>
      </c>
      <c r="B19" s="3" t="s">
        <v>115</v>
      </c>
      <c r="C19" s="4" t="s">
        <v>116</v>
      </c>
      <c r="D19" s="3" t="s">
        <v>33</v>
      </c>
      <c r="E19" s="3" t="s">
        <v>98</v>
      </c>
      <c r="F19" s="3" t="s">
        <v>80</v>
      </c>
    </row>
    <row r="20" spans="1:6" ht="108" x14ac:dyDescent="0.15">
      <c r="A20" s="3" t="s">
        <v>117</v>
      </c>
      <c r="B20" s="3" t="s">
        <v>118</v>
      </c>
      <c r="C20" s="4" t="s">
        <v>119</v>
      </c>
      <c r="D20" s="3" t="s">
        <v>33</v>
      </c>
      <c r="E20" s="3" t="s">
        <v>98</v>
      </c>
      <c r="F20" s="3" t="s">
        <v>80</v>
      </c>
    </row>
    <row r="21" spans="1:6" ht="94.5" x14ac:dyDescent="0.15">
      <c r="A21" s="3" t="s">
        <v>120</v>
      </c>
      <c r="B21" s="3" t="s">
        <v>121</v>
      </c>
      <c r="C21" s="4" t="s">
        <v>122</v>
      </c>
      <c r="D21" s="3" t="s">
        <v>33</v>
      </c>
      <c r="E21" s="3" t="s">
        <v>98</v>
      </c>
      <c r="F21" s="3" t="s">
        <v>80</v>
      </c>
    </row>
    <row r="22" spans="1:6" ht="81" x14ac:dyDescent="0.15">
      <c r="A22" s="3" t="s">
        <v>123</v>
      </c>
      <c r="B22" s="3" t="s">
        <v>124</v>
      </c>
      <c r="C22" s="4" t="s">
        <v>125</v>
      </c>
      <c r="D22" s="3" t="s">
        <v>33</v>
      </c>
      <c r="E22" s="3" t="s">
        <v>98</v>
      </c>
      <c r="F22" s="3" t="s">
        <v>80</v>
      </c>
    </row>
    <row r="23" spans="1:6" ht="67.5" x14ac:dyDescent="0.15">
      <c r="A23" s="3" t="s">
        <v>126</v>
      </c>
      <c r="B23" s="3" t="s">
        <v>127</v>
      </c>
      <c r="C23" s="4" t="s">
        <v>128</v>
      </c>
      <c r="D23" s="3" t="s">
        <v>33</v>
      </c>
      <c r="E23" s="3" t="s">
        <v>98</v>
      </c>
      <c r="F23" s="3" t="s">
        <v>80</v>
      </c>
    </row>
    <row r="24" spans="1:6" ht="81" x14ac:dyDescent="0.15">
      <c r="A24" s="3" t="s">
        <v>129</v>
      </c>
      <c r="B24" s="3" t="s">
        <v>130</v>
      </c>
      <c r="C24" s="4" t="s">
        <v>131</v>
      </c>
      <c r="D24" s="3" t="s">
        <v>33</v>
      </c>
      <c r="E24" s="3" t="s">
        <v>98</v>
      </c>
      <c r="F24" s="3" t="s">
        <v>80</v>
      </c>
    </row>
    <row r="25" spans="1:6" ht="81" x14ac:dyDescent="0.15">
      <c r="A25" s="3" t="s">
        <v>132</v>
      </c>
      <c r="B25" s="3" t="s">
        <v>133</v>
      </c>
      <c r="C25" s="4" t="s">
        <v>134</v>
      </c>
      <c r="D25" s="3" t="s">
        <v>33</v>
      </c>
      <c r="E25" s="3" t="s">
        <v>98</v>
      </c>
      <c r="F25" s="3" t="s">
        <v>80</v>
      </c>
    </row>
    <row r="26" spans="1:6" ht="94.5" x14ac:dyDescent="0.15">
      <c r="A26" s="3" t="s">
        <v>135</v>
      </c>
      <c r="B26" s="3" t="s">
        <v>136</v>
      </c>
      <c r="C26" s="4" t="s">
        <v>137</v>
      </c>
      <c r="D26" s="3" t="s">
        <v>33</v>
      </c>
      <c r="E26" s="3" t="s">
        <v>98</v>
      </c>
      <c r="F26" s="3" t="s">
        <v>80</v>
      </c>
    </row>
    <row r="27" spans="1:6" ht="54" x14ac:dyDescent="0.15">
      <c r="A27" s="3" t="s">
        <v>138</v>
      </c>
      <c r="B27" s="3" t="s">
        <v>139</v>
      </c>
      <c r="C27" s="4" t="s">
        <v>140</v>
      </c>
      <c r="D27" s="3" t="s">
        <v>33</v>
      </c>
      <c r="E27" s="3" t="s">
        <v>98</v>
      </c>
      <c r="F27" s="3" t="s">
        <v>80</v>
      </c>
    </row>
    <row r="28" spans="1:6" ht="67.5" x14ac:dyDescent="0.15">
      <c r="A28" s="3" t="s">
        <v>141</v>
      </c>
      <c r="B28" s="3" t="s">
        <v>142</v>
      </c>
      <c r="C28" s="4" t="s">
        <v>143</v>
      </c>
      <c r="D28" s="3" t="s">
        <v>33</v>
      </c>
      <c r="E28" s="3" t="s">
        <v>98</v>
      </c>
      <c r="F28" s="3" t="s">
        <v>80</v>
      </c>
    </row>
    <row r="29" spans="1:6" ht="108" x14ac:dyDescent="0.15">
      <c r="A29" s="3" t="s">
        <v>144</v>
      </c>
      <c r="B29" s="3" t="s">
        <v>145</v>
      </c>
      <c r="C29" s="4" t="s">
        <v>146</v>
      </c>
      <c r="D29" s="3" t="s">
        <v>33</v>
      </c>
      <c r="E29" s="3" t="s">
        <v>98</v>
      </c>
      <c r="F29" s="3" t="s">
        <v>80</v>
      </c>
    </row>
    <row r="30" spans="1:6" ht="94.5" x14ac:dyDescent="0.15">
      <c r="A30" s="3" t="s">
        <v>147</v>
      </c>
      <c r="B30" s="3" t="s">
        <v>148</v>
      </c>
      <c r="C30" s="4" t="s">
        <v>149</v>
      </c>
      <c r="D30" s="3" t="s">
        <v>33</v>
      </c>
      <c r="E30" s="3" t="s">
        <v>98</v>
      </c>
      <c r="F30" s="3" t="s">
        <v>80</v>
      </c>
    </row>
    <row r="31" spans="1:6" ht="67.5" x14ac:dyDescent="0.15">
      <c r="A31" s="3" t="s">
        <v>150</v>
      </c>
      <c r="B31" s="3" t="s">
        <v>151</v>
      </c>
      <c r="C31" s="4" t="s">
        <v>152</v>
      </c>
      <c r="D31" s="3" t="s">
        <v>33</v>
      </c>
      <c r="E31" s="3" t="s">
        <v>98</v>
      </c>
      <c r="F31" s="3" t="s">
        <v>80</v>
      </c>
    </row>
    <row r="32" spans="1:6" ht="81" x14ac:dyDescent="0.15">
      <c r="A32" s="3" t="s">
        <v>153</v>
      </c>
      <c r="B32" s="3" t="s">
        <v>154</v>
      </c>
      <c r="C32" s="4" t="s">
        <v>155</v>
      </c>
      <c r="D32" s="3" t="s">
        <v>33</v>
      </c>
      <c r="E32" s="3" t="s">
        <v>98</v>
      </c>
      <c r="F32" s="3" t="s">
        <v>80</v>
      </c>
    </row>
    <row r="33" spans="1:6" ht="94.5" x14ac:dyDescent="0.15">
      <c r="A33" s="3" t="s">
        <v>156</v>
      </c>
      <c r="B33" s="3" t="s">
        <v>157</v>
      </c>
      <c r="C33" s="4" t="s">
        <v>158</v>
      </c>
      <c r="D33" s="3" t="s">
        <v>33</v>
      </c>
      <c r="E33" s="3" t="s">
        <v>98</v>
      </c>
      <c r="F33" s="3" t="s">
        <v>80</v>
      </c>
    </row>
    <row r="34" spans="1:6" ht="94.5" x14ac:dyDescent="0.15">
      <c r="A34" s="3" t="s">
        <v>159</v>
      </c>
      <c r="B34" s="3" t="s">
        <v>160</v>
      </c>
      <c r="C34" s="4" t="s">
        <v>161</v>
      </c>
      <c r="D34" s="3" t="s">
        <v>33</v>
      </c>
      <c r="E34" s="3" t="s">
        <v>98</v>
      </c>
      <c r="F34" s="3" t="s">
        <v>80</v>
      </c>
    </row>
    <row r="35" spans="1:6" ht="121.5" x14ac:dyDescent="0.15">
      <c r="A35" s="3" t="s">
        <v>162</v>
      </c>
      <c r="B35" s="3" t="s">
        <v>163</v>
      </c>
      <c r="C35" s="4" t="s">
        <v>164</v>
      </c>
      <c r="D35" s="3" t="s">
        <v>33</v>
      </c>
      <c r="E35" s="3" t="s">
        <v>98</v>
      </c>
      <c r="F35" s="3" t="s">
        <v>80</v>
      </c>
    </row>
    <row r="36" spans="1:6" ht="121.5" x14ac:dyDescent="0.15">
      <c r="A36" s="3" t="s">
        <v>165</v>
      </c>
      <c r="B36" s="3" t="s">
        <v>166</v>
      </c>
      <c r="C36" s="4" t="s">
        <v>167</v>
      </c>
      <c r="D36" s="3" t="s">
        <v>33</v>
      </c>
      <c r="E36" s="3" t="s">
        <v>98</v>
      </c>
      <c r="F36" s="3" t="s">
        <v>80</v>
      </c>
    </row>
    <row r="37" spans="1:6" ht="67.5" x14ac:dyDescent="0.15">
      <c r="A37" s="3" t="s">
        <v>168</v>
      </c>
      <c r="B37" s="3" t="s">
        <v>169</v>
      </c>
      <c r="C37" s="4" t="s">
        <v>170</v>
      </c>
      <c r="D37" s="3" t="s">
        <v>33</v>
      </c>
      <c r="E37" s="3" t="s">
        <v>98</v>
      </c>
      <c r="F37" s="3" t="s">
        <v>80</v>
      </c>
    </row>
    <row r="38" spans="1:6" ht="94.5" x14ac:dyDescent="0.15">
      <c r="A38" s="3" t="s">
        <v>171</v>
      </c>
      <c r="B38" s="3" t="s">
        <v>172</v>
      </c>
      <c r="C38" s="4" t="s">
        <v>173</v>
      </c>
      <c r="D38" s="3" t="s">
        <v>33</v>
      </c>
      <c r="E38" s="3" t="s">
        <v>98</v>
      </c>
      <c r="F38" s="3" t="s">
        <v>80</v>
      </c>
    </row>
    <row r="39" spans="1:6" ht="94.5" x14ac:dyDescent="0.15">
      <c r="A39" s="3" t="s">
        <v>174</v>
      </c>
      <c r="B39" s="3" t="s">
        <v>175</v>
      </c>
      <c r="C39" s="4" t="s">
        <v>176</v>
      </c>
      <c r="D39" s="3" t="s">
        <v>33</v>
      </c>
      <c r="E39" s="3" t="s">
        <v>98</v>
      </c>
      <c r="F39" s="3" t="s">
        <v>80</v>
      </c>
    </row>
    <row r="40" spans="1:6" ht="121.5" x14ac:dyDescent="0.15">
      <c r="A40" s="3" t="s">
        <v>177</v>
      </c>
      <c r="B40" s="3" t="s">
        <v>178</v>
      </c>
      <c r="C40" s="4" t="s">
        <v>179</v>
      </c>
      <c r="D40" s="3" t="s">
        <v>33</v>
      </c>
      <c r="E40" s="3" t="s">
        <v>98</v>
      </c>
      <c r="F40" s="3" t="s">
        <v>80</v>
      </c>
    </row>
    <row r="41" spans="1:6" ht="94.5" x14ac:dyDescent="0.15">
      <c r="A41" s="3" t="s">
        <v>180</v>
      </c>
      <c r="B41" s="3" t="s">
        <v>181</v>
      </c>
      <c r="C41" s="4" t="s">
        <v>182</v>
      </c>
      <c r="D41" s="3" t="s">
        <v>33</v>
      </c>
      <c r="E41" s="3" t="s">
        <v>98</v>
      </c>
      <c r="F41" s="3" t="s">
        <v>72</v>
      </c>
    </row>
    <row r="42" spans="1:6" ht="108" x14ac:dyDescent="0.15">
      <c r="A42" s="3" t="s">
        <v>183</v>
      </c>
      <c r="B42" s="3" t="s">
        <v>184</v>
      </c>
      <c r="C42" s="4" t="s">
        <v>185</v>
      </c>
      <c r="D42" s="3" t="s">
        <v>33</v>
      </c>
      <c r="E42" s="3" t="s">
        <v>98</v>
      </c>
      <c r="F42" s="3" t="s">
        <v>80</v>
      </c>
    </row>
    <row r="43" spans="1:6" ht="108" x14ac:dyDescent="0.15">
      <c r="A43" s="3" t="s">
        <v>186</v>
      </c>
      <c r="B43" s="3" t="s">
        <v>187</v>
      </c>
      <c r="C43" s="4" t="s">
        <v>188</v>
      </c>
      <c r="D43" s="3" t="s">
        <v>33</v>
      </c>
      <c r="E43" s="3" t="s">
        <v>98</v>
      </c>
      <c r="F43" s="3" t="s">
        <v>80</v>
      </c>
    </row>
    <row r="44" spans="1:6" ht="81" x14ac:dyDescent="0.15">
      <c r="A44" s="3" t="s">
        <v>189</v>
      </c>
      <c r="B44" s="3" t="s">
        <v>190</v>
      </c>
      <c r="C44" s="4" t="s">
        <v>191</v>
      </c>
      <c r="D44" s="3" t="s">
        <v>33</v>
      </c>
      <c r="E44" s="3" t="s">
        <v>98</v>
      </c>
      <c r="F44" s="3" t="s">
        <v>80</v>
      </c>
    </row>
    <row r="45" spans="1:6" ht="81" x14ac:dyDescent="0.15">
      <c r="A45" s="3" t="s">
        <v>192</v>
      </c>
      <c r="B45" s="3" t="s">
        <v>193</v>
      </c>
      <c r="C45" s="4" t="s">
        <v>194</v>
      </c>
      <c r="D45" s="3" t="s">
        <v>33</v>
      </c>
      <c r="E45" s="3" t="s">
        <v>98</v>
      </c>
      <c r="F45" s="3" t="s">
        <v>80</v>
      </c>
    </row>
    <row r="46" spans="1:6" ht="108" x14ac:dyDescent="0.15">
      <c r="A46" s="3" t="s">
        <v>195</v>
      </c>
      <c r="B46" s="3" t="s">
        <v>196</v>
      </c>
      <c r="C46" s="4" t="s">
        <v>197</v>
      </c>
      <c r="D46" s="3" t="s">
        <v>33</v>
      </c>
      <c r="E46" s="3" t="s">
        <v>98</v>
      </c>
      <c r="F46" s="3" t="s">
        <v>80</v>
      </c>
    </row>
    <row r="47" spans="1:6" ht="81" x14ac:dyDescent="0.15">
      <c r="A47" s="3" t="s">
        <v>198</v>
      </c>
      <c r="B47" s="3" t="s">
        <v>199</v>
      </c>
      <c r="C47" s="4" t="s">
        <v>200</v>
      </c>
      <c r="D47" s="3" t="s">
        <v>33</v>
      </c>
      <c r="E47" s="3" t="s">
        <v>98</v>
      </c>
      <c r="F47" s="3" t="s">
        <v>80</v>
      </c>
    </row>
    <row r="48" spans="1:6" ht="81" x14ac:dyDescent="0.15">
      <c r="A48" s="3" t="s">
        <v>201</v>
      </c>
      <c r="B48" s="3" t="s">
        <v>202</v>
      </c>
      <c r="C48" s="4" t="s">
        <v>203</v>
      </c>
      <c r="D48" s="3" t="s">
        <v>33</v>
      </c>
      <c r="E48" s="3" t="s">
        <v>98</v>
      </c>
      <c r="F48" s="3" t="s">
        <v>80</v>
      </c>
    </row>
    <row r="49" spans="1:6" ht="94.5" x14ac:dyDescent="0.15">
      <c r="A49" s="3" t="s">
        <v>204</v>
      </c>
      <c r="B49" s="3" t="s">
        <v>205</v>
      </c>
      <c r="C49" s="4" t="s">
        <v>206</v>
      </c>
      <c r="D49" s="3" t="s">
        <v>33</v>
      </c>
      <c r="E49" s="3" t="s">
        <v>98</v>
      </c>
      <c r="F49" s="3" t="s">
        <v>80</v>
      </c>
    </row>
    <row r="50" spans="1:6" ht="108" x14ac:dyDescent="0.15">
      <c r="A50" s="3" t="s">
        <v>207</v>
      </c>
      <c r="B50" s="3" t="s">
        <v>208</v>
      </c>
      <c r="C50" s="4" t="s">
        <v>209</v>
      </c>
      <c r="D50" s="3" t="s">
        <v>33</v>
      </c>
      <c r="E50" s="3" t="s">
        <v>98</v>
      </c>
      <c r="F50" s="3" t="s">
        <v>80</v>
      </c>
    </row>
    <row r="51" spans="1:6" ht="67.5" x14ac:dyDescent="0.15">
      <c r="A51" s="3" t="s">
        <v>210</v>
      </c>
      <c r="B51" s="3" t="s">
        <v>211</v>
      </c>
      <c r="C51" s="4" t="s">
        <v>212</v>
      </c>
      <c r="D51" s="3" t="s">
        <v>33</v>
      </c>
      <c r="E51" s="3" t="s">
        <v>98</v>
      </c>
      <c r="F51" s="3" t="s">
        <v>80</v>
      </c>
    </row>
    <row r="52" spans="1:6" ht="94.5" x14ac:dyDescent="0.15">
      <c r="A52" s="3" t="s">
        <v>213</v>
      </c>
      <c r="B52" s="3" t="s">
        <v>214</v>
      </c>
      <c r="C52" s="4" t="s">
        <v>215</v>
      </c>
      <c r="D52" s="3" t="s">
        <v>33</v>
      </c>
      <c r="E52" s="3" t="s">
        <v>98</v>
      </c>
      <c r="F52" s="3" t="s">
        <v>80</v>
      </c>
    </row>
    <row r="53" spans="1:6" ht="108" x14ac:dyDescent="0.15">
      <c r="A53" s="3" t="s">
        <v>216</v>
      </c>
      <c r="B53" s="3" t="s">
        <v>217</v>
      </c>
      <c r="C53" s="4" t="s">
        <v>218</v>
      </c>
      <c r="D53" s="3" t="s">
        <v>33</v>
      </c>
      <c r="E53" s="3" t="s">
        <v>98</v>
      </c>
      <c r="F53" s="3" t="s">
        <v>80</v>
      </c>
    </row>
    <row r="54" spans="1:6" ht="121.5" x14ac:dyDescent="0.15">
      <c r="A54" s="3" t="s">
        <v>219</v>
      </c>
      <c r="B54" s="3" t="s">
        <v>220</v>
      </c>
      <c r="C54" s="4" t="s">
        <v>221</v>
      </c>
      <c r="D54" s="3" t="s">
        <v>33</v>
      </c>
      <c r="E54" s="3" t="s">
        <v>98</v>
      </c>
      <c r="F54" s="3" t="s">
        <v>80</v>
      </c>
    </row>
    <row r="55" spans="1:6" ht="54" x14ac:dyDescent="0.15">
      <c r="A55" s="3" t="s">
        <v>222</v>
      </c>
      <c r="B55" s="3" t="s">
        <v>223</v>
      </c>
      <c r="C55" s="4" t="s">
        <v>224</v>
      </c>
      <c r="D55" s="3" t="s">
        <v>33</v>
      </c>
      <c r="E55" s="3" t="s">
        <v>98</v>
      </c>
      <c r="F55" s="3" t="s">
        <v>80</v>
      </c>
    </row>
    <row r="56" spans="1:6" ht="94.5" x14ac:dyDescent="0.15">
      <c r="A56" s="3" t="s">
        <v>225</v>
      </c>
      <c r="B56" s="3" t="s">
        <v>226</v>
      </c>
      <c r="C56" s="4" t="s">
        <v>227</v>
      </c>
      <c r="D56" s="3" t="s">
        <v>33</v>
      </c>
      <c r="E56" s="3" t="s">
        <v>98</v>
      </c>
      <c r="F56" s="3" t="s">
        <v>80</v>
      </c>
    </row>
    <row r="57" spans="1:6" ht="81" x14ac:dyDescent="0.15">
      <c r="A57" s="3" t="s">
        <v>228</v>
      </c>
      <c r="B57" s="3" t="s">
        <v>229</v>
      </c>
      <c r="C57" s="4" t="s">
        <v>230</v>
      </c>
      <c r="D57" s="3" t="s">
        <v>33</v>
      </c>
      <c r="E57" s="3" t="s">
        <v>98</v>
      </c>
      <c r="F57" s="3" t="s">
        <v>80</v>
      </c>
    </row>
    <row r="58" spans="1:6" ht="67.5" x14ac:dyDescent="0.15">
      <c r="A58" s="3" t="s">
        <v>231</v>
      </c>
      <c r="B58" s="3" t="s">
        <v>232</v>
      </c>
      <c r="C58" s="4" t="s">
        <v>233</v>
      </c>
      <c r="D58" s="3" t="s">
        <v>33</v>
      </c>
      <c r="E58" s="3" t="s">
        <v>98</v>
      </c>
      <c r="F58" s="3" t="s">
        <v>80</v>
      </c>
    </row>
    <row r="59" spans="1:6" ht="94.5" x14ac:dyDescent="0.15">
      <c r="A59" s="3" t="s">
        <v>234</v>
      </c>
      <c r="B59" s="3" t="s">
        <v>235</v>
      </c>
      <c r="C59" s="4" t="s">
        <v>236</v>
      </c>
      <c r="D59" s="3" t="s">
        <v>33</v>
      </c>
      <c r="E59" s="3" t="s">
        <v>98</v>
      </c>
      <c r="F59" s="3" t="s">
        <v>80</v>
      </c>
    </row>
    <row r="60" spans="1:6" ht="108" x14ac:dyDescent="0.15">
      <c r="A60" s="3" t="s">
        <v>237</v>
      </c>
      <c r="B60" s="3" t="s">
        <v>238</v>
      </c>
      <c r="C60" s="4" t="s">
        <v>239</v>
      </c>
      <c r="D60" s="3" t="s">
        <v>33</v>
      </c>
      <c r="E60" s="3" t="s">
        <v>98</v>
      </c>
      <c r="F60" s="3" t="s">
        <v>80</v>
      </c>
    </row>
    <row r="61" spans="1:6" ht="67.5" x14ac:dyDescent="0.15">
      <c r="A61" s="3" t="s">
        <v>240</v>
      </c>
      <c r="B61" s="3" t="s">
        <v>241</v>
      </c>
      <c r="C61" s="4" t="s">
        <v>242</v>
      </c>
      <c r="D61" s="3" t="s">
        <v>33</v>
      </c>
      <c r="E61" s="3" t="s">
        <v>98</v>
      </c>
      <c r="F61" s="3" t="s">
        <v>72</v>
      </c>
    </row>
    <row r="62" spans="1:6" ht="81" x14ac:dyDescent="0.15">
      <c r="A62" s="3" t="s">
        <v>243</v>
      </c>
      <c r="B62" s="3" t="s">
        <v>244</v>
      </c>
      <c r="C62" s="4" t="s">
        <v>245</v>
      </c>
      <c r="D62" s="3" t="s">
        <v>33</v>
      </c>
      <c r="E62" s="3" t="s">
        <v>98</v>
      </c>
      <c r="F62" s="3" t="s">
        <v>72</v>
      </c>
    </row>
    <row r="63" spans="1:6" ht="94.5" x14ac:dyDescent="0.15">
      <c r="A63" s="3" t="s">
        <v>246</v>
      </c>
      <c r="B63" s="3" t="s">
        <v>247</v>
      </c>
      <c r="C63" s="4" t="s">
        <v>248</v>
      </c>
      <c r="D63" s="3" t="s">
        <v>33</v>
      </c>
      <c r="E63" s="3" t="s">
        <v>98</v>
      </c>
      <c r="F63" s="3" t="s">
        <v>72</v>
      </c>
    </row>
    <row r="64" spans="1:6" ht="67.5" x14ac:dyDescent="0.15">
      <c r="A64" s="3" t="s">
        <v>249</v>
      </c>
      <c r="B64" s="3" t="s">
        <v>250</v>
      </c>
      <c r="C64" s="4" t="s">
        <v>251</v>
      </c>
      <c r="D64" s="3" t="s">
        <v>33</v>
      </c>
      <c r="E64" s="3" t="s">
        <v>98</v>
      </c>
      <c r="F64" s="3" t="s">
        <v>80</v>
      </c>
    </row>
    <row r="65" spans="1:6" ht="108" x14ac:dyDescent="0.15">
      <c r="A65" s="3" t="s">
        <v>252</v>
      </c>
      <c r="B65" s="3" t="s">
        <v>253</v>
      </c>
      <c r="C65" s="4" t="s">
        <v>254</v>
      </c>
      <c r="D65" s="3" t="s">
        <v>33</v>
      </c>
      <c r="E65" s="3" t="s">
        <v>98</v>
      </c>
      <c r="F65" s="3" t="s">
        <v>80</v>
      </c>
    </row>
    <row r="66" spans="1:6" ht="67.5" x14ac:dyDescent="0.15">
      <c r="A66" s="3" t="s">
        <v>255</v>
      </c>
      <c r="B66" s="3" t="s">
        <v>256</v>
      </c>
      <c r="C66" s="4" t="s">
        <v>257</v>
      </c>
      <c r="D66" s="3" t="s">
        <v>33</v>
      </c>
      <c r="E66" s="3" t="s">
        <v>98</v>
      </c>
      <c r="F66" s="3" t="s">
        <v>80</v>
      </c>
    </row>
    <row r="67" spans="1:6" ht="81" x14ac:dyDescent="0.15">
      <c r="A67" s="3" t="s">
        <v>258</v>
      </c>
      <c r="B67" s="3" t="s">
        <v>259</v>
      </c>
      <c r="C67" s="4" t="s">
        <v>260</v>
      </c>
      <c r="D67" s="3" t="s">
        <v>33</v>
      </c>
      <c r="E67" s="3" t="s">
        <v>98</v>
      </c>
      <c r="F67" s="3" t="s">
        <v>80</v>
      </c>
    </row>
    <row r="68" spans="1:6" ht="67.5" x14ac:dyDescent="0.15">
      <c r="A68" s="3" t="s">
        <v>261</v>
      </c>
      <c r="B68" s="3" t="s">
        <v>262</v>
      </c>
      <c r="C68" s="4" t="s">
        <v>263</v>
      </c>
      <c r="D68" s="3" t="s">
        <v>33</v>
      </c>
      <c r="E68" s="3" t="s">
        <v>98</v>
      </c>
      <c r="F68" s="3" t="s">
        <v>80</v>
      </c>
    </row>
    <row r="69" spans="1:6" ht="94.5" x14ac:dyDescent="0.15">
      <c r="A69" s="3" t="s">
        <v>264</v>
      </c>
      <c r="B69" s="3" t="s">
        <v>265</v>
      </c>
      <c r="C69" s="4" t="s">
        <v>266</v>
      </c>
      <c r="D69" s="3" t="s">
        <v>33</v>
      </c>
      <c r="E69" s="3" t="s">
        <v>98</v>
      </c>
      <c r="F69" s="3" t="s">
        <v>80</v>
      </c>
    </row>
    <row r="70" spans="1:6" ht="108" x14ac:dyDescent="0.15">
      <c r="A70" s="3" t="s">
        <v>267</v>
      </c>
      <c r="B70" s="3" t="s">
        <v>268</v>
      </c>
      <c r="C70" s="4" t="s">
        <v>269</v>
      </c>
      <c r="D70" s="3" t="s">
        <v>33</v>
      </c>
      <c r="E70" s="3" t="s">
        <v>98</v>
      </c>
      <c r="F70" s="3" t="s">
        <v>80</v>
      </c>
    </row>
    <row r="71" spans="1:6" ht="94.5" x14ac:dyDescent="0.15">
      <c r="A71" s="3" t="s">
        <v>270</v>
      </c>
      <c r="B71" s="3" t="s">
        <v>271</v>
      </c>
      <c r="C71" s="4" t="s">
        <v>272</v>
      </c>
      <c r="D71" s="3" t="s">
        <v>33</v>
      </c>
      <c r="E71" s="3" t="s">
        <v>98</v>
      </c>
      <c r="F71" s="3" t="s">
        <v>80</v>
      </c>
    </row>
    <row r="72" spans="1:6" ht="108" x14ac:dyDescent="0.15">
      <c r="A72" s="3" t="s">
        <v>273</v>
      </c>
      <c r="B72" s="3" t="s">
        <v>274</v>
      </c>
      <c r="C72" s="4" t="s">
        <v>275</v>
      </c>
      <c r="D72" s="3" t="s">
        <v>33</v>
      </c>
      <c r="E72" s="3" t="s">
        <v>98</v>
      </c>
      <c r="F72" s="3" t="s">
        <v>80</v>
      </c>
    </row>
    <row r="73" spans="1:6" ht="67.5" x14ac:dyDescent="0.15">
      <c r="A73" s="3" t="s">
        <v>276</v>
      </c>
      <c r="B73" s="3" t="s">
        <v>277</v>
      </c>
      <c r="C73" s="4" t="s">
        <v>278</v>
      </c>
      <c r="D73" s="3" t="s">
        <v>33</v>
      </c>
      <c r="E73" s="3" t="s">
        <v>98</v>
      </c>
      <c r="F73" s="3" t="s">
        <v>80</v>
      </c>
    </row>
    <row r="74" spans="1:6" ht="94.5" x14ac:dyDescent="0.15">
      <c r="A74" s="3" t="s">
        <v>279</v>
      </c>
      <c r="B74" s="3" t="s">
        <v>280</v>
      </c>
      <c r="C74" s="4" t="s">
        <v>281</v>
      </c>
      <c r="D74" s="3" t="s">
        <v>33</v>
      </c>
      <c r="E74" s="3" t="s">
        <v>98</v>
      </c>
      <c r="F74" s="3" t="s">
        <v>80</v>
      </c>
    </row>
    <row r="75" spans="1:6" ht="94.5" x14ac:dyDescent="0.15">
      <c r="A75" s="3" t="s">
        <v>282</v>
      </c>
      <c r="B75" s="3" t="s">
        <v>283</v>
      </c>
      <c r="C75" s="4" t="s">
        <v>284</v>
      </c>
      <c r="D75" s="3" t="s">
        <v>33</v>
      </c>
      <c r="E75" s="3" t="s">
        <v>98</v>
      </c>
      <c r="F75" s="3" t="s">
        <v>80</v>
      </c>
    </row>
    <row r="76" spans="1:6" ht="81" x14ac:dyDescent="0.15">
      <c r="A76" s="3" t="s">
        <v>285</v>
      </c>
      <c r="B76" s="3" t="s">
        <v>286</v>
      </c>
      <c r="C76" s="4" t="s">
        <v>287</v>
      </c>
      <c r="D76" s="3" t="s">
        <v>33</v>
      </c>
      <c r="E76" s="3" t="s">
        <v>98</v>
      </c>
      <c r="F76" s="3" t="s">
        <v>80</v>
      </c>
    </row>
    <row r="77" spans="1:6" ht="94.5" x14ac:dyDescent="0.15">
      <c r="A77" s="3" t="s">
        <v>288</v>
      </c>
      <c r="B77" s="3" t="s">
        <v>289</v>
      </c>
      <c r="C77" s="4" t="s">
        <v>290</v>
      </c>
      <c r="D77" s="3" t="s">
        <v>33</v>
      </c>
      <c r="E77" s="3" t="s">
        <v>98</v>
      </c>
      <c r="F77" s="3" t="s">
        <v>80</v>
      </c>
    </row>
    <row r="78" spans="1:6" ht="94.5" x14ac:dyDescent="0.15">
      <c r="A78" s="3" t="s">
        <v>291</v>
      </c>
      <c r="B78" s="3" t="s">
        <v>292</v>
      </c>
      <c r="C78" s="4" t="s">
        <v>293</v>
      </c>
      <c r="D78" s="3" t="s">
        <v>33</v>
      </c>
      <c r="E78" s="3" t="s">
        <v>98</v>
      </c>
      <c r="F78" s="3" t="s">
        <v>80</v>
      </c>
    </row>
    <row r="79" spans="1:6" ht="81" x14ac:dyDescent="0.15">
      <c r="A79" s="3" t="s">
        <v>294</v>
      </c>
      <c r="B79" s="3" t="s">
        <v>295</v>
      </c>
      <c r="C79" s="4" t="s">
        <v>296</v>
      </c>
      <c r="D79" s="3" t="s">
        <v>33</v>
      </c>
      <c r="E79" s="3" t="s">
        <v>98</v>
      </c>
      <c r="F79" s="3" t="s">
        <v>80</v>
      </c>
    </row>
    <row r="80" spans="1:6" ht="108" x14ac:dyDescent="0.15">
      <c r="A80" s="3" t="s">
        <v>297</v>
      </c>
      <c r="B80" s="3" t="s">
        <v>298</v>
      </c>
      <c r="C80" s="4" t="s">
        <v>299</v>
      </c>
      <c r="D80" s="3" t="s">
        <v>33</v>
      </c>
      <c r="E80" s="3" t="s">
        <v>98</v>
      </c>
      <c r="F80" s="3" t="s">
        <v>80</v>
      </c>
    </row>
    <row r="81" spans="1:6" ht="94.5" x14ac:dyDescent="0.15">
      <c r="A81" s="3" t="s">
        <v>300</v>
      </c>
      <c r="B81" s="3" t="s">
        <v>301</v>
      </c>
      <c r="C81" s="4" t="s">
        <v>302</v>
      </c>
      <c r="D81" s="3" t="s">
        <v>33</v>
      </c>
      <c r="E81" s="3" t="s">
        <v>98</v>
      </c>
      <c r="F81" s="3" t="s">
        <v>80</v>
      </c>
    </row>
    <row r="82" spans="1:6" ht="94.5" x14ac:dyDescent="0.15">
      <c r="A82" s="3" t="s">
        <v>303</v>
      </c>
      <c r="B82" s="3" t="s">
        <v>304</v>
      </c>
      <c r="C82" s="4" t="s">
        <v>305</v>
      </c>
      <c r="D82" s="3" t="s">
        <v>33</v>
      </c>
      <c r="E82" s="3" t="s">
        <v>98</v>
      </c>
      <c r="F82" s="3" t="s">
        <v>80</v>
      </c>
    </row>
    <row r="83" spans="1:6" ht="108" x14ac:dyDescent="0.15">
      <c r="A83" s="3" t="s">
        <v>306</v>
      </c>
      <c r="B83" s="3" t="s">
        <v>307</v>
      </c>
      <c r="C83" s="4" t="s">
        <v>308</v>
      </c>
      <c r="D83" s="3" t="s">
        <v>33</v>
      </c>
      <c r="E83" s="3" t="s">
        <v>98</v>
      </c>
      <c r="F83" s="3" t="s">
        <v>80</v>
      </c>
    </row>
    <row r="84" spans="1:6" ht="108" x14ac:dyDescent="0.15">
      <c r="A84" s="3" t="s">
        <v>309</v>
      </c>
      <c r="B84" s="3" t="s">
        <v>310</v>
      </c>
      <c r="C84" s="4" t="s">
        <v>311</v>
      </c>
      <c r="D84" s="3" t="s">
        <v>33</v>
      </c>
      <c r="E84" s="3" t="s">
        <v>98</v>
      </c>
      <c r="F84" s="3" t="s">
        <v>80</v>
      </c>
    </row>
    <row r="85" spans="1:6" ht="108" x14ac:dyDescent="0.15">
      <c r="A85" s="3" t="s">
        <v>312</v>
      </c>
      <c r="B85" s="3" t="s">
        <v>313</v>
      </c>
      <c r="C85" s="4" t="s">
        <v>314</v>
      </c>
      <c r="D85" s="3" t="s">
        <v>33</v>
      </c>
      <c r="E85" s="3" t="s">
        <v>98</v>
      </c>
      <c r="F85" s="3" t="s">
        <v>80</v>
      </c>
    </row>
    <row r="86" spans="1:6" ht="81" x14ac:dyDescent="0.15">
      <c r="A86" s="3" t="s">
        <v>315</v>
      </c>
      <c r="B86" s="3" t="s">
        <v>316</v>
      </c>
      <c r="C86" s="4" t="s">
        <v>317</v>
      </c>
      <c r="D86" s="3" t="s">
        <v>33</v>
      </c>
      <c r="E86" s="3" t="s">
        <v>98</v>
      </c>
      <c r="F86" s="3" t="s">
        <v>80</v>
      </c>
    </row>
    <row r="87" spans="1:6" ht="81" x14ac:dyDescent="0.15">
      <c r="A87" s="3" t="s">
        <v>318</v>
      </c>
      <c r="B87" s="3" t="s">
        <v>319</v>
      </c>
      <c r="C87" s="4" t="s">
        <v>320</v>
      </c>
      <c r="D87" s="3" t="s">
        <v>33</v>
      </c>
      <c r="E87" s="3" t="s">
        <v>98</v>
      </c>
      <c r="F87" s="3" t="s">
        <v>80</v>
      </c>
    </row>
    <row r="88" spans="1:6" ht="67.5" x14ac:dyDescent="0.15">
      <c r="A88" s="3" t="s">
        <v>321</v>
      </c>
      <c r="B88" s="3" t="s">
        <v>322</v>
      </c>
      <c r="C88" s="4" t="s">
        <v>323</v>
      </c>
      <c r="D88" s="3" t="s">
        <v>33</v>
      </c>
      <c r="E88" s="3" t="s">
        <v>98</v>
      </c>
      <c r="F88" s="3" t="s">
        <v>80</v>
      </c>
    </row>
    <row r="89" spans="1:6" ht="81" x14ac:dyDescent="0.15">
      <c r="A89" s="3" t="s">
        <v>324</v>
      </c>
      <c r="B89" s="3" t="s">
        <v>325</v>
      </c>
      <c r="C89" s="4" t="s">
        <v>326</v>
      </c>
      <c r="D89" s="3" t="s">
        <v>33</v>
      </c>
      <c r="E89" s="3" t="s">
        <v>98</v>
      </c>
      <c r="F89" s="3" t="s">
        <v>80</v>
      </c>
    </row>
    <row r="90" spans="1:6" ht="81" x14ac:dyDescent="0.15">
      <c r="A90" s="3" t="s">
        <v>327</v>
      </c>
      <c r="B90" s="3" t="s">
        <v>328</v>
      </c>
      <c r="C90" s="4" t="s">
        <v>329</v>
      </c>
      <c r="D90" s="3" t="s">
        <v>33</v>
      </c>
      <c r="E90" s="3" t="s">
        <v>98</v>
      </c>
      <c r="F90" s="3" t="s">
        <v>80</v>
      </c>
    </row>
    <row r="91" spans="1:6" ht="121.5" x14ac:dyDescent="0.15">
      <c r="A91" s="3" t="s">
        <v>330</v>
      </c>
      <c r="B91" s="3" t="s">
        <v>331</v>
      </c>
      <c r="C91" s="4" t="s">
        <v>332</v>
      </c>
      <c r="D91" s="3" t="s">
        <v>33</v>
      </c>
      <c r="E91" s="3" t="s">
        <v>98</v>
      </c>
      <c r="F91" s="3" t="s">
        <v>80</v>
      </c>
    </row>
    <row r="92" spans="1:6" ht="94.5" x14ac:dyDescent="0.15">
      <c r="A92" s="3" t="s">
        <v>333</v>
      </c>
      <c r="B92" s="3" t="s">
        <v>334</v>
      </c>
      <c r="C92" s="4" t="s">
        <v>335</v>
      </c>
      <c r="D92" s="3" t="s">
        <v>33</v>
      </c>
      <c r="E92" s="3" t="s">
        <v>98</v>
      </c>
      <c r="F92" s="3" t="s">
        <v>80</v>
      </c>
    </row>
    <row r="93" spans="1:6" ht="81" x14ac:dyDescent="0.15">
      <c r="A93" s="3" t="s">
        <v>336</v>
      </c>
      <c r="B93" s="3" t="s">
        <v>337</v>
      </c>
      <c r="C93" s="4" t="s">
        <v>338</v>
      </c>
      <c r="D93" s="3" t="s">
        <v>33</v>
      </c>
      <c r="E93" s="3" t="s">
        <v>98</v>
      </c>
      <c r="F93" s="3" t="s">
        <v>80</v>
      </c>
    </row>
    <row r="94" spans="1:6" ht="81" x14ac:dyDescent="0.15">
      <c r="A94" s="3" t="s">
        <v>339</v>
      </c>
      <c r="B94" s="3" t="s">
        <v>340</v>
      </c>
      <c r="C94" s="4" t="s">
        <v>341</v>
      </c>
      <c r="D94" s="3" t="s">
        <v>33</v>
      </c>
      <c r="E94" s="3" t="s">
        <v>98</v>
      </c>
      <c r="F94" s="3" t="s">
        <v>80</v>
      </c>
    </row>
    <row r="95" spans="1:6" ht="94.5" x14ac:dyDescent="0.15">
      <c r="A95" s="3" t="s">
        <v>342</v>
      </c>
      <c r="B95" s="3" t="s">
        <v>343</v>
      </c>
      <c r="C95" s="4" t="s">
        <v>344</v>
      </c>
      <c r="D95" s="3" t="s">
        <v>33</v>
      </c>
      <c r="E95" s="3" t="s">
        <v>98</v>
      </c>
      <c r="F95" s="3" t="s">
        <v>80</v>
      </c>
    </row>
    <row r="96" spans="1:6" ht="94.5" x14ac:dyDescent="0.15">
      <c r="A96" s="3" t="s">
        <v>345</v>
      </c>
      <c r="B96" s="3" t="s">
        <v>346</v>
      </c>
      <c r="C96" s="4" t="s">
        <v>347</v>
      </c>
      <c r="D96" s="3" t="s">
        <v>33</v>
      </c>
      <c r="E96" s="3" t="s">
        <v>98</v>
      </c>
      <c r="F96" s="3" t="s">
        <v>80</v>
      </c>
    </row>
    <row r="97" spans="1:6" ht="94.5" x14ac:dyDescent="0.15">
      <c r="A97" s="3" t="s">
        <v>348</v>
      </c>
      <c r="B97" s="3" t="s">
        <v>349</v>
      </c>
      <c r="C97" s="4" t="s">
        <v>350</v>
      </c>
      <c r="D97" s="3" t="s">
        <v>33</v>
      </c>
      <c r="E97" s="3" t="s">
        <v>98</v>
      </c>
      <c r="F97" s="3" t="s">
        <v>80</v>
      </c>
    </row>
    <row r="98" spans="1:6" ht="94.5" x14ac:dyDescent="0.15">
      <c r="A98" s="3" t="s">
        <v>351</v>
      </c>
      <c r="B98" s="3" t="s">
        <v>352</v>
      </c>
      <c r="C98" s="4" t="s">
        <v>353</v>
      </c>
      <c r="D98" s="3" t="s">
        <v>33</v>
      </c>
      <c r="E98" s="3" t="s">
        <v>98</v>
      </c>
      <c r="F98" s="3" t="s">
        <v>80</v>
      </c>
    </row>
    <row r="99" spans="1:6" ht="81" x14ac:dyDescent="0.15">
      <c r="A99" s="3" t="s">
        <v>354</v>
      </c>
      <c r="B99" s="3" t="s">
        <v>355</v>
      </c>
      <c r="C99" s="4" t="s">
        <v>356</v>
      </c>
      <c r="D99" s="3" t="s">
        <v>33</v>
      </c>
      <c r="E99" s="3" t="s">
        <v>98</v>
      </c>
      <c r="F99" s="3" t="s">
        <v>80</v>
      </c>
    </row>
    <row r="100" spans="1:6" ht="81" x14ac:dyDescent="0.15">
      <c r="A100" s="3" t="s">
        <v>357</v>
      </c>
      <c r="B100" s="3" t="s">
        <v>358</v>
      </c>
      <c r="C100" s="4" t="s">
        <v>359</v>
      </c>
      <c r="D100" s="3" t="s">
        <v>33</v>
      </c>
      <c r="E100" s="3" t="s">
        <v>98</v>
      </c>
      <c r="F100" s="3" t="s">
        <v>80</v>
      </c>
    </row>
    <row r="101" spans="1:6" ht="67.5" x14ac:dyDescent="0.15">
      <c r="A101" s="3" t="s">
        <v>360</v>
      </c>
      <c r="B101" s="3" t="s">
        <v>361</v>
      </c>
      <c r="C101" s="4" t="s">
        <v>362</v>
      </c>
      <c r="D101" s="3" t="s">
        <v>33</v>
      </c>
      <c r="E101" s="3" t="s">
        <v>98</v>
      </c>
      <c r="F101" s="3" t="s">
        <v>80</v>
      </c>
    </row>
    <row r="102" spans="1:6" ht="81" x14ac:dyDescent="0.15">
      <c r="A102" s="3" t="s">
        <v>363</v>
      </c>
      <c r="B102" s="3" t="s">
        <v>364</v>
      </c>
      <c r="C102" s="4" t="s">
        <v>365</v>
      </c>
      <c r="D102" s="3" t="s">
        <v>33</v>
      </c>
      <c r="E102" s="3" t="s">
        <v>98</v>
      </c>
      <c r="F102" s="3" t="s">
        <v>80</v>
      </c>
    </row>
    <row r="103" spans="1:6" ht="81" x14ac:dyDescent="0.15">
      <c r="A103" s="3" t="s">
        <v>366</v>
      </c>
      <c r="B103" s="3" t="s">
        <v>367</v>
      </c>
      <c r="C103" s="4" t="s">
        <v>368</v>
      </c>
      <c r="D103" s="3" t="s">
        <v>33</v>
      </c>
      <c r="E103" s="3" t="s">
        <v>98</v>
      </c>
      <c r="F103" s="3" t="s">
        <v>80</v>
      </c>
    </row>
    <row r="104" spans="1:6" ht="81" x14ac:dyDescent="0.15">
      <c r="A104" s="3" t="s">
        <v>369</v>
      </c>
      <c r="B104" s="3" t="s">
        <v>370</v>
      </c>
      <c r="C104" s="4" t="s">
        <v>371</v>
      </c>
      <c r="D104" s="3" t="s">
        <v>33</v>
      </c>
      <c r="E104" s="3" t="s">
        <v>98</v>
      </c>
      <c r="F104" s="3" t="s">
        <v>80</v>
      </c>
    </row>
    <row r="105" spans="1:6" ht="81" x14ac:dyDescent="0.15">
      <c r="A105" s="3" t="s">
        <v>372</v>
      </c>
      <c r="B105" s="3" t="s">
        <v>373</v>
      </c>
      <c r="C105" s="4" t="s">
        <v>374</v>
      </c>
      <c r="D105" s="3" t="s">
        <v>33</v>
      </c>
      <c r="E105" s="3" t="s">
        <v>98</v>
      </c>
      <c r="F105" s="3" t="s">
        <v>80</v>
      </c>
    </row>
    <row r="106" spans="1:6" ht="108" x14ac:dyDescent="0.15">
      <c r="A106" s="3" t="s">
        <v>375</v>
      </c>
      <c r="B106" s="3" t="s">
        <v>376</v>
      </c>
      <c r="C106" s="4" t="s">
        <v>377</v>
      </c>
      <c r="D106" s="3" t="s">
        <v>33</v>
      </c>
      <c r="E106" s="3" t="s">
        <v>98</v>
      </c>
      <c r="F106" s="3" t="s">
        <v>80</v>
      </c>
    </row>
    <row r="107" spans="1:6" ht="81" x14ac:dyDescent="0.15">
      <c r="A107" s="3" t="s">
        <v>378</v>
      </c>
      <c r="B107" s="3" t="s">
        <v>379</v>
      </c>
      <c r="C107" s="4" t="s">
        <v>380</v>
      </c>
      <c r="D107" s="3" t="s">
        <v>33</v>
      </c>
      <c r="E107" s="3" t="s">
        <v>98</v>
      </c>
      <c r="F107" s="3" t="s">
        <v>80</v>
      </c>
    </row>
    <row r="108" spans="1:6" ht="81" x14ac:dyDescent="0.15">
      <c r="A108" s="3" t="s">
        <v>381</v>
      </c>
      <c r="B108" s="3" t="s">
        <v>382</v>
      </c>
      <c r="C108" s="4" t="s">
        <v>383</v>
      </c>
      <c r="D108" s="3" t="s">
        <v>33</v>
      </c>
      <c r="E108" s="3" t="s">
        <v>98</v>
      </c>
      <c r="F108" s="3" t="s">
        <v>80</v>
      </c>
    </row>
    <row r="109" spans="1:6" ht="94.5" x14ac:dyDescent="0.15">
      <c r="A109" s="3" t="s">
        <v>384</v>
      </c>
      <c r="B109" s="3" t="s">
        <v>385</v>
      </c>
      <c r="C109" s="4" t="s">
        <v>386</v>
      </c>
      <c r="D109" s="3" t="s">
        <v>33</v>
      </c>
      <c r="E109" s="3" t="s">
        <v>98</v>
      </c>
      <c r="F109" s="3" t="s">
        <v>80</v>
      </c>
    </row>
    <row r="110" spans="1:6" ht="94.5" x14ac:dyDescent="0.15">
      <c r="A110" s="3" t="s">
        <v>387</v>
      </c>
      <c r="B110" s="3" t="s">
        <v>388</v>
      </c>
      <c r="C110" s="4" t="s">
        <v>389</v>
      </c>
      <c r="D110" s="3" t="s">
        <v>33</v>
      </c>
      <c r="E110" s="3" t="s">
        <v>98</v>
      </c>
      <c r="F110" s="3" t="s">
        <v>80</v>
      </c>
    </row>
    <row r="111" spans="1:6" ht="81" x14ac:dyDescent="0.15">
      <c r="A111" s="3" t="s">
        <v>390</v>
      </c>
      <c r="B111" s="3" t="s">
        <v>391</v>
      </c>
      <c r="C111" s="4" t="s">
        <v>392</v>
      </c>
      <c r="D111" s="3" t="s">
        <v>33</v>
      </c>
      <c r="E111" s="3" t="s">
        <v>98</v>
      </c>
      <c r="F111" s="3" t="s">
        <v>80</v>
      </c>
    </row>
    <row r="112" spans="1:6" ht="94.5" x14ac:dyDescent="0.15">
      <c r="A112" s="3" t="s">
        <v>393</v>
      </c>
      <c r="B112" s="3" t="s">
        <v>394</v>
      </c>
      <c r="C112" s="4" t="s">
        <v>395</v>
      </c>
      <c r="D112" s="3" t="s">
        <v>33</v>
      </c>
      <c r="E112" s="3" t="s">
        <v>98</v>
      </c>
      <c r="F112" s="3" t="s">
        <v>80</v>
      </c>
    </row>
    <row r="113" spans="1:6" ht="108" x14ac:dyDescent="0.15">
      <c r="A113" s="3" t="s">
        <v>396</v>
      </c>
      <c r="B113" s="3" t="s">
        <v>397</v>
      </c>
      <c r="C113" s="4" t="s">
        <v>398</v>
      </c>
      <c r="D113" s="3" t="s">
        <v>33</v>
      </c>
      <c r="E113" s="3" t="s">
        <v>98</v>
      </c>
      <c r="F113" s="3" t="s">
        <v>80</v>
      </c>
    </row>
    <row r="114" spans="1:6" ht="54" x14ac:dyDescent="0.15">
      <c r="A114" s="3" t="s">
        <v>399</v>
      </c>
      <c r="B114" s="3" t="s">
        <v>400</v>
      </c>
      <c r="C114" s="4" t="s">
        <v>401</v>
      </c>
      <c r="D114" s="3" t="s">
        <v>33</v>
      </c>
      <c r="E114" s="3" t="s">
        <v>98</v>
      </c>
      <c r="F114" s="3" t="s">
        <v>80</v>
      </c>
    </row>
    <row r="115" spans="1:6" ht="94.5" x14ac:dyDescent="0.15">
      <c r="A115" s="3" t="s">
        <v>402</v>
      </c>
      <c r="B115" s="3" t="s">
        <v>403</v>
      </c>
      <c r="C115" s="4" t="s">
        <v>404</v>
      </c>
      <c r="D115" s="3" t="s">
        <v>33</v>
      </c>
      <c r="E115" s="3" t="s">
        <v>98</v>
      </c>
      <c r="F115" s="3" t="s">
        <v>80</v>
      </c>
    </row>
    <row r="116" spans="1:6" ht="67.5" x14ac:dyDescent="0.15">
      <c r="A116" s="3" t="s">
        <v>405</v>
      </c>
      <c r="B116" s="3" t="s">
        <v>406</v>
      </c>
      <c r="C116" s="4" t="s">
        <v>407</v>
      </c>
      <c r="D116" s="3" t="s">
        <v>33</v>
      </c>
      <c r="E116" s="3" t="s">
        <v>98</v>
      </c>
      <c r="F116" s="3" t="s">
        <v>80</v>
      </c>
    </row>
    <row r="117" spans="1:6" ht="67.5" x14ac:dyDescent="0.15">
      <c r="A117" s="3" t="s">
        <v>408</v>
      </c>
      <c r="B117" s="3" t="s">
        <v>409</v>
      </c>
      <c r="C117" s="4" t="s">
        <v>410</v>
      </c>
      <c r="D117" s="3" t="s">
        <v>33</v>
      </c>
      <c r="E117" s="3" t="s">
        <v>98</v>
      </c>
      <c r="F117" s="3" t="s">
        <v>80</v>
      </c>
    </row>
    <row r="118" spans="1:6" ht="94.5" x14ac:dyDescent="0.15">
      <c r="A118" s="3" t="s">
        <v>411</v>
      </c>
      <c r="B118" s="3" t="s">
        <v>412</v>
      </c>
      <c r="C118" s="4" t="s">
        <v>413</v>
      </c>
      <c r="D118" s="3" t="s">
        <v>33</v>
      </c>
      <c r="E118" s="3" t="s">
        <v>98</v>
      </c>
      <c r="F118" s="3" t="s">
        <v>80</v>
      </c>
    </row>
    <row r="119" spans="1:6" ht="67.5" x14ac:dyDescent="0.15">
      <c r="A119" s="3" t="s">
        <v>414</v>
      </c>
      <c r="B119" s="3" t="s">
        <v>415</v>
      </c>
      <c r="C119" s="4" t="s">
        <v>416</v>
      </c>
      <c r="D119" s="3" t="s">
        <v>33</v>
      </c>
      <c r="E119" s="3" t="s">
        <v>98</v>
      </c>
      <c r="F119" s="3" t="s">
        <v>80</v>
      </c>
    </row>
    <row r="120" spans="1:6" ht="94.5" x14ac:dyDescent="0.15">
      <c r="A120" s="3" t="s">
        <v>417</v>
      </c>
      <c r="B120" s="3" t="s">
        <v>418</v>
      </c>
      <c r="C120" s="4" t="s">
        <v>419</v>
      </c>
      <c r="D120" s="3" t="s">
        <v>33</v>
      </c>
      <c r="E120" s="3" t="s">
        <v>98</v>
      </c>
      <c r="F120" s="3" t="s">
        <v>80</v>
      </c>
    </row>
    <row r="121" spans="1:6" ht="67.5" x14ac:dyDescent="0.15">
      <c r="A121" s="3" t="s">
        <v>420</v>
      </c>
      <c r="B121" s="3" t="s">
        <v>421</v>
      </c>
      <c r="C121" s="4" t="s">
        <v>422</v>
      </c>
      <c r="D121" s="3" t="s">
        <v>33</v>
      </c>
      <c r="E121" s="3" t="s">
        <v>98</v>
      </c>
      <c r="F121" s="3" t="s">
        <v>80</v>
      </c>
    </row>
    <row r="122" spans="1:6" ht="67.5" x14ac:dyDescent="0.15">
      <c r="A122" s="3" t="s">
        <v>423</v>
      </c>
      <c r="B122" s="3" t="s">
        <v>424</v>
      </c>
      <c r="C122" s="4" t="s">
        <v>425</v>
      </c>
      <c r="D122" s="3" t="s">
        <v>33</v>
      </c>
      <c r="E122" s="3" t="s">
        <v>98</v>
      </c>
      <c r="F122" s="3" t="s">
        <v>80</v>
      </c>
    </row>
    <row r="123" spans="1:6" ht="81" x14ac:dyDescent="0.15">
      <c r="A123" s="3" t="s">
        <v>426</v>
      </c>
      <c r="B123" s="3" t="s">
        <v>427</v>
      </c>
      <c r="C123" s="4" t="s">
        <v>428</v>
      </c>
      <c r="D123" s="3" t="s">
        <v>33</v>
      </c>
      <c r="E123" s="3" t="s">
        <v>98</v>
      </c>
      <c r="F123" s="3" t="s">
        <v>80</v>
      </c>
    </row>
    <row r="124" spans="1:6" ht="94.5" x14ac:dyDescent="0.15">
      <c r="A124" s="3" t="s">
        <v>429</v>
      </c>
      <c r="B124" s="3" t="s">
        <v>430</v>
      </c>
      <c r="C124" s="4" t="s">
        <v>431</v>
      </c>
      <c r="D124" s="3" t="s">
        <v>33</v>
      </c>
      <c r="E124" s="3" t="s">
        <v>98</v>
      </c>
      <c r="F124" s="3" t="s">
        <v>80</v>
      </c>
    </row>
    <row r="125" spans="1:6" ht="81" x14ac:dyDescent="0.15">
      <c r="A125" s="3" t="s">
        <v>432</v>
      </c>
      <c r="B125" s="3" t="s">
        <v>433</v>
      </c>
      <c r="C125" s="4" t="s">
        <v>434</v>
      </c>
      <c r="D125" s="3" t="s">
        <v>33</v>
      </c>
      <c r="E125" s="3" t="s">
        <v>98</v>
      </c>
      <c r="F125" s="3" t="s">
        <v>80</v>
      </c>
    </row>
    <row r="126" spans="1:6" ht="94.5" x14ac:dyDescent="0.15">
      <c r="A126" s="3" t="s">
        <v>435</v>
      </c>
      <c r="B126" s="3" t="s">
        <v>436</v>
      </c>
      <c r="C126" s="4" t="s">
        <v>437</v>
      </c>
      <c r="D126" s="3" t="s">
        <v>33</v>
      </c>
      <c r="E126" s="3" t="s">
        <v>98</v>
      </c>
      <c r="F126" s="3" t="s">
        <v>80</v>
      </c>
    </row>
    <row r="127" spans="1:6" ht="94.5" x14ac:dyDescent="0.15">
      <c r="A127" s="3" t="s">
        <v>438</v>
      </c>
      <c r="B127" s="3" t="s">
        <v>439</v>
      </c>
      <c r="C127" s="4" t="s">
        <v>440</v>
      </c>
      <c r="D127" s="3" t="s">
        <v>33</v>
      </c>
      <c r="E127" s="3" t="s">
        <v>98</v>
      </c>
      <c r="F127" s="3" t="s">
        <v>80</v>
      </c>
    </row>
    <row r="128" spans="1:6" ht="81" x14ac:dyDescent="0.15">
      <c r="A128" s="3" t="s">
        <v>441</v>
      </c>
      <c r="B128" s="3" t="s">
        <v>442</v>
      </c>
      <c r="C128" s="4" t="s">
        <v>443</v>
      </c>
      <c r="D128" s="3" t="s">
        <v>33</v>
      </c>
      <c r="E128" s="3" t="s">
        <v>98</v>
      </c>
      <c r="F128" s="3" t="s">
        <v>80</v>
      </c>
    </row>
    <row r="129" spans="1:6" ht="94.5" x14ac:dyDescent="0.15">
      <c r="A129" s="3" t="s">
        <v>444</v>
      </c>
      <c r="B129" s="3" t="s">
        <v>445</v>
      </c>
      <c r="C129" s="4" t="s">
        <v>446</v>
      </c>
      <c r="D129" s="3" t="s">
        <v>33</v>
      </c>
      <c r="E129" s="3" t="s">
        <v>98</v>
      </c>
      <c r="F129" s="3" t="s">
        <v>80</v>
      </c>
    </row>
    <row r="130" spans="1:6" ht="108" x14ac:dyDescent="0.15">
      <c r="A130" s="3" t="s">
        <v>447</v>
      </c>
      <c r="B130" s="3" t="s">
        <v>448</v>
      </c>
      <c r="C130" s="4" t="s">
        <v>449</v>
      </c>
      <c r="D130" s="3" t="s">
        <v>33</v>
      </c>
      <c r="E130" s="3" t="s">
        <v>98</v>
      </c>
      <c r="F130" s="3" t="s">
        <v>80</v>
      </c>
    </row>
    <row r="131" spans="1:6" ht="94.5" x14ac:dyDescent="0.15">
      <c r="A131" s="3" t="s">
        <v>450</v>
      </c>
      <c r="B131" s="3" t="s">
        <v>451</v>
      </c>
      <c r="C131" s="4" t="s">
        <v>452</v>
      </c>
      <c r="D131" s="3" t="s">
        <v>33</v>
      </c>
      <c r="E131" s="3" t="s">
        <v>98</v>
      </c>
      <c r="F131" s="3" t="s">
        <v>80</v>
      </c>
    </row>
    <row r="132" spans="1:6" ht="81" x14ac:dyDescent="0.15">
      <c r="A132" s="3" t="s">
        <v>453</v>
      </c>
      <c r="B132" s="3" t="s">
        <v>454</v>
      </c>
      <c r="C132" s="4" t="s">
        <v>455</v>
      </c>
      <c r="D132" s="3" t="s">
        <v>33</v>
      </c>
      <c r="E132" s="3" t="s">
        <v>98</v>
      </c>
      <c r="F132" s="3" t="s">
        <v>80</v>
      </c>
    </row>
    <row r="133" spans="1:6" ht="94.5" x14ac:dyDescent="0.15">
      <c r="A133" s="3" t="s">
        <v>456</v>
      </c>
      <c r="B133" s="3" t="s">
        <v>457</v>
      </c>
      <c r="C133" s="4" t="s">
        <v>458</v>
      </c>
      <c r="D133" s="3" t="s">
        <v>33</v>
      </c>
      <c r="E133" s="3" t="s">
        <v>98</v>
      </c>
      <c r="F133" s="3" t="s">
        <v>80</v>
      </c>
    </row>
    <row r="134" spans="1:6" ht="67.5" x14ac:dyDescent="0.15">
      <c r="A134" s="3" t="s">
        <v>459</v>
      </c>
      <c r="B134" s="3" t="s">
        <v>460</v>
      </c>
      <c r="C134" s="4" t="s">
        <v>461</v>
      </c>
      <c r="D134" s="3" t="s">
        <v>33</v>
      </c>
      <c r="E134" s="3" t="s">
        <v>98</v>
      </c>
      <c r="F134" s="3" t="s">
        <v>80</v>
      </c>
    </row>
    <row r="135" spans="1:6" ht="67.5" x14ac:dyDescent="0.15">
      <c r="A135" s="3" t="s">
        <v>462</v>
      </c>
      <c r="B135" s="3" t="s">
        <v>463</v>
      </c>
      <c r="C135" s="4" t="s">
        <v>464</v>
      </c>
      <c r="D135" s="3" t="s">
        <v>33</v>
      </c>
      <c r="E135" s="3" t="s">
        <v>98</v>
      </c>
      <c r="F135" s="3" t="s">
        <v>80</v>
      </c>
    </row>
    <row r="136" spans="1:6" ht="94.5" x14ac:dyDescent="0.15">
      <c r="A136" s="3" t="s">
        <v>465</v>
      </c>
      <c r="B136" s="3" t="s">
        <v>466</v>
      </c>
      <c r="C136" s="4" t="s">
        <v>467</v>
      </c>
      <c r="D136" s="3" t="s">
        <v>33</v>
      </c>
      <c r="E136" s="3" t="s">
        <v>98</v>
      </c>
      <c r="F136" s="3" t="s">
        <v>80</v>
      </c>
    </row>
    <row r="137" spans="1:6" ht="94.5" x14ac:dyDescent="0.15">
      <c r="A137" s="3" t="s">
        <v>468</v>
      </c>
      <c r="B137" s="3" t="s">
        <v>469</v>
      </c>
      <c r="C137" s="4" t="s">
        <v>470</v>
      </c>
      <c r="D137" s="3" t="s">
        <v>33</v>
      </c>
      <c r="E137" s="3" t="s">
        <v>98</v>
      </c>
      <c r="F137" s="3" t="s">
        <v>80</v>
      </c>
    </row>
    <row r="138" spans="1:6" ht="108" x14ac:dyDescent="0.15">
      <c r="A138" s="3" t="s">
        <v>471</v>
      </c>
      <c r="B138" s="3" t="s">
        <v>472</v>
      </c>
      <c r="C138" s="4" t="s">
        <v>473</v>
      </c>
      <c r="D138" s="3" t="s">
        <v>33</v>
      </c>
      <c r="E138" s="3" t="s">
        <v>98</v>
      </c>
      <c r="F138" s="3" t="s">
        <v>80</v>
      </c>
    </row>
    <row r="139" spans="1:6" ht="81" x14ac:dyDescent="0.15">
      <c r="A139" s="3" t="s">
        <v>474</v>
      </c>
      <c r="B139" s="3" t="s">
        <v>475</v>
      </c>
      <c r="C139" s="4" t="s">
        <v>476</v>
      </c>
      <c r="D139" s="3" t="s">
        <v>33</v>
      </c>
      <c r="E139" s="3" t="s">
        <v>98</v>
      </c>
      <c r="F139" s="3" t="s">
        <v>80</v>
      </c>
    </row>
    <row r="140" spans="1:6" ht="81" x14ac:dyDescent="0.15">
      <c r="A140" s="3" t="s">
        <v>477</v>
      </c>
      <c r="B140" s="3" t="s">
        <v>478</v>
      </c>
      <c r="C140" s="4" t="s">
        <v>479</v>
      </c>
      <c r="D140" s="3" t="s">
        <v>33</v>
      </c>
      <c r="E140" s="3" t="s">
        <v>98</v>
      </c>
      <c r="F140" s="3" t="s">
        <v>80</v>
      </c>
    </row>
    <row r="141" spans="1:6" ht="108" x14ac:dyDescent="0.15">
      <c r="A141" s="3" t="s">
        <v>480</v>
      </c>
      <c r="B141" s="3" t="s">
        <v>481</v>
      </c>
      <c r="C141" s="4" t="s">
        <v>482</v>
      </c>
      <c r="D141" s="3" t="s">
        <v>33</v>
      </c>
      <c r="E141" s="3" t="s">
        <v>98</v>
      </c>
      <c r="F141" s="3" t="s">
        <v>80</v>
      </c>
    </row>
    <row r="142" spans="1:6" ht="108" x14ac:dyDescent="0.15">
      <c r="A142" s="3" t="s">
        <v>483</v>
      </c>
      <c r="B142" s="3" t="s">
        <v>484</v>
      </c>
      <c r="C142" s="4" t="s">
        <v>485</v>
      </c>
      <c r="D142" s="3" t="s">
        <v>33</v>
      </c>
      <c r="E142" s="3" t="s">
        <v>98</v>
      </c>
      <c r="F142" s="3" t="s">
        <v>80</v>
      </c>
    </row>
    <row r="143" spans="1:6" ht="67.5" x14ac:dyDescent="0.15">
      <c r="A143" s="3" t="s">
        <v>486</v>
      </c>
      <c r="B143" s="3" t="s">
        <v>487</v>
      </c>
      <c r="C143" s="4" t="s">
        <v>488</v>
      </c>
      <c r="D143" s="3" t="s">
        <v>33</v>
      </c>
      <c r="E143" s="3" t="s">
        <v>98</v>
      </c>
      <c r="F143" s="3" t="s">
        <v>80</v>
      </c>
    </row>
    <row r="144" spans="1:6" ht="94.5" x14ac:dyDescent="0.15">
      <c r="A144" s="3" t="s">
        <v>489</v>
      </c>
      <c r="B144" s="3" t="s">
        <v>490</v>
      </c>
      <c r="C144" s="4" t="s">
        <v>491</v>
      </c>
      <c r="D144" s="3" t="s">
        <v>33</v>
      </c>
      <c r="E144" s="3" t="s">
        <v>98</v>
      </c>
      <c r="F144" s="3" t="s">
        <v>80</v>
      </c>
    </row>
    <row r="145" spans="1:6" ht="81" x14ac:dyDescent="0.15">
      <c r="A145" s="3" t="s">
        <v>492</v>
      </c>
      <c r="B145" s="3" t="s">
        <v>493</v>
      </c>
      <c r="C145" s="4" t="s">
        <v>494</v>
      </c>
      <c r="D145" s="3" t="s">
        <v>33</v>
      </c>
      <c r="E145" s="3" t="s">
        <v>98</v>
      </c>
      <c r="F145" s="3" t="s">
        <v>80</v>
      </c>
    </row>
    <row r="146" spans="1:6" ht="94.5" x14ac:dyDescent="0.15">
      <c r="A146" s="3" t="s">
        <v>495</v>
      </c>
      <c r="B146" s="3" t="s">
        <v>496</v>
      </c>
      <c r="C146" s="4" t="s">
        <v>497</v>
      </c>
      <c r="D146" s="3" t="s">
        <v>33</v>
      </c>
      <c r="E146" s="3" t="s">
        <v>98</v>
      </c>
      <c r="F146" s="3" t="s">
        <v>80</v>
      </c>
    </row>
    <row r="147" spans="1:6" ht="81" x14ac:dyDescent="0.15">
      <c r="A147" s="3" t="s">
        <v>498</v>
      </c>
      <c r="B147" s="3" t="s">
        <v>499</v>
      </c>
      <c r="C147" s="4" t="s">
        <v>500</v>
      </c>
      <c r="D147" s="3" t="s">
        <v>33</v>
      </c>
      <c r="E147" s="3" t="s">
        <v>98</v>
      </c>
      <c r="F147" s="3" t="s">
        <v>80</v>
      </c>
    </row>
    <row r="148" spans="1:6" ht="81" x14ac:dyDescent="0.15">
      <c r="A148" s="3" t="s">
        <v>501</v>
      </c>
      <c r="B148" s="3" t="s">
        <v>502</v>
      </c>
      <c r="C148" s="4" t="s">
        <v>503</v>
      </c>
      <c r="D148" s="3" t="s">
        <v>33</v>
      </c>
      <c r="E148" s="3" t="s">
        <v>98</v>
      </c>
      <c r="F148" s="3" t="s">
        <v>80</v>
      </c>
    </row>
    <row r="149" spans="1:6" ht="108" x14ac:dyDescent="0.15">
      <c r="A149" s="3" t="s">
        <v>504</v>
      </c>
      <c r="B149" s="3" t="s">
        <v>505</v>
      </c>
      <c r="C149" s="4" t="s">
        <v>506</v>
      </c>
      <c r="D149" s="3" t="s">
        <v>33</v>
      </c>
      <c r="E149" s="3" t="s">
        <v>98</v>
      </c>
      <c r="F149" s="3" t="s">
        <v>80</v>
      </c>
    </row>
    <row r="150" spans="1:6" ht="94.5" x14ac:dyDescent="0.15">
      <c r="A150" s="3" t="s">
        <v>507</v>
      </c>
      <c r="B150" s="3" t="s">
        <v>508</v>
      </c>
      <c r="C150" s="4" t="s">
        <v>509</v>
      </c>
      <c r="D150" s="3" t="s">
        <v>33</v>
      </c>
      <c r="E150" s="3" t="s">
        <v>98</v>
      </c>
      <c r="F150" s="3" t="s">
        <v>80</v>
      </c>
    </row>
    <row r="151" spans="1:6" ht="108" x14ac:dyDescent="0.15">
      <c r="A151" s="3" t="s">
        <v>510</v>
      </c>
      <c r="B151" s="3" t="s">
        <v>511</v>
      </c>
      <c r="C151" s="4" t="s">
        <v>512</v>
      </c>
      <c r="D151" s="3" t="s">
        <v>33</v>
      </c>
      <c r="E151" s="3" t="s">
        <v>98</v>
      </c>
      <c r="F151" s="3" t="s">
        <v>80</v>
      </c>
    </row>
    <row r="152" spans="1:6" ht="81" x14ac:dyDescent="0.15">
      <c r="A152" s="3" t="s">
        <v>513</v>
      </c>
      <c r="B152" s="3" t="s">
        <v>514</v>
      </c>
      <c r="C152" s="4" t="s">
        <v>515</v>
      </c>
      <c r="D152" s="3" t="s">
        <v>33</v>
      </c>
      <c r="E152" s="3" t="s">
        <v>98</v>
      </c>
      <c r="F152" s="3" t="s">
        <v>80</v>
      </c>
    </row>
    <row r="153" spans="1:6" ht="94.5" x14ac:dyDescent="0.15">
      <c r="A153" s="3" t="s">
        <v>516</v>
      </c>
      <c r="B153" s="3" t="s">
        <v>517</v>
      </c>
      <c r="C153" s="4" t="s">
        <v>518</v>
      </c>
      <c r="D153" s="3" t="s">
        <v>33</v>
      </c>
      <c r="E153" s="3" t="s">
        <v>98</v>
      </c>
      <c r="F153" s="3" t="s">
        <v>80</v>
      </c>
    </row>
    <row r="154" spans="1:6" ht="94.5" x14ac:dyDescent="0.15">
      <c r="A154" s="3" t="s">
        <v>519</v>
      </c>
      <c r="B154" s="3" t="s">
        <v>520</v>
      </c>
      <c r="C154" s="4" t="s">
        <v>521</v>
      </c>
      <c r="D154" s="3" t="s">
        <v>33</v>
      </c>
      <c r="E154" s="3" t="s">
        <v>98</v>
      </c>
      <c r="F154" s="3" t="s">
        <v>80</v>
      </c>
    </row>
    <row r="155" spans="1:6" ht="81" x14ac:dyDescent="0.15">
      <c r="A155" s="3" t="s">
        <v>522</v>
      </c>
      <c r="B155" s="3" t="s">
        <v>523</v>
      </c>
      <c r="C155" s="4" t="s">
        <v>524</v>
      </c>
      <c r="D155" s="3" t="s">
        <v>33</v>
      </c>
      <c r="E155" s="3" t="s">
        <v>98</v>
      </c>
      <c r="F155" s="3" t="s">
        <v>80</v>
      </c>
    </row>
    <row r="156" spans="1:6" ht="108" x14ac:dyDescent="0.15">
      <c r="A156" s="3" t="s">
        <v>525</v>
      </c>
      <c r="B156" s="3" t="s">
        <v>526</v>
      </c>
      <c r="C156" s="4" t="s">
        <v>527</v>
      </c>
      <c r="D156" s="3" t="s">
        <v>33</v>
      </c>
      <c r="E156" s="3" t="s">
        <v>98</v>
      </c>
      <c r="F156" s="3" t="s">
        <v>80</v>
      </c>
    </row>
    <row r="157" spans="1:6" ht="94.5" x14ac:dyDescent="0.15">
      <c r="A157" s="3" t="s">
        <v>528</v>
      </c>
      <c r="B157" s="3" t="s">
        <v>529</v>
      </c>
      <c r="C157" s="4" t="s">
        <v>530</v>
      </c>
      <c r="D157" s="3" t="s">
        <v>33</v>
      </c>
      <c r="E157" s="3" t="s">
        <v>98</v>
      </c>
      <c r="F157" s="3" t="s">
        <v>80</v>
      </c>
    </row>
    <row r="158" spans="1:6" ht="67.5" x14ac:dyDescent="0.15">
      <c r="A158" s="3" t="s">
        <v>531</v>
      </c>
      <c r="B158" s="3" t="s">
        <v>532</v>
      </c>
      <c r="C158" s="4" t="s">
        <v>533</v>
      </c>
      <c r="D158" s="3" t="s">
        <v>33</v>
      </c>
      <c r="E158" s="3" t="s">
        <v>98</v>
      </c>
      <c r="F158" s="3" t="s">
        <v>80</v>
      </c>
    </row>
    <row r="159" spans="1:6" ht="94.5" x14ac:dyDescent="0.15">
      <c r="A159" s="3" t="s">
        <v>534</v>
      </c>
      <c r="B159" s="3" t="s">
        <v>535</v>
      </c>
      <c r="C159" s="4" t="s">
        <v>536</v>
      </c>
      <c r="D159" s="3" t="s">
        <v>33</v>
      </c>
      <c r="E159" s="3" t="s">
        <v>98</v>
      </c>
      <c r="F159" s="3" t="s">
        <v>80</v>
      </c>
    </row>
    <row r="160" spans="1:6" ht="67.5" x14ac:dyDescent="0.15">
      <c r="A160" s="3" t="s">
        <v>537</v>
      </c>
      <c r="B160" s="3" t="s">
        <v>538</v>
      </c>
      <c r="C160" s="4" t="s">
        <v>539</v>
      </c>
      <c r="D160" s="3" t="s">
        <v>33</v>
      </c>
      <c r="E160" s="3" t="s">
        <v>98</v>
      </c>
      <c r="F160" s="3" t="s">
        <v>80</v>
      </c>
    </row>
    <row r="161" spans="1:6" ht="81" x14ac:dyDescent="0.15">
      <c r="A161" s="3" t="s">
        <v>540</v>
      </c>
      <c r="B161" s="3" t="s">
        <v>541</v>
      </c>
      <c r="C161" s="4" t="s">
        <v>542</v>
      </c>
      <c r="D161" s="3" t="s">
        <v>33</v>
      </c>
      <c r="E161" s="3" t="s">
        <v>98</v>
      </c>
      <c r="F161" s="3" t="s">
        <v>80</v>
      </c>
    </row>
    <row r="162" spans="1:6" ht="108" x14ac:dyDescent="0.15">
      <c r="A162" s="3" t="s">
        <v>543</v>
      </c>
      <c r="B162" s="3" t="s">
        <v>544</v>
      </c>
      <c r="C162" s="4" t="s">
        <v>545</v>
      </c>
      <c r="D162" s="3" t="s">
        <v>33</v>
      </c>
      <c r="E162" s="3" t="s">
        <v>98</v>
      </c>
      <c r="F162" s="3" t="s">
        <v>80</v>
      </c>
    </row>
    <row r="163" spans="1:6" ht="67.5" x14ac:dyDescent="0.15">
      <c r="A163" s="3" t="s">
        <v>546</v>
      </c>
      <c r="B163" s="3" t="s">
        <v>547</v>
      </c>
      <c r="C163" s="4" t="s">
        <v>548</v>
      </c>
      <c r="D163" s="3" t="s">
        <v>33</v>
      </c>
      <c r="E163" s="3" t="s">
        <v>98</v>
      </c>
      <c r="F163" s="3" t="s">
        <v>72</v>
      </c>
    </row>
    <row r="164" spans="1:6" ht="81" x14ac:dyDescent="0.15">
      <c r="A164" s="3" t="s">
        <v>549</v>
      </c>
      <c r="B164" s="3" t="s">
        <v>550</v>
      </c>
      <c r="C164" s="4" t="s">
        <v>551</v>
      </c>
      <c r="D164" s="3" t="s">
        <v>33</v>
      </c>
      <c r="E164" s="3" t="s">
        <v>98</v>
      </c>
      <c r="F164" s="3" t="s">
        <v>80</v>
      </c>
    </row>
    <row r="165" spans="1:6" ht="121.5" x14ac:dyDescent="0.15">
      <c r="A165" s="3" t="s">
        <v>552</v>
      </c>
      <c r="B165" s="3" t="s">
        <v>553</v>
      </c>
      <c r="C165" s="4" t="s">
        <v>554</v>
      </c>
      <c r="D165" s="3" t="s">
        <v>33</v>
      </c>
      <c r="E165" s="3" t="s">
        <v>98</v>
      </c>
      <c r="F165" s="3" t="s">
        <v>80</v>
      </c>
    </row>
    <row r="166" spans="1:6" ht="54" x14ac:dyDescent="0.15">
      <c r="A166" s="3" t="s">
        <v>555</v>
      </c>
      <c r="B166" s="3" t="s">
        <v>556</v>
      </c>
      <c r="C166" s="4" t="s">
        <v>557</v>
      </c>
      <c r="D166" s="3" t="s">
        <v>33</v>
      </c>
      <c r="E166" s="3" t="s">
        <v>98</v>
      </c>
      <c r="F166" s="3" t="s">
        <v>80</v>
      </c>
    </row>
    <row r="167" spans="1:6" ht="108" x14ac:dyDescent="0.15">
      <c r="A167" s="3" t="s">
        <v>558</v>
      </c>
      <c r="B167" s="3" t="s">
        <v>559</v>
      </c>
      <c r="C167" s="4" t="s">
        <v>560</v>
      </c>
      <c r="D167" s="3" t="s">
        <v>33</v>
      </c>
      <c r="E167" s="3" t="s">
        <v>98</v>
      </c>
      <c r="F167" s="3" t="s">
        <v>80</v>
      </c>
    </row>
    <row r="168" spans="1:6" ht="81" x14ac:dyDescent="0.15">
      <c r="A168" s="3" t="s">
        <v>561</v>
      </c>
      <c r="B168" s="3" t="s">
        <v>562</v>
      </c>
      <c r="C168" s="4" t="s">
        <v>563</v>
      </c>
      <c r="D168" s="3" t="s">
        <v>33</v>
      </c>
      <c r="E168" s="3" t="s">
        <v>98</v>
      </c>
      <c r="F168" s="3" t="s">
        <v>80</v>
      </c>
    </row>
    <row r="169" spans="1:6" ht="94.5" x14ac:dyDescent="0.15">
      <c r="A169" s="3" t="s">
        <v>564</v>
      </c>
      <c r="B169" s="3" t="s">
        <v>565</v>
      </c>
      <c r="C169" s="4" t="s">
        <v>566</v>
      </c>
      <c r="D169" s="3" t="s">
        <v>33</v>
      </c>
      <c r="E169" s="3" t="s">
        <v>98</v>
      </c>
      <c r="F169" s="3" t="s">
        <v>80</v>
      </c>
    </row>
    <row r="170" spans="1:6" ht="94.5" x14ac:dyDescent="0.15">
      <c r="A170" s="3" t="s">
        <v>567</v>
      </c>
      <c r="B170" s="3" t="s">
        <v>568</v>
      </c>
      <c r="C170" s="4" t="s">
        <v>569</v>
      </c>
      <c r="D170" s="3" t="s">
        <v>33</v>
      </c>
      <c r="E170" s="3" t="s">
        <v>98</v>
      </c>
      <c r="F170" s="3" t="s">
        <v>80</v>
      </c>
    </row>
    <row r="171" spans="1:6" ht="108" x14ac:dyDescent="0.15">
      <c r="A171" s="3" t="s">
        <v>570</v>
      </c>
      <c r="B171" s="3" t="s">
        <v>571</v>
      </c>
      <c r="C171" s="4" t="s">
        <v>572</v>
      </c>
      <c r="D171" s="3" t="s">
        <v>33</v>
      </c>
      <c r="E171" s="3" t="s">
        <v>98</v>
      </c>
      <c r="F171" s="3" t="s">
        <v>80</v>
      </c>
    </row>
    <row r="172" spans="1:6" ht="108" x14ac:dyDescent="0.15">
      <c r="A172" s="3" t="s">
        <v>573</v>
      </c>
      <c r="B172" s="3" t="s">
        <v>574</v>
      </c>
      <c r="C172" s="4" t="s">
        <v>575</v>
      </c>
      <c r="D172" s="3" t="s">
        <v>33</v>
      </c>
      <c r="E172" s="3" t="s">
        <v>98</v>
      </c>
      <c r="F172" s="3" t="s">
        <v>80</v>
      </c>
    </row>
    <row r="173" spans="1:6" ht="94.5" x14ac:dyDescent="0.15">
      <c r="A173" s="3" t="s">
        <v>576</v>
      </c>
      <c r="B173" s="3" t="s">
        <v>577</v>
      </c>
      <c r="C173" s="4" t="s">
        <v>578</v>
      </c>
      <c r="D173" s="3" t="s">
        <v>33</v>
      </c>
      <c r="E173" s="3" t="s">
        <v>98</v>
      </c>
      <c r="F173" s="3" t="s">
        <v>80</v>
      </c>
    </row>
    <row r="174" spans="1:6" ht="81" x14ac:dyDescent="0.15">
      <c r="A174" s="3" t="s">
        <v>579</v>
      </c>
      <c r="B174" s="3" t="s">
        <v>580</v>
      </c>
      <c r="C174" s="4" t="s">
        <v>581</v>
      </c>
      <c r="D174" s="3" t="s">
        <v>33</v>
      </c>
      <c r="E174" s="3" t="s">
        <v>98</v>
      </c>
      <c r="F174" s="3" t="s">
        <v>80</v>
      </c>
    </row>
    <row r="175" spans="1:6" ht="81" x14ac:dyDescent="0.15">
      <c r="A175" s="3" t="s">
        <v>582</v>
      </c>
      <c r="B175" s="3" t="s">
        <v>583</v>
      </c>
      <c r="C175" s="4" t="s">
        <v>584</v>
      </c>
      <c r="D175" s="3" t="s">
        <v>33</v>
      </c>
      <c r="E175" s="3" t="s">
        <v>98</v>
      </c>
      <c r="F175" s="3" t="s">
        <v>80</v>
      </c>
    </row>
    <row r="176" spans="1:6" ht="67.5" x14ac:dyDescent="0.15">
      <c r="A176" s="3" t="s">
        <v>585</v>
      </c>
      <c r="B176" s="3" t="s">
        <v>586</v>
      </c>
      <c r="C176" s="4" t="s">
        <v>587</v>
      </c>
      <c r="D176" s="3" t="s">
        <v>33</v>
      </c>
      <c r="E176" s="3" t="s">
        <v>98</v>
      </c>
      <c r="F176" s="3" t="s">
        <v>80</v>
      </c>
    </row>
    <row r="177" spans="1:6" ht="94.5" x14ac:dyDescent="0.15">
      <c r="A177" s="3" t="s">
        <v>588</v>
      </c>
      <c r="B177" s="3" t="s">
        <v>589</v>
      </c>
      <c r="C177" s="4" t="s">
        <v>590</v>
      </c>
      <c r="D177" s="3" t="s">
        <v>33</v>
      </c>
      <c r="E177" s="3" t="s">
        <v>98</v>
      </c>
      <c r="F177" s="3" t="s">
        <v>80</v>
      </c>
    </row>
    <row r="178" spans="1:6" ht="67.5" x14ac:dyDescent="0.15">
      <c r="A178" s="3" t="s">
        <v>591</v>
      </c>
      <c r="B178" s="3" t="s">
        <v>592</v>
      </c>
      <c r="C178" s="4" t="s">
        <v>593</v>
      </c>
      <c r="D178" s="3" t="s">
        <v>33</v>
      </c>
      <c r="E178" s="3" t="s">
        <v>98</v>
      </c>
      <c r="F178" s="3" t="s">
        <v>80</v>
      </c>
    </row>
    <row r="179" spans="1:6" ht="94.5" x14ac:dyDescent="0.15">
      <c r="A179" s="3" t="s">
        <v>594</v>
      </c>
      <c r="B179" s="3" t="s">
        <v>595</v>
      </c>
      <c r="C179" s="4" t="s">
        <v>596</v>
      </c>
      <c r="D179" s="3" t="s">
        <v>33</v>
      </c>
      <c r="E179" s="3" t="s">
        <v>98</v>
      </c>
      <c r="F179" s="3" t="s">
        <v>80</v>
      </c>
    </row>
    <row r="180" spans="1:6" ht="81" x14ac:dyDescent="0.15">
      <c r="A180" s="3" t="s">
        <v>597</v>
      </c>
      <c r="B180" s="3" t="s">
        <v>598</v>
      </c>
      <c r="C180" s="4" t="s">
        <v>599</v>
      </c>
      <c r="D180" s="3" t="s">
        <v>33</v>
      </c>
      <c r="E180" s="3" t="s">
        <v>98</v>
      </c>
      <c r="F180" s="3" t="s">
        <v>80</v>
      </c>
    </row>
    <row r="181" spans="1:6" ht="121.5" x14ac:dyDescent="0.15">
      <c r="A181" s="3" t="s">
        <v>600</v>
      </c>
      <c r="B181" s="3" t="s">
        <v>601</v>
      </c>
      <c r="C181" s="4" t="s">
        <v>602</v>
      </c>
      <c r="D181" s="3" t="s">
        <v>33</v>
      </c>
      <c r="E181" s="3" t="s">
        <v>98</v>
      </c>
      <c r="F181" s="3" t="s">
        <v>80</v>
      </c>
    </row>
    <row r="182" spans="1:6" ht="67.5" x14ac:dyDescent="0.15">
      <c r="A182" s="3" t="s">
        <v>603</v>
      </c>
      <c r="B182" s="3" t="s">
        <v>604</v>
      </c>
      <c r="C182" s="4" t="s">
        <v>605</v>
      </c>
      <c r="D182" s="3" t="s">
        <v>33</v>
      </c>
      <c r="E182" s="3" t="s">
        <v>98</v>
      </c>
      <c r="F182" s="3" t="s">
        <v>80</v>
      </c>
    </row>
    <row r="183" spans="1:6" ht="67.5" x14ac:dyDescent="0.15">
      <c r="A183" s="3" t="s">
        <v>606</v>
      </c>
      <c r="B183" s="3" t="s">
        <v>607</v>
      </c>
      <c r="C183" s="4" t="s">
        <v>608</v>
      </c>
      <c r="D183" s="3" t="s">
        <v>33</v>
      </c>
      <c r="E183" s="3" t="s">
        <v>98</v>
      </c>
      <c r="F183" s="3" t="s">
        <v>80</v>
      </c>
    </row>
    <row r="184" spans="1:6" ht="67.5" x14ac:dyDescent="0.15">
      <c r="A184" s="3" t="s">
        <v>609</v>
      </c>
      <c r="B184" s="3" t="s">
        <v>610</v>
      </c>
      <c r="C184" s="4" t="s">
        <v>611</v>
      </c>
      <c r="D184" s="3" t="s">
        <v>33</v>
      </c>
      <c r="E184" s="3" t="s">
        <v>98</v>
      </c>
      <c r="F184" s="3" t="s">
        <v>80</v>
      </c>
    </row>
    <row r="185" spans="1:6" ht="94.5" x14ac:dyDescent="0.15">
      <c r="A185" s="3" t="s">
        <v>612</v>
      </c>
      <c r="B185" s="3" t="s">
        <v>613</v>
      </c>
      <c r="C185" s="4" t="s">
        <v>614</v>
      </c>
      <c r="D185" s="3" t="s">
        <v>33</v>
      </c>
      <c r="E185" s="3" t="s">
        <v>98</v>
      </c>
      <c r="F185" s="3" t="s">
        <v>80</v>
      </c>
    </row>
    <row r="186" spans="1:6" ht="108" x14ac:dyDescent="0.15">
      <c r="A186" s="3" t="s">
        <v>615</v>
      </c>
      <c r="B186" s="3" t="s">
        <v>616</v>
      </c>
      <c r="C186" s="4" t="s">
        <v>617</v>
      </c>
      <c r="D186" s="3" t="s">
        <v>33</v>
      </c>
      <c r="E186" s="3" t="s">
        <v>98</v>
      </c>
      <c r="F186" s="3" t="s">
        <v>80</v>
      </c>
    </row>
    <row r="187" spans="1:6" ht="81" x14ac:dyDescent="0.15">
      <c r="A187" s="3" t="s">
        <v>618</v>
      </c>
      <c r="B187" s="3" t="s">
        <v>619</v>
      </c>
      <c r="C187" s="4" t="s">
        <v>620</v>
      </c>
      <c r="D187" s="3" t="s">
        <v>33</v>
      </c>
      <c r="E187" s="3" t="s">
        <v>98</v>
      </c>
      <c r="F187" s="3" t="s">
        <v>80</v>
      </c>
    </row>
    <row r="188" spans="1:6" ht="67.5" x14ac:dyDescent="0.15">
      <c r="A188" s="3" t="s">
        <v>621</v>
      </c>
      <c r="B188" s="3" t="s">
        <v>622</v>
      </c>
      <c r="C188" s="4" t="s">
        <v>623</v>
      </c>
      <c r="D188" s="3" t="s">
        <v>33</v>
      </c>
      <c r="E188" s="3" t="s">
        <v>98</v>
      </c>
      <c r="F188" s="3" t="s">
        <v>80</v>
      </c>
    </row>
    <row r="189" spans="1:6" ht="108" x14ac:dyDescent="0.15">
      <c r="A189" s="3" t="s">
        <v>624</v>
      </c>
      <c r="B189" s="3" t="s">
        <v>625</v>
      </c>
      <c r="C189" s="4" t="s">
        <v>626</v>
      </c>
      <c r="D189" s="3" t="s">
        <v>33</v>
      </c>
      <c r="E189" s="3" t="s">
        <v>98</v>
      </c>
      <c r="F189" s="3" t="s">
        <v>80</v>
      </c>
    </row>
    <row r="190" spans="1:6" ht="81" x14ac:dyDescent="0.15">
      <c r="A190" s="3" t="s">
        <v>627</v>
      </c>
      <c r="B190" s="3" t="s">
        <v>628</v>
      </c>
      <c r="C190" s="4" t="s">
        <v>629</v>
      </c>
      <c r="D190" s="3" t="s">
        <v>33</v>
      </c>
      <c r="E190" s="3" t="s">
        <v>98</v>
      </c>
      <c r="F190" s="3" t="s">
        <v>80</v>
      </c>
    </row>
    <row r="191" spans="1:6" ht="81" x14ac:dyDescent="0.15">
      <c r="A191" s="3" t="s">
        <v>630</v>
      </c>
      <c r="B191" s="3" t="s">
        <v>631</v>
      </c>
      <c r="C191" s="4" t="s">
        <v>632</v>
      </c>
      <c r="D191" s="3" t="s">
        <v>33</v>
      </c>
      <c r="E191" s="3" t="s">
        <v>98</v>
      </c>
      <c r="F191" s="3" t="s">
        <v>80</v>
      </c>
    </row>
    <row r="192" spans="1:6" ht="94.5" x14ac:dyDescent="0.15">
      <c r="A192" s="3" t="s">
        <v>633</v>
      </c>
      <c r="B192" s="3" t="s">
        <v>634</v>
      </c>
      <c r="C192" s="4" t="s">
        <v>635</v>
      </c>
      <c r="D192" s="3" t="s">
        <v>33</v>
      </c>
      <c r="E192" s="3" t="s">
        <v>98</v>
      </c>
      <c r="F192" s="3" t="s">
        <v>80</v>
      </c>
    </row>
    <row r="193" spans="1:6" ht="81" x14ac:dyDescent="0.15">
      <c r="A193" s="3" t="s">
        <v>636</v>
      </c>
      <c r="B193" s="3" t="s">
        <v>637</v>
      </c>
      <c r="C193" s="4" t="s">
        <v>638</v>
      </c>
      <c r="D193" s="3" t="s">
        <v>33</v>
      </c>
      <c r="E193" s="3" t="s">
        <v>98</v>
      </c>
      <c r="F193" s="3" t="s">
        <v>80</v>
      </c>
    </row>
    <row r="194" spans="1:6" ht="81" x14ac:dyDescent="0.15">
      <c r="A194" s="3" t="s">
        <v>639</v>
      </c>
      <c r="B194" s="3" t="s">
        <v>640</v>
      </c>
      <c r="C194" s="4" t="s">
        <v>641</v>
      </c>
      <c r="D194" s="3" t="s">
        <v>33</v>
      </c>
      <c r="E194" s="3" t="s">
        <v>98</v>
      </c>
      <c r="F194" s="3" t="s">
        <v>80</v>
      </c>
    </row>
    <row r="195" spans="1:6" ht="94.5" x14ac:dyDescent="0.15">
      <c r="A195" s="3" t="s">
        <v>642</v>
      </c>
      <c r="B195" s="3" t="s">
        <v>643</v>
      </c>
      <c r="C195" s="4" t="s">
        <v>644</v>
      </c>
      <c r="D195" s="3" t="s">
        <v>33</v>
      </c>
      <c r="E195" s="3" t="s">
        <v>98</v>
      </c>
      <c r="F195" s="3" t="s">
        <v>80</v>
      </c>
    </row>
    <row r="196" spans="1:6" ht="108" x14ac:dyDescent="0.15">
      <c r="A196" s="3" t="s">
        <v>645</v>
      </c>
      <c r="B196" s="3" t="s">
        <v>646</v>
      </c>
      <c r="C196" s="4" t="s">
        <v>647</v>
      </c>
      <c r="D196" s="3" t="s">
        <v>33</v>
      </c>
      <c r="E196" s="3" t="s">
        <v>98</v>
      </c>
      <c r="F196" s="3" t="s">
        <v>80</v>
      </c>
    </row>
    <row r="197" spans="1:6" ht="67.5" x14ac:dyDescent="0.15">
      <c r="A197" s="3" t="s">
        <v>648</v>
      </c>
      <c r="B197" s="3" t="s">
        <v>649</v>
      </c>
      <c r="C197" s="4" t="s">
        <v>650</v>
      </c>
      <c r="D197" s="3" t="s">
        <v>33</v>
      </c>
      <c r="E197" s="3" t="s">
        <v>98</v>
      </c>
      <c r="F197" s="3" t="s">
        <v>80</v>
      </c>
    </row>
    <row r="198" spans="1:6" ht="40.5" x14ac:dyDescent="0.15">
      <c r="A198" s="3" t="s">
        <v>651</v>
      </c>
      <c r="B198" s="3" t="s">
        <v>652</v>
      </c>
      <c r="C198" s="4" t="s">
        <v>653</v>
      </c>
      <c r="D198" s="3" t="s">
        <v>33</v>
      </c>
      <c r="E198" s="3" t="s">
        <v>98</v>
      </c>
      <c r="F198" s="3" t="s">
        <v>80</v>
      </c>
    </row>
    <row r="199" spans="1:6" ht="108" x14ac:dyDescent="0.15">
      <c r="A199" s="3" t="s">
        <v>654</v>
      </c>
      <c r="B199" s="3" t="s">
        <v>655</v>
      </c>
      <c r="C199" s="4" t="s">
        <v>656</v>
      </c>
      <c r="D199" s="3" t="s">
        <v>33</v>
      </c>
      <c r="E199" s="3" t="s">
        <v>98</v>
      </c>
      <c r="F199" s="3" t="s">
        <v>80</v>
      </c>
    </row>
    <row r="200" spans="1:6" ht="67.5" x14ac:dyDescent="0.15">
      <c r="A200" s="3" t="s">
        <v>657</v>
      </c>
      <c r="B200" s="3" t="s">
        <v>658</v>
      </c>
      <c r="C200" s="4" t="s">
        <v>659</v>
      </c>
      <c r="D200" s="3" t="s">
        <v>33</v>
      </c>
      <c r="E200" s="3" t="s">
        <v>98</v>
      </c>
      <c r="F200" s="3" t="s">
        <v>80</v>
      </c>
    </row>
    <row r="201" spans="1:6" ht="108" x14ac:dyDescent="0.15">
      <c r="A201" s="3" t="s">
        <v>660</v>
      </c>
      <c r="B201" s="3" t="s">
        <v>661</v>
      </c>
      <c r="C201" s="4" t="s">
        <v>662</v>
      </c>
      <c r="D201" s="3" t="s">
        <v>33</v>
      </c>
      <c r="E201" s="3" t="s">
        <v>98</v>
      </c>
      <c r="F201" s="3" t="s">
        <v>80</v>
      </c>
    </row>
    <row r="202" spans="1:6" ht="108" x14ac:dyDescent="0.15">
      <c r="A202" s="3" t="s">
        <v>663</v>
      </c>
      <c r="B202" s="3" t="s">
        <v>664</v>
      </c>
      <c r="C202" s="4" t="s">
        <v>665</v>
      </c>
      <c r="D202" s="3" t="s">
        <v>33</v>
      </c>
      <c r="E202" s="3" t="s">
        <v>98</v>
      </c>
      <c r="F202" s="3" t="s">
        <v>80</v>
      </c>
    </row>
    <row r="203" spans="1:6" ht="108" x14ac:dyDescent="0.15">
      <c r="A203" s="3" t="s">
        <v>666</v>
      </c>
      <c r="B203" s="3" t="s">
        <v>667</v>
      </c>
      <c r="C203" s="4" t="s">
        <v>668</v>
      </c>
      <c r="D203" s="3" t="s">
        <v>33</v>
      </c>
      <c r="E203" s="3" t="s">
        <v>98</v>
      </c>
      <c r="F203" s="3" t="s">
        <v>80</v>
      </c>
    </row>
    <row r="204" spans="1:6" ht="108" x14ac:dyDescent="0.15">
      <c r="A204" s="3" t="s">
        <v>669</v>
      </c>
      <c r="B204" s="3" t="s">
        <v>670</v>
      </c>
      <c r="C204" s="4" t="s">
        <v>671</v>
      </c>
      <c r="D204" s="3" t="s">
        <v>33</v>
      </c>
      <c r="E204" s="3" t="s">
        <v>98</v>
      </c>
      <c r="F204" s="3" t="s">
        <v>80</v>
      </c>
    </row>
    <row r="205" spans="1:6" ht="94.5" x14ac:dyDescent="0.15">
      <c r="A205" s="3" t="s">
        <v>672</v>
      </c>
      <c r="B205" s="3" t="s">
        <v>673</v>
      </c>
      <c r="C205" s="4" t="s">
        <v>674</v>
      </c>
      <c r="D205" s="3" t="s">
        <v>33</v>
      </c>
      <c r="E205" s="3" t="s">
        <v>98</v>
      </c>
      <c r="F205" s="3" t="s">
        <v>80</v>
      </c>
    </row>
    <row r="206" spans="1:6" ht="135" x14ac:dyDescent="0.15">
      <c r="A206" s="3" t="s">
        <v>675</v>
      </c>
      <c r="B206" s="3" t="s">
        <v>676</v>
      </c>
      <c r="C206" s="4" t="s">
        <v>677</v>
      </c>
      <c r="D206" s="3" t="s">
        <v>33</v>
      </c>
      <c r="E206" s="3" t="s">
        <v>98</v>
      </c>
      <c r="F206" s="3" t="s">
        <v>80</v>
      </c>
    </row>
    <row r="207" spans="1:6" ht="81" x14ac:dyDescent="0.15">
      <c r="A207" s="3" t="s">
        <v>678</v>
      </c>
      <c r="B207" s="3" t="s">
        <v>679</v>
      </c>
      <c r="C207" s="4" t="s">
        <v>680</v>
      </c>
      <c r="D207" s="3" t="s">
        <v>33</v>
      </c>
      <c r="E207" s="3" t="s">
        <v>98</v>
      </c>
      <c r="F207" s="3" t="s">
        <v>80</v>
      </c>
    </row>
    <row r="208" spans="1:6" ht="94.5" x14ac:dyDescent="0.15">
      <c r="A208" s="3" t="s">
        <v>681</v>
      </c>
      <c r="B208" s="3" t="s">
        <v>682</v>
      </c>
      <c r="C208" s="4" t="s">
        <v>683</v>
      </c>
      <c r="D208" s="3" t="s">
        <v>33</v>
      </c>
      <c r="E208" s="3" t="s">
        <v>98</v>
      </c>
      <c r="F208" s="3" t="s">
        <v>80</v>
      </c>
    </row>
    <row r="209" spans="1:6" ht="94.5" x14ac:dyDescent="0.15">
      <c r="A209" s="3" t="s">
        <v>684</v>
      </c>
      <c r="B209" s="3" t="s">
        <v>685</v>
      </c>
      <c r="C209" s="4" t="s">
        <v>686</v>
      </c>
      <c r="D209" s="3" t="s">
        <v>33</v>
      </c>
      <c r="E209" s="3" t="s">
        <v>98</v>
      </c>
      <c r="F209" s="3" t="s">
        <v>80</v>
      </c>
    </row>
    <row r="210" spans="1:6" ht="94.5" x14ac:dyDescent="0.15">
      <c r="A210" s="3" t="s">
        <v>687</v>
      </c>
      <c r="B210" s="3" t="s">
        <v>688</v>
      </c>
      <c r="C210" s="4" t="s">
        <v>689</v>
      </c>
      <c r="D210" s="3" t="s">
        <v>33</v>
      </c>
      <c r="E210" s="3" t="s">
        <v>98</v>
      </c>
      <c r="F210" s="3" t="s">
        <v>80</v>
      </c>
    </row>
    <row r="211" spans="1:6" ht="121.5" x14ac:dyDescent="0.15">
      <c r="A211" s="3" t="s">
        <v>690</v>
      </c>
      <c r="B211" s="3" t="s">
        <v>691</v>
      </c>
      <c r="C211" s="4" t="s">
        <v>692</v>
      </c>
      <c r="D211" s="3" t="s">
        <v>33</v>
      </c>
      <c r="E211" s="3" t="s">
        <v>98</v>
      </c>
      <c r="F211" s="3" t="s">
        <v>80</v>
      </c>
    </row>
    <row r="212" spans="1:6" ht="94.5" x14ac:dyDescent="0.15">
      <c r="A212" s="3" t="s">
        <v>693</v>
      </c>
      <c r="B212" s="3" t="s">
        <v>694</v>
      </c>
      <c r="C212" s="4" t="s">
        <v>695</v>
      </c>
      <c r="D212" s="3" t="s">
        <v>33</v>
      </c>
      <c r="E212" s="3" t="s">
        <v>98</v>
      </c>
      <c r="F212" s="3" t="s">
        <v>80</v>
      </c>
    </row>
    <row r="213" spans="1:6" ht="67.5" x14ac:dyDescent="0.15">
      <c r="A213" s="3" t="s">
        <v>696</v>
      </c>
      <c r="B213" s="3" t="s">
        <v>697</v>
      </c>
      <c r="C213" s="4" t="s">
        <v>698</v>
      </c>
      <c r="D213" s="3" t="s">
        <v>33</v>
      </c>
      <c r="E213" s="3" t="s">
        <v>98</v>
      </c>
      <c r="F213" s="3" t="s">
        <v>80</v>
      </c>
    </row>
    <row r="214" spans="1:6" ht="81" x14ac:dyDescent="0.15">
      <c r="A214" s="3" t="s">
        <v>699</v>
      </c>
      <c r="B214" s="3" t="s">
        <v>700</v>
      </c>
      <c r="C214" s="4" t="s">
        <v>701</v>
      </c>
      <c r="D214" s="3" t="s">
        <v>33</v>
      </c>
      <c r="E214" s="3" t="s">
        <v>98</v>
      </c>
      <c r="F214" s="3" t="s">
        <v>80</v>
      </c>
    </row>
    <row r="215" spans="1:6" ht="81" x14ac:dyDescent="0.15">
      <c r="A215" s="3" t="s">
        <v>702</v>
      </c>
      <c r="B215" s="3" t="s">
        <v>703</v>
      </c>
      <c r="C215" s="4" t="s">
        <v>704</v>
      </c>
      <c r="D215" s="3" t="s">
        <v>33</v>
      </c>
      <c r="E215" s="3" t="s">
        <v>98</v>
      </c>
      <c r="F215" s="3" t="s">
        <v>80</v>
      </c>
    </row>
    <row r="216" spans="1:6" ht="67.5" x14ac:dyDescent="0.15">
      <c r="A216" s="3" t="s">
        <v>705</v>
      </c>
      <c r="B216" s="3" t="s">
        <v>706</v>
      </c>
      <c r="C216" s="4" t="s">
        <v>707</v>
      </c>
      <c r="D216" s="3" t="s">
        <v>33</v>
      </c>
      <c r="E216" s="3" t="s">
        <v>98</v>
      </c>
      <c r="F216" s="3" t="s">
        <v>80</v>
      </c>
    </row>
    <row r="217" spans="1:6" ht="67.5" x14ac:dyDescent="0.15">
      <c r="A217" s="3" t="s">
        <v>708</v>
      </c>
      <c r="B217" s="3" t="s">
        <v>709</v>
      </c>
      <c r="C217" s="4" t="s">
        <v>710</v>
      </c>
      <c r="D217" s="3" t="s">
        <v>33</v>
      </c>
      <c r="E217" s="3" t="s">
        <v>98</v>
      </c>
      <c r="F217" s="3" t="s">
        <v>80</v>
      </c>
    </row>
    <row r="218" spans="1:6" ht="81" x14ac:dyDescent="0.15">
      <c r="A218" s="3" t="s">
        <v>1266</v>
      </c>
      <c r="B218" s="3" t="s">
        <v>1267</v>
      </c>
      <c r="C218" s="4" t="s">
        <v>1268</v>
      </c>
      <c r="D218" s="3" t="s">
        <v>33</v>
      </c>
      <c r="E218" s="3" t="s">
        <v>98</v>
      </c>
      <c r="F218" s="3" t="s">
        <v>72</v>
      </c>
    </row>
    <row r="219" spans="1:6" ht="81" x14ac:dyDescent="0.15">
      <c r="A219" s="3" t="s">
        <v>1269</v>
      </c>
      <c r="B219" s="3" t="s">
        <v>1270</v>
      </c>
      <c r="C219" s="4" t="s">
        <v>1271</v>
      </c>
      <c r="D219" s="3" t="s">
        <v>33</v>
      </c>
      <c r="E219" s="3" t="s">
        <v>98</v>
      </c>
      <c r="F219" s="3" t="s">
        <v>80</v>
      </c>
    </row>
    <row r="220" spans="1:6" ht="67.5" x14ac:dyDescent="0.15">
      <c r="A220" s="3" t="s">
        <v>1272</v>
      </c>
      <c r="B220" s="3" t="s">
        <v>1273</v>
      </c>
      <c r="C220" s="4" t="s">
        <v>1274</v>
      </c>
      <c r="D220" s="3" t="s">
        <v>33</v>
      </c>
      <c r="E220" s="3" t="s">
        <v>98</v>
      </c>
      <c r="F220" s="3" t="s">
        <v>80</v>
      </c>
    </row>
    <row r="221" spans="1:6" ht="67.5" x14ac:dyDescent="0.15">
      <c r="A221" s="3" t="s">
        <v>1275</v>
      </c>
      <c r="B221" s="3" t="s">
        <v>1276</v>
      </c>
      <c r="C221" s="4" t="s">
        <v>1277</v>
      </c>
      <c r="D221" s="3" t="s">
        <v>33</v>
      </c>
      <c r="E221" s="3" t="s">
        <v>98</v>
      </c>
      <c r="F221" s="3" t="s">
        <v>80</v>
      </c>
    </row>
    <row r="222" spans="1:6" ht="94.5" x14ac:dyDescent="0.15">
      <c r="A222" s="3" t="s">
        <v>1278</v>
      </c>
      <c r="B222" s="3" t="s">
        <v>1279</v>
      </c>
      <c r="C222" s="4" t="s">
        <v>1280</v>
      </c>
      <c r="D222" s="3" t="s">
        <v>33</v>
      </c>
      <c r="E222" s="3" t="s">
        <v>98</v>
      </c>
      <c r="F222" s="3" t="s">
        <v>80</v>
      </c>
    </row>
    <row r="223" spans="1:6" ht="81" x14ac:dyDescent="0.15">
      <c r="A223" s="3" t="s">
        <v>1281</v>
      </c>
      <c r="B223" s="3" t="s">
        <v>1282</v>
      </c>
      <c r="C223" s="4" t="s">
        <v>1283</v>
      </c>
      <c r="D223" s="3" t="s">
        <v>33</v>
      </c>
      <c r="E223" s="3" t="s">
        <v>98</v>
      </c>
      <c r="F223" s="3" t="s">
        <v>80</v>
      </c>
    </row>
    <row r="224" spans="1:6" ht="81" x14ac:dyDescent="0.15">
      <c r="A224" s="3" t="s">
        <v>1284</v>
      </c>
      <c r="B224" s="3" t="s">
        <v>1285</v>
      </c>
      <c r="C224" s="4" t="s">
        <v>1286</v>
      </c>
      <c r="D224" s="3" t="s">
        <v>33</v>
      </c>
      <c r="E224" s="3" t="s">
        <v>98</v>
      </c>
      <c r="F224" s="3" t="s">
        <v>80</v>
      </c>
    </row>
    <row r="225" spans="1:6" ht="81" x14ac:dyDescent="0.15">
      <c r="A225" s="3" t="s">
        <v>1287</v>
      </c>
      <c r="B225" s="3" t="s">
        <v>1288</v>
      </c>
      <c r="C225" s="4" t="s">
        <v>1289</v>
      </c>
      <c r="D225" s="3" t="s">
        <v>33</v>
      </c>
      <c r="E225" s="3" t="s">
        <v>98</v>
      </c>
      <c r="F225" s="3" t="s">
        <v>80</v>
      </c>
    </row>
    <row r="226" spans="1:6" ht="94.5" x14ac:dyDescent="0.15">
      <c r="A226" s="3" t="s">
        <v>1290</v>
      </c>
      <c r="B226" s="3" t="s">
        <v>1291</v>
      </c>
      <c r="C226" s="4" t="s">
        <v>1292</v>
      </c>
      <c r="D226" s="3" t="s">
        <v>33</v>
      </c>
      <c r="E226" s="3" t="s">
        <v>98</v>
      </c>
      <c r="F226" s="3" t="s">
        <v>80</v>
      </c>
    </row>
    <row r="227" spans="1:6" x14ac:dyDescent="0.15">
      <c r="A227" s="2"/>
      <c r="B227" s="2"/>
      <c r="C227" s="2"/>
      <c r="D227" s="2"/>
      <c r="E227" s="2"/>
      <c r="F227" s="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7"/>
  <sheetViews>
    <sheetView workbookViewId="0">
      <selection activeCell="A16" sqref="A16"/>
    </sheetView>
  </sheetViews>
  <sheetFormatPr defaultRowHeight="13.5" x14ac:dyDescent="0.15"/>
  <cols>
    <col min="1" max="1" width="25.875" customWidth="1"/>
    <col min="2" max="2" width="15.875" customWidth="1"/>
    <col min="3" max="3" width="10" customWidth="1"/>
    <col min="4" max="4" width="30.375" customWidth="1"/>
  </cols>
  <sheetData>
    <row r="1" spans="1:4" ht="22.5" x14ac:dyDescent="0.25">
      <c r="A1" s="1" t="s">
        <v>1</v>
      </c>
      <c r="B1" s="1"/>
      <c r="C1" s="1"/>
      <c r="D1" s="1"/>
    </row>
    <row r="2" spans="1:4" x14ac:dyDescent="0.15">
      <c r="A2" s="2" t="s">
        <v>2</v>
      </c>
      <c r="B2" s="2" t="s">
        <v>3</v>
      </c>
      <c r="C2" s="2" t="s">
        <v>4</v>
      </c>
      <c r="D2" s="2" t="s">
        <v>11</v>
      </c>
    </row>
    <row r="3" spans="1:4" x14ac:dyDescent="0.15">
      <c r="A3" s="3" t="s">
        <v>985</v>
      </c>
      <c r="B3" s="3" t="s">
        <v>8</v>
      </c>
      <c r="C3" s="3" t="s">
        <v>5</v>
      </c>
      <c r="D3" s="3" t="s">
        <v>1239</v>
      </c>
    </row>
    <row r="4" spans="1:4" s="7" customFormat="1" hidden="1" x14ac:dyDescent="0.15">
      <c r="A4" s="6" t="s">
        <v>1240</v>
      </c>
      <c r="B4" s="6" t="s">
        <v>1241</v>
      </c>
      <c r="C4" s="6" t="s">
        <v>5</v>
      </c>
      <c r="D4" s="6" t="s">
        <v>1242</v>
      </c>
    </row>
    <row r="5" spans="1:4" s="11" customFormat="1" x14ac:dyDescent="0.15">
      <c r="A5" s="10" t="s">
        <v>985</v>
      </c>
      <c r="B5" s="10" t="s">
        <v>1241</v>
      </c>
      <c r="C5" s="10" t="s">
        <v>5</v>
      </c>
      <c r="D5" s="10" t="s">
        <v>1242</v>
      </c>
    </row>
    <row r="6" spans="1:4" s="12" customFormat="1" x14ac:dyDescent="0.15">
      <c r="A6" s="9" t="s">
        <v>985</v>
      </c>
      <c r="B6" s="8" t="s">
        <v>1243</v>
      </c>
      <c r="C6" s="8" t="s">
        <v>1244</v>
      </c>
      <c r="D6" s="8" t="s">
        <v>1245</v>
      </c>
    </row>
    <row r="7" spans="1:4" x14ac:dyDescent="0.15">
      <c r="A7" s="3" t="s">
        <v>80</v>
      </c>
      <c r="B7" s="3" t="s">
        <v>10</v>
      </c>
      <c r="C7" s="3" t="s">
        <v>5</v>
      </c>
      <c r="D7" s="3" t="s">
        <v>1246</v>
      </c>
    </row>
    <row r="8" spans="1:4" s="7" customFormat="1" hidden="1" x14ac:dyDescent="0.15">
      <c r="A8" s="6" t="s">
        <v>1247</v>
      </c>
      <c r="B8" s="6" t="s">
        <v>1248</v>
      </c>
      <c r="C8" s="6" t="s">
        <v>5</v>
      </c>
      <c r="D8" s="6" t="s">
        <v>1249</v>
      </c>
    </row>
    <row r="9" spans="1:4" s="12" customFormat="1" x14ac:dyDescent="0.15">
      <c r="A9" s="8" t="s">
        <v>80</v>
      </c>
      <c r="B9" s="8" t="s">
        <v>1248</v>
      </c>
      <c r="C9" s="8" t="s">
        <v>5</v>
      </c>
      <c r="D9" s="8" t="s">
        <v>1249</v>
      </c>
    </row>
    <row r="10" spans="1:4" s="7" customFormat="1" hidden="1" x14ac:dyDescent="0.15">
      <c r="A10" s="6" t="s">
        <v>1250</v>
      </c>
      <c r="B10" s="6" t="s">
        <v>1251</v>
      </c>
      <c r="C10" s="6" t="s">
        <v>5</v>
      </c>
      <c r="D10" s="6" t="s">
        <v>1252</v>
      </c>
    </row>
    <row r="11" spans="1:4" s="12" customFormat="1" x14ac:dyDescent="0.15">
      <c r="A11" s="8" t="s">
        <v>80</v>
      </c>
      <c r="B11" s="8" t="s">
        <v>1251</v>
      </c>
      <c r="C11" s="8" t="s">
        <v>5</v>
      </c>
      <c r="D11" s="8" t="s">
        <v>1252</v>
      </c>
    </row>
    <row r="12" spans="1:4" s="12" customFormat="1" x14ac:dyDescent="0.15">
      <c r="A12" s="9" t="s">
        <v>80</v>
      </c>
      <c r="B12" s="8" t="s">
        <v>1253</v>
      </c>
      <c r="C12" s="8" t="s">
        <v>1244</v>
      </c>
      <c r="D12" s="8" t="s">
        <v>1254</v>
      </c>
    </row>
    <row r="13" spans="1:4" x14ac:dyDescent="0.15">
      <c r="A13" s="3" t="s">
        <v>72</v>
      </c>
      <c r="B13" s="3" t="s">
        <v>6</v>
      </c>
      <c r="C13" s="3" t="s">
        <v>1244</v>
      </c>
      <c r="D13" s="3" t="s">
        <v>1255</v>
      </c>
    </row>
    <row r="14" spans="1:4" x14ac:dyDescent="0.15">
      <c r="A14" s="3" t="s">
        <v>86</v>
      </c>
      <c r="B14" s="3" t="s">
        <v>7</v>
      </c>
      <c r="C14" s="3" t="s">
        <v>1244</v>
      </c>
      <c r="D14" s="3" t="s">
        <v>1256</v>
      </c>
    </row>
    <row r="15" spans="1:4" x14ac:dyDescent="0.15">
      <c r="A15" s="3" t="s">
        <v>961</v>
      </c>
      <c r="B15" s="3" t="s">
        <v>9</v>
      </c>
      <c r="C15" s="3" t="s">
        <v>1244</v>
      </c>
      <c r="D15" s="3" t="s">
        <v>1257</v>
      </c>
    </row>
    <row r="16" spans="1:4" x14ac:dyDescent="0.15">
      <c r="A16" s="3" t="s">
        <v>963</v>
      </c>
      <c r="B16" s="3" t="s">
        <v>1258</v>
      </c>
      <c r="C16" s="3" t="s">
        <v>1244</v>
      </c>
      <c r="D16" s="3" t="s">
        <v>1259</v>
      </c>
    </row>
    <row r="17" spans="1:4" x14ac:dyDescent="0.15">
      <c r="A17" s="2"/>
      <c r="B17" s="2"/>
      <c r="C17" s="2"/>
      <c r="D17" s="2"/>
    </row>
  </sheetData>
  <phoneticPr fontId="5" type="noConversion"/>
  <pageMargins left="0.7" right="0.7" top="0.75" bottom="0.75" header="0.3" footer="0.3"/>
  <pageSetup paperSize="9" orientation="portrait" horizontalDpi="200" verticalDpi="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4"/>
  <sheetViews>
    <sheetView workbookViewId="0">
      <selection activeCell="P28" sqref="P28"/>
    </sheetView>
  </sheetViews>
  <sheetFormatPr defaultRowHeight="13.5" x14ac:dyDescent="0.15"/>
  <cols>
    <col min="1" max="1" width="43.625" customWidth="1"/>
    <col min="2" max="2" width="15.875" customWidth="1"/>
    <col min="3" max="3" width="30.375" customWidth="1"/>
  </cols>
  <sheetData>
    <row r="1" spans="1:4" ht="22.5" x14ac:dyDescent="0.25">
      <c r="A1" s="1" t="s">
        <v>12</v>
      </c>
      <c r="B1" s="1"/>
      <c r="C1" s="1"/>
    </row>
    <row r="2" spans="1:4" x14ac:dyDescent="0.15">
      <c r="A2" s="2" t="s">
        <v>13</v>
      </c>
      <c r="B2" s="2" t="s">
        <v>3</v>
      </c>
      <c r="C2" s="2" t="s">
        <v>11</v>
      </c>
      <c r="D2" t="s">
        <v>1488</v>
      </c>
    </row>
    <row r="3" spans="1:4" x14ac:dyDescent="0.15">
      <c r="A3" s="3" t="s">
        <v>14</v>
      </c>
      <c r="B3" s="3" t="s">
        <v>8</v>
      </c>
      <c r="C3" s="3" t="s">
        <v>1239</v>
      </c>
      <c r="D3" s="13"/>
    </row>
    <row r="4" spans="1:4" x14ac:dyDescent="0.15">
      <c r="A4" s="3" t="s">
        <v>14</v>
      </c>
      <c r="B4" s="3" t="s">
        <v>10</v>
      </c>
      <c r="C4" s="3" t="s">
        <v>1246</v>
      </c>
      <c r="D4" s="13"/>
    </row>
    <row r="5" spans="1:4" s="7" customFormat="1" x14ac:dyDescent="0.15">
      <c r="A5" s="3" t="s">
        <v>14</v>
      </c>
      <c r="B5" s="3" t="s">
        <v>6</v>
      </c>
      <c r="C5" s="3" t="s">
        <v>1255</v>
      </c>
      <c r="D5" s="13"/>
    </row>
    <row r="6" spans="1:4" x14ac:dyDescent="0.15">
      <c r="A6" s="3" t="s">
        <v>14</v>
      </c>
      <c r="B6" s="3" t="s">
        <v>7</v>
      </c>
      <c r="C6" s="3" t="s">
        <v>1256</v>
      </c>
      <c r="D6" s="13"/>
    </row>
    <row r="7" spans="1:4" x14ac:dyDescent="0.15">
      <c r="A7" s="3" t="s">
        <v>14</v>
      </c>
      <c r="B7" s="3" t="s">
        <v>9</v>
      </c>
      <c r="C7" s="3" t="s">
        <v>1257</v>
      </c>
      <c r="D7" s="13"/>
    </row>
    <row r="8" spans="1:4" x14ac:dyDescent="0.15">
      <c r="A8" s="3" t="s">
        <v>14</v>
      </c>
      <c r="B8" s="3" t="s">
        <v>1262</v>
      </c>
      <c r="C8" s="3" t="s">
        <v>1263</v>
      </c>
      <c r="D8" s="13"/>
    </row>
    <row r="9" spans="1:4" x14ac:dyDescent="0.15">
      <c r="A9" s="3" t="s">
        <v>15</v>
      </c>
      <c r="B9" s="3" t="s">
        <v>7</v>
      </c>
      <c r="C9" s="3" t="s">
        <v>1256</v>
      </c>
      <c r="D9" s="13"/>
    </row>
    <row r="10" spans="1:4" x14ac:dyDescent="0.15">
      <c r="A10" s="3" t="s">
        <v>15</v>
      </c>
      <c r="B10" s="3" t="s">
        <v>9</v>
      </c>
      <c r="C10" s="3" t="s">
        <v>1257</v>
      </c>
      <c r="D10" s="13"/>
    </row>
    <row r="11" spans="1:4" x14ac:dyDescent="0.15">
      <c r="A11" s="16" t="s">
        <v>1264</v>
      </c>
      <c r="B11" s="9" t="s">
        <v>1243</v>
      </c>
      <c r="C11" s="9" t="s">
        <v>1245</v>
      </c>
      <c r="D11" s="16"/>
    </row>
    <row r="12" spans="1:4" x14ac:dyDescent="0.15">
      <c r="A12" s="16" t="s">
        <v>1264</v>
      </c>
      <c r="B12" s="9" t="s">
        <v>1253</v>
      </c>
      <c r="C12" s="17" t="s">
        <v>1254</v>
      </c>
      <c r="D12" s="16"/>
    </row>
    <row r="13" spans="1:4" s="14" customFormat="1" x14ac:dyDescent="0.15">
      <c r="A13" s="9" t="s">
        <v>1487</v>
      </c>
      <c r="B13" s="3" t="s">
        <v>1251</v>
      </c>
      <c r="C13" s="3" t="s">
        <v>1252</v>
      </c>
      <c r="D13" s="13"/>
    </row>
    <row r="14" spans="1:4" s="14" customFormat="1" x14ac:dyDescent="0.15">
      <c r="A14" s="9" t="s">
        <v>1486</v>
      </c>
      <c r="B14" s="8" t="s">
        <v>1248</v>
      </c>
      <c r="C14" s="8" t="s">
        <v>1249</v>
      </c>
      <c r="D14" s="15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tabSelected="1" workbookViewId="0">
      <selection activeCell="A13" sqref="A13:XFD13"/>
    </sheetView>
  </sheetViews>
  <sheetFormatPr defaultRowHeight="13.5" x14ac:dyDescent="0.15"/>
  <cols>
    <col min="1" max="1" width="8.5" customWidth="1"/>
    <col min="2" max="2" width="30.375" customWidth="1"/>
    <col min="3" max="3" width="12.5" customWidth="1"/>
    <col min="4" max="4" width="7.125" customWidth="1"/>
    <col min="5" max="5" width="22.125" customWidth="1"/>
    <col min="6" max="6" width="24.5" customWidth="1"/>
    <col min="7" max="7" width="23" customWidth="1"/>
    <col min="8" max="8" width="28.5" customWidth="1"/>
    <col min="9" max="9" width="22" customWidth="1"/>
    <col min="10" max="10" width="8.5" customWidth="1"/>
  </cols>
  <sheetData>
    <row r="1" spans="1:10" ht="22.5" x14ac:dyDescent="0.25">
      <c r="A1" s="1" t="s">
        <v>16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15">
      <c r="A2" s="2" t="s">
        <v>3</v>
      </c>
      <c r="B2" s="2" t="s">
        <v>11</v>
      </c>
      <c r="C2" s="2" t="s">
        <v>17</v>
      </c>
      <c r="D2" s="2" t="s">
        <v>18</v>
      </c>
      <c r="E2" s="2" t="s">
        <v>19</v>
      </c>
      <c r="F2" s="2" t="s">
        <v>20</v>
      </c>
      <c r="G2" s="2" t="s">
        <v>21</v>
      </c>
      <c r="H2" s="2" t="s">
        <v>22</v>
      </c>
      <c r="I2" s="2" t="s">
        <v>23</v>
      </c>
      <c r="J2" s="2" t="s">
        <v>65</v>
      </c>
    </row>
    <row r="3" spans="1:10" x14ac:dyDescent="0.15">
      <c r="A3" s="3" t="s">
        <v>8</v>
      </c>
      <c r="B3" s="3" t="s">
        <v>1239</v>
      </c>
      <c r="C3" s="3" t="s">
        <v>1260</v>
      </c>
      <c r="D3" s="3" t="s">
        <v>24</v>
      </c>
      <c r="E3" s="3" t="s">
        <v>1261</v>
      </c>
      <c r="F3" s="3" t="s">
        <v>25</v>
      </c>
      <c r="G3" s="3" t="s">
        <v>26</v>
      </c>
      <c r="H3" s="3" t="s">
        <v>27</v>
      </c>
      <c r="I3" s="3" t="s">
        <v>24</v>
      </c>
      <c r="J3" s="5">
        <v>21</v>
      </c>
    </row>
    <row r="4" spans="1:10" s="14" customFormat="1" x14ac:dyDescent="0.15">
      <c r="A4" s="17" t="s">
        <v>1494</v>
      </c>
      <c r="B4" s="9" t="s">
        <v>1492</v>
      </c>
      <c r="C4" s="9" t="s">
        <v>1260</v>
      </c>
      <c r="D4" s="17"/>
      <c r="E4" s="9" t="s">
        <v>1493</v>
      </c>
      <c r="F4" s="9" t="s">
        <v>25</v>
      </c>
      <c r="G4" s="9" t="s">
        <v>26</v>
      </c>
      <c r="H4" s="9" t="s">
        <v>27</v>
      </c>
      <c r="I4" s="17"/>
      <c r="J4" s="18">
        <v>21</v>
      </c>
    </row>
    <row r="5" spans="1:10" x14ac:dyDescent="0.15">
      <c r="A5" s="3" t="s">
        <v>1241</v>
      </c>
      <c r="B5" s="3" t="s">
        <v>1242</v>
      </c>
      <c r="C5" s="3" t="s">
        <v>1260</v>
      </c>
      <c r="D5" s="3" t="s">
        <v>24</v>
      </c>
      <c r="E5" s="3" t="s">
        <v>1261</v>
      </c>
      <c r="F5" s="3" t="s">
        <v>25</v>
      </c>
      <c r="G5" s="3" t="s">
        <v>26</v>
      </c>
      <c r="H5" s="3" t="s">
        <v>27</v>
      </c>
      <c r="I5" s="3" t="s">
        <v>24</v>
      </c>
      <c r="J5" s="5">
        <v>10</v>
      </c>
    </row>
    <row r="6" spans="1:10" x14ac:dyDescent="0.15">
      <c r="A6" s="3" t="s">
        <v>1243</v>
      </c>
      <c r="B6" s="3" t="s">
        <v>1245</v>
      </c>
      <c r="C6" s="3" t="s">
        <v>1260</v>
      </c>
      <c r="D6" s="3" t="s">
        <v>24</v>
      </c>
      <c r="E6" s="3" t="s">
        <v>1261</v>
      </c>
      <c r="F6" s="3" t="s">
        <v>25</v>
      </c>
      <c r="G6" s="3" t="s">
        <v>26</v>
      </c>
      <c r="H6" s="3" t="s">
        <v>27</v>
      </c>
      <c r="I6" s="3" t="s">
        <v>24</v>
      </c>
      <c r="J6" s="5">
        <v>0</v>
      </c>
    </row>
    <row r="7" spans="1:10" x14ac:dyDescent="0.15">
      <c r="A7" s="3" t="s">
        <v>10</v>
      </c>
      <c r="B7" s="3" t="s">
        <v>1246</v>
      </c>
      <c r="C7" s="3" t="s">
        <v>1260</v>
      </c>
      <c r="D7" s="3" t="s">
        <v>24</v>
      </c>
      <c r="E7" s="3" t="s">
        <v>1261</v>
      </c>
      <c r="F7" s="3" t="s">
        <v>25</v>
      </c>
      <c r="G7" s="3" t="s">
        <v>26</v>
      </c>
      <c r="H7" s="3" t="s">
        <v>27</v>
      </c>
      <c r="I7" s="3" t="s">
        <v>24</v>
      </c>
      <c r="J7" s="5">
        <v>21</v>
      </c>
    </row>
    <row r="8" spans="1:10" s="14" customFormat="1" x14ac:dyDescent="0.15">
      <c r="A8" s="9" t="s">
        <v>1495</v>
      </c>
      <c r="B8" s="9" t="s">
        <v>1496</v>
      </c>
      <c r="C8" s="9" t="s">
        <v>1260</v>
      </c>
      <c r="D8" s="9" t="s">
        <v>24</v>
      </c>
      <c r="E8" s="9" t="s">
        <v>1493</v>
      </c>
      <c r="F8" s="9" t="s">
        <v>25</v>
      </c>
      <c r="G8" s="9" t="s">
        <v>26</v>
      </c>
      <c r="H8" s="9" t="s">
        <v>27</v>
      </c>
      <c r="I8" s="9" t="s">
        <v>24</v>
      </c>
      <c r="J8" s="18">
        <v>21</v>
      </c>
    </row>
    <row r="9" spans="1:10" x14ac:dyDescent="0.15">
      <c r="A9" s="3" t="s">
        <v>1248</v>
      </c>
      <c r="B9" s="3" t="s">
        <v>1249</v>
      </c>
      <c r="C9" s="3" t="s">
        <v>1260</v>
      </c>
      <c r="D9" s="3" t="s">
        <v>24</v>
      </c>
      <c r="E9" s="3" t="s">
        <v>1261</v>
      </c>
      <c r="F9" s="3" t="s">
        <v>25</v>
      </c>
      <c r="G9" s="3" t="s">
        <v>26</v>
      </c>
      <c r="H9" s="3" t="s">
        <v>27</v>
      </c>
      <c r="I9" s="3" t="s">
        <v>24</v>
      </c>
      <c r="J9" s="5">
        <v>10</v>
      </c>
    </row>
    <row r="10" spans="1:10" x14ac:dyDescent="0.15">
      <c r="A10" s="3" t="s">
        <v>1251</v>
      </c>
      <c r="B10" s="3" t="s">
        <v>1252</v>
      </c>
      <c r="C10" s="3" t="s">
        <v>1260</v>
      </c>
      <c r="D10" s="3" t="s">
        <v>24</v>
      </c>
      <c r="E10" s="3" t="s">
        <v>1261</v>
      </c>
      <c r="F10" s="3" t="s">
        <v>25</v>
      </c>
      <c r="G10" s="3" t="s">
        <v>26</v>
      </c>
      <c r="H10" s="3" t="s">
        <v>27</v>
      </c>
      <c r="I10" s="3" t="s">
        <v>24</v>
      </c>
      <c r="J10" s="5">
        <v>4</v>
      </c>
    </row>
    <row r="11" spans="1:10" x14ac:dyDescent="0.15">
      <c r="A11" s="3" t="s">
        <v>1253</v>
      </c>
      <c r="B11" s="3" t="s">
        <v>1254</v>
      </c>
      <c r="C11" s="3" t="s">
        <v>1260</v>
      </c>
      <c r="D11" s="3" t="s">
        <v>24</v>
      </c>
      <c r="E11" s="3" t="s">
        <v>1261</v>
      </c>
      <c r="F11" s="3" t="s">
        <v>25</v>
      </c>
      <c r="G11" s="3" t="s">
        <v>26</v>
      </c>
      <c r="H11" s="3" t="s">
        <v>27</v>
      </c>
      <c r="I11" s="3" t="s">
        <v>24</v>
      </c>
      <c r="J11" s="5">
        <v>0</v>
      </c>
    </row>
    <row r="12" spans="1:10" x14ac:dyDescent="0.15">
      <c r="A12" s="3" t="s">
        <v>6</v>
      </c>
      <c r="B12" s="9" t="s">
        <v>1498</v>
      </c>
      <c r="C12" s="3" t="s">
        <v>1260</v>
      </c>
      <c r="D12" s="3" t="s">
        <v>24</v>
      </c>
      <c r="E12" s="9" t="s">
        <v>1490</v>
      </c>
      <c r="F12" s="3" t="s">
        <v>25</v>
      </c>
      <c r="G12" s="3" t="s">
        <v>26</v>
      </c>
      <c r="H12" s="3" t="s">
        <v>27</v>
      </c>
      <c r="I12" s="3" t="s">
        <v>24</v>
      </c>
      <c r="J12" s="5">
        <v>0</v>
      </c>
    </row>
    <row r="13" spans="1:10" s="14" customFormat="1" x14ac:dyDescent="0.15">
      <c r="A13" s="9" t="s">
        <v>1497</v>
      </c>
      <c r="B13" s="9" t="s">
        <v>1499</v>
      </c>
      <c r="C13" s="9" t="s">
        <v>1260</v>
      </c>
      <c r="D13" s="9" t="s">
        <v>24</v>
      </c>
      <c r="E13" s="9" t="s">
        <v>1490</v>
      </c>
      <c r="F13" s="9" t="s">
        <v>25</v>
      </c>
      <c r="G13" s="9" t="s">
        <v>26</v>
      </c>
      <c r="H13" s="9" t="s">
        <v>27</v>
      </c>
      <c r="I13" s="9" t="s">
        <v>24</v>
      </c>
      <c r="J13" s="18">
        <v>0</v>
      </c>
    </row>
    <row r="14" spans="1:10" x14ac:dyDescent="0.15">
      <c r="A14" s="3" t="s">
        <v>7</v>
      </c>
      <c r="B14" s="3" t="s">
        <v>1256</v>
      </c>
      <c r="C14" s="3" t="s">
        <v>1260</v>
      </c>
      <c r="D14" s="3" t="s">
        <v>24</v>
      </c>
      <c r="E14" s="9" t="s">
        <v>1490</v>
      </c>
      <c r="F14" s="3" t="s">
        <v>25</v>
      </c>
      <c r="G14" s="3" t="s">
        <v>26</v>
      </c>
      <c r="H14" s="3" t="s">
        <v>27</v>
      </c>
      <c r="I14" s="3" t="s">
        <v>24</v>
      </c>
      <c r="J14" s="5">
        <v>0</v>
      </c>
    </row>
    <row r="15" spans="1:10" x14ac:dyDescent="0.15">
      <c r="A15" s="3" t="s">
        <v>9</v>
      </c>
      <c r="B15" s="3" t="s">
        <v>1257</v>
      </c>
      <c r="C15" s="3" t="s">
        <v>1260</v>
      </c>
      <c r="D15" s="3" t="s">
        <v>24</v>
      </c>
      <c r="E15" s="9" t="s">
        <v>1489</v>
      </c>
      <c r="F15" s="3" t="s">
        <v>25</v>
      </c>
      <c r="G15" s="3" t="s">
        <v>26</v>
      </c>
      <c r="H15" s="3" t="s">
        <v>27</v>
      </c>
      <c r="I15" s="3" t="s">
        <v>24</v>
      </c>
      <c r="J15" s="5">
        <v>0</v>
      </c>
    </row>
    <row r="16" spans="1:10" x14ac:dyDescent="0.15">
      <c r="A16" s="3" t="s">
        <v>1258</v>
      </c>
      <c r="B16" s="3" t="s">
        <v>1259</v>
      </c>
      <c r="C16" s="3" t="s">
        <v>1260</v>
      </c>
      <c r="D16" s="3" t="s">
        <v>24</v>
      </c>
      <c r="E16" s="9" t="s">
        <v>1489</v>
      </c>
      <c r="F16" s="3" t="s">
        <v>25</v>
      </c>
      <c r="G16" s="3" t="s">
        <v>26</v>
      </c>
      <c r="H16" s="3" t="s">
        <v>27</v>
      </c>
      <c r="I16" s="3" t="s">
        <v>24</v>
      </c>
      <c r="J16" s="5">
        <v>0</v>
      </c>
    </row>
    <row r="17" spans="1:10" x14ac:dyDescent="0.15">
      <c r="A17" s="3" t="s">
        <v>1262</v>
      </c>
      <c r="B17" s="3" t="s">
        <v>1263</v>
      </c>
      <c r="C17" s="3" t="s">
        <v>1260</v>
      </c>
      <c r="D17" s="3" t="s">
        <v>24</v>
      </c>
      <c r="E17" s="9" t="s">
        <v>1491</v>
      </c>
      <c r="F17" s="3" t="s">
        <v>25</v>
      </c>
      <c r="G17" s="3" t="s">
        <v>26</v>
      </c>
      <c r="H17" s="3" t="s">
        <v>27</v>
      </c>
      <c r="I17" s="3" t="s">
        <v>24</v>
      </c>
      <c r="J17" s="5">
        <v>100</v>
      </c>
    </row>
    <row r="18" spans="1:10" x14ac:dyDescent="0.15">
      <c r="A18" s="2"/>
      <c r="B18" s="2"/>
      <c r="C18" s="2"/>
      <c r="D18" s="2"/>
      <c r="E18" s="2"/>
      <c r="F18" s="2"/>
      <c r="G18" s="2"/>
      <c r="H18" s="2"/>
      <c r="I18" s="2"/>
      <c r="J18" s="2"/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N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HVGF4Q29kZQYmAAAADlNhbGVzIHRheCBjb2RlBicAAAAGU3RyaW5nBigAAAAABikAAAAkNDI5ZGJhMGQtZjc4My00MTlkLThjMmUtMDkyMjllYWUxYTYzBdb///8tR2xvYmVTb2Z0d2FyZS5BdGxhczQwLkF0bGFzQ29tbW9uLkFnZ3JlZ2F0aW9uAQAAAAd2YWx1ZV9fAAgOAAAA/////wAAAAAF1f///yxHbG9iZVNvZnR3YXJlLkF0bGFzNDAuQXRsYXNDb21tb24uQ29sdW1uVHlwZQEAAAAHdmFsdWVfXwAIDgAAAAAAAAAF1P///ytHbG9iZVNvZnR3YXJlLkF0bGFzNDAuQXRsYXNDb21tb24uU29ydE9yZGVyAQAAAAd2YWx1ZV9fAAgOAAAAAgAAAAAAAAAABdP///9AR2xvYmVTb2Z0d2FyZS5BdGxhczQwLkF0bGFzQ29tbW9uLlR5cGUuQ29sdW1uK0Nyb3NzVGFiQ29sdW1uVHlwZQEAAAAHdmFsdWVfXwAIDgAAAAAAAAAKAQAAAAAAAAAAAAAAAAAGLgAAACRmYjI1NmQzYi0yOGVkLTQ3NDktYjhlOS01NDYzZWRhZTE1ZDEGLwAAABZUYWJsZS5UYXhUYWJsZS5UYXhDb2RlCgoKCgEVAAAAFAAAAAkwAAAACTEAAAAJMgAAAAYzAAAAB1RheE5hbWUGNAAAAAROYW1lBjUAAAAGU3RyaW5nCSgAAAAGNwAAACRlMzg0MzM5Yi03NjFhLTRmYjEtOTU2Mi03MWJmMzk4OWE3ZGQByP///9b/////////AQAAAAHH////1f///wAAAAABxv///9T///8CAAAAAAAAAAABxf///9P///8AAAAACgEAAAAAAAAAAAEAAAAABjwAAAAkNDdhNzE2MWEtYWQ4My00OGMxLWI3ZGUtY2ZhNDY4MmRhNTZkBj0AAAAWVGFibGUuVGF4VGFibGUuVGF4TmFtZQoKCgoBFgAAABQAAAAJPgAAAAk/AAAACUAAAAAGQQAAAAlUYXhQZXJpb2QGQgAAABFTZXR0bGVtZW50IHBlcmlvZAZDAAAABlN0cmluZwkoAAAABkUAAAAkNDk2ODNkOTEtNzUwMC00ODEzLTg5ODktN2YzZTI4OWI4NzljAbr////W/////////wIAAAABuf///9X///8AAAAAAbj////U////AgAAAAAAAAAAAbf////T////AAAAAAoBAAAAAAAAAAACAAAAAAZKAAAAJGYwMWEyM2FiLWMzZmItNGJjZC1hZWNjLWRmNTg1M2E0MDZkMAZLAAAAGFRhYmxlLlRheFRhYmxlLlRheFBlcmlvZAoKCgoBFwAAABQAAAAJTAAAAAlNAAAACU4AAAAGTwAAAAdUYXhVbml0BlAAAAAEVW5pdAZRAAAABlN0cmluZwkoAAAABlMAAAAkODk1MTU0NzUtZGIzYS00MjQxLWI4NmMtNThlNjE5MjkyZmRhAaz////W/////////wMAAAABq////9X///8AAAAAAar////U////AgAAAAAAAAAAAan////T////AAAAAAoBAAAAAAAAAAADAAAAAAZYAAAAJGNmMmQ4MjE5LWU2N2EtNGE5Ny1hY2U1LTIzNmRhYjBhNjAzZAZZAAAAFlRhYmxlLlRheFRhYmxlLlRheFVuaXQKCgoKARgAAAAUAAAACVoAAAAJWwAAAAlcAAAABl0AAAAPVGF4QWNjb3VudEdyb3VwBl4AAAAUTGVkZ2VyIHBvc3RpbmcgZ3JvdXAGXwAAAAZTdHJpbmcJKAAAAAZhAAAAJDNiMjA3NjMzLTk5ZTYtNDc3YS05NTk0LTA5MDlhYTQ5YTg0OQGe////1v////////8EAAAAAZ3////V////AAAAAAGc////1P///wIAAAAAAAAAAAGb////0////wAAAAAKAQAAAAAAAAAABAAAAAAGZgAAACQxYTVmOWI3MS1kOTc5LTQ5MzMtYjZhNi1mNzNlNGMxYzlhMTYGZwAAAB5UYWJsZS5UYXhUYWJsZS5UYXhBY2NvdW50R3JvdXAKCgoKARkAAAAUAAAACWgAAAAJaQAAAAlqAAAABmsAAAAHVGF4QmFzZQZsAAAABk9yaWdpbgZtAAAABEVudW0JKAAAAAZvAAAAJGNiYzk2OWY1LTMzZWQtNDhlMC1iZjdkLTdkZTFkNDcxMTYwZQGQ////1v////////8FAAAAAY/////V////AAAAAAGO////1P///wIAAAAAAAAAAAGN////0////wAAAAAKAQAAAAAAAAAABQAAAAAGdAAAACQ4OWE4YmJjZC03MzYxLTQ2MDQtOTkxMC1hYWM3ODY3ZGI0MTMGdQAAABZUYWJsZS5UYXhUYWJsZS5UYXhCYXNlCgoKCgEaAAAAFAAAAAl2AAAACXcAAAAJeAAAAAZ5AAAADVRheENhbGNNZXRob2QGegAAABVNZXRob2Qgb2YgY2FsY3VsYXRpb24GewAAAARFbnVtCSgAAAAGfQAAACQyODhkN2U4My04N2NkLTQyYmEtOTc3Ny1kNDM2MWI5ZjFmYjgBgv///9b/////////BgAAAAGB////1f///wAAAAABgP///9T///8CAAAAAAAAAAABf////9P///8AAAAACgEAAAAAAAAAAAYAAAAABoIAAAAkMTdlNDIwMzQtM2ZiYS00OGRiLWFiMmItNjg5OTAwMjMzMTNhBoMAAAAcVGFibGUuVGF4VGFibGUuVGF4Q2FsY01ldGhvZAoKCgoBGwAAABQAAAAJhAAAAAmFAAAACYYAAAAGhwAAAAxUYXhMaW1pdEJhc2UGiAAAAA1NYXJnaW5hbCBiYXNlBokAAAAERW51bQkoAAAABosAAAAkMzk4OGQ1NjItYzU4Yi00Yjg4LWFhYmYtMDMzNTQ1MGI3NmI3AXT////W/////////wcAAAABc////9X///8AAAAAAXL////U////AgAAAAAAAAAAAXH////T////AAAAAAoBAAAAAAAAAAAHAAAAAAaQAAAAJDI5OWI1MzZjLTg1OWEtNDFiNy04YzNmLTcyMTU0YWNkNjczZQaRAAAAG1RhYmxlLlRheFRhYmxlLlRheExpbWl0QmFzZQoKCgoBHAAAABQAAAAJkgAAAAmTAAAACZQAAAAGlQAAAAhUYXhPblRheAaWAAAAFlNhbGVzIHRheCBvbiBzYWxlcyB0YXgGlwAAAAZTdHJpbmcJKAAAAAaZAAAAJGRlMjAzOWM2LWRiOWQtNDMzYy05NjgxLTE0OWRiYzA4MzBjOQFm////1v////////8IAAAAAWX////V////AAAAAAFk////1P///wIAAAAAAAAAAAFj////0////wAAAAAKAQAAAAAAAAAACAAAAAAGngAAACQ0ZmFlYjc0MS0wODAyLTQ2M2YtYjViNC03MTI1NmVjYmQ1MjUGnwAAABdUYWJsZS5UYXhUYWJsZS5UYXhPblRheAoKCgoBHQAAABQAAAAJoAAAAAmhAAAACaIAAAAGowAAAAhUYXhWYWx1ZQakAAAABVZhbHVlBqUAAAAEUmVhbAkoAAAABqcAAAAkMmY4MTNhMmMtZTk1YS00NTA1LWEwZWMtMTVmOTIxNmM3NTE3AVj////W/////////wkAAAABV////9X///8AAAAAAVb////U////AgAAAAAAAAAAAVX////T////AAAAAAoBAAAAAAAAAAAJAAAAAAasAAAAJGZmMDkzNGRkLTdmMTAtNDcwOS1hYWU3LTg3ZGM0NzViYmQ0YQatAAAALVRhYmxlLlRheFRhYmxlLlRheENvZGV+VGFibGUuVGF4RGF0YS5UYXhWYWx1ZQoKCgoFIAAAADhHbG9iZVNvZnR3YXJlLkF0bGFzNDAuQXRsYXNDb21tb25DbGllbnQuUmVwb3J0LlJlZmVyZW5jZQEAAAAKX3JlZmVyZW5jZQcIHgAAAAmuAAAAByEAAAAAAQAAAAQAAAAEPEdsb2JlU29mdHdhcmUuQXRsYXM0MC5BdGxhc0NvbW1vbkNsaWVudC5EYXRhU291cmNlRmllbGRWYWx1ZR4AAAAJrwAAAA0DBCI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bAAAAABAAAAAQAAAAQj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oAAAAJsQAAAAcAAAAJsgAAAAQ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swAAAAcAAAAJtAAAAAEwAAAAIgAAAAm1AAAAAQAAAAEAAAABMQAAACMAAAAZAAAACbEAAAAHAAAACbcAAAABMgAAACQAAAAVAAAACbMAAAAHAAAACbkAAAABPgAAACIAAAAJugAAAAEAAAABAAAAAT8AAAAjAAAAGQAAAAmxAAAABwAAAAm8AAAAAUAAAAAkAAAAFQAAAAmzAAAABwAAAAm+AAAAAUwAAAAiAAAACb8AAAABAAAAAQAAAAFNAAAAIwAAABkAAAAJsQAAAAcAAAAJwQAAAAFOAAAAJAAAABUAAAAJswAAAAcAAAAJwwAAAAFaAAAAIgAAAAnEAAAAAQAAAAEAAAABWwAAACMAAAAZAAAACbEAAAAHAAAACcYAAAABXAAAACQAAAAVAAAACbMAAAAHAAAACcgAAAABaAAAACIAAAAJyQAAAAEAAAABAAAAAWkAAAAjAAAAGQAAAAmxAAAABwAAAAnLAAAAAWoAAAAkAAAAFQAAAAmzAAAABwAAAAnNAAAAAXYAAAAiAAAACc4AAAABAAAAAQAAAAF3AAAAIwAAABkAAAAJsQAAAAcAAAAJ0AAAAAF4AAAAJAAAABUAAAAJswAAAAcAAAAJ0gAAAAGEAAAAIgAAAAnTAAAAAQAAAAEAAAABhQAAACMAAAAZAAAACbEAAAAHAAAACdUAAAABhgAAACQAAAAVAAAACbMAAAAHAAAACdcAAAABkgAAACIAAAAJ2AAAAAEAAAABAAAAAZMAAAAjAAAAGQAAAAmxAAAABwAAAAnaAAAAAZQAAAAkAAAAFQAAAAmzAAAABwAAAAncAAAAAaAAAAAiAAAACd0AAAABAAAAAQAAAAGhAAAAIwAAABEAAAAJ3gAAAAcAAAAJ3wAAAAGiAAAAJAAAAA4AAAAJ4AAAAAcAAAAJ4QAAAA+uAAAAAQAAAAgBAAAABa8AAAA8R2xvYmVTb2Z0d2FyZS5BdGxhczQwLkF0bGFzQ29tbW9uQ2xpZW50LkRhdGFTb3VyY2VGaWVsZFZhbHVlBAAAABJfaXNEcmlsbERvd25GaWx0ZXIGX2RzS2V5Cl9maWVsZG5hbWULX2ZpZWxkVmFsdWUAAQEBAR4AAAAABuIAAAAOVGFibGUuVGF4VGFibGUG4wAAAApEYXRhQXJlYUlkCQYAAAAHsAAAAAABAAAABAAAAAQ3R2xvYmVTb2Z0d2FyZS5BdGxhczQwLkF0bGFzQ29tbW9uLlR5cGUuRmllbGRPdXRwdXRGaWVsZA4AAAAJ5QAAAA0DBL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7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Rn///8yR2xvYmVTb2Z0d2FyZS5BdGxhczQwLkF0bGFzQ29tbW9uLkNvbHVtbkF0dHJpYnV0ZXMBAAAAB3ZhbHVlX18ACA4AAAAGAAAABugAAAAFVG90YWwBF////xr///8BFv///xn///8QAAAABusAAAAETm9uZQEU////Gv///wET////Gf///wkAAAAJKAAAAAER////Gv///wEQ////Gf///wsAAAAG8QAAAAEwAQ7///8a////AQ3///8Z////BAAAAAb0AAAAB0dlbmVyYWwBC////xr///8BCv///xn///8CAAAABvcAAAABMQEI////Gv///wEH////Gf///wAAAAAG+gAAAAQ3Ljg2AbMAAAAMAAAAB7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8AAAACEZvbnRCb2xkBv0AAAAFRmFsc2UBAv///wX///8G/wAAAApGb250SXRhbGljCf0AAAAB//7//wX///8GAgEAAA1Gb250VW5kZXJsaW5lBgMBAAAFLTQxNDIB/P7//wX///8GBQEAAAhGb250TmFtZQYGAQAAB0NhbGlicmkB+f7//wX///8GCAEAAAlGb250Q29sb3IGCQEAAAEwAfb+//8F////BgsBAAAIRm9udFNpemUGDAEAAAIxMQHz/v//Bf///wYOAQAACUZvbnRTdHlsZQYPAQAAB1JlZ3VsYXIHtQAAAAABAAAABAAAAAQ3R2xvYmVTb2Z0d2FyZS5BdGxhczQwLkF0bGFzQ29tbW9uLlR5cGUuRmllbGRPdXRwdXRGaWVsZA4AAAAJEAEAAA0DB7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Gv///wHu/v//Gf///xAAAAAJ6wAAAAHs/v//Gv///wHr/v//Gf///wkAAAAJKAAAAAHp/v//Gv///wHo/v//Gf///wsAAAAGGQEAAAExAeb+//8a////AeX+//8Z////BAAAAAYcAQAAB0dlbmVyYWwB4/7//xr///8B4v7//xn///8CAAAABh8BAAABMQHg/v//Gv///wHf/v//Gf///wAAAAAGIgEAAAUyOS41Nwe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8F////CfwAAAAJ/QAAAAHa/v//Bf///wn/AAAACf0AAAAB1/7//wX///8JAgEAAAYrAQAABS00MTQyAdT+//8F////CQUBAAAGLgEAAAdDYWxpYnJpAdH+//8F////CQgBAAAGMQEAAAEwAc7+//8F////CQsBAAAGNAEAAAIxMQHL/v//Bf///wkOAQAABjcBAAAHUmVndWxhcge6AAAAAAEAAAAEAAAABDdHbG9iZVNvZnR3YXJlLkF0bGFzNDAuQXRsYXNDb21tb24uVHlwZS5GaWVsZE91dHB1dEZpZWxkDgAAAAk4AQAADQMHv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8a////Acb+//8Z////EAAAAAnrAAAAAcT+//8a////AcP+//8Z////CQAAAAkoAAAAAcH+//8a////AcD+//8Z////CwAAAAZBAQAAATIBvv7//xr///8Bvf7//xn///8EAAAABkQBAAAHR2VuZXJhbAG7/v//Gv///wG6/v//Gf///wIAAAAGRwEAAAExAbj+//8a////Abf+//8Z////AAAAAAZKAQAABTExLjcxB74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7//wX///8J/AAAAAn9AAAAAbL+//8F////Cf8AAAAJ/QAAAAGv/v//Bf///wkCAQAABlMBAAAFLTQxNDIBrP7//wX///8JBQEAAAZWAQAAB0NhbGlicmkBqf7//wX///8JCAEAAAZZAQAAATABpv7//wX///8JCwEAAAZcAQAAAjExAaP+//8F////CQ4BAAAGXwEAAAdSZWd1bGFyB78AAAAAAQAAAAQAAAAEN0dsb2JlU29mdHdhcmUuQXRsYXM0MC5BdGxhc0NvbW1vbi5UeXBlLkZpZWxkT3V0cHV0RmllbGQOAAAACWAB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7//xr///8Bnv7//xn///8QAAAACesAAAABnP7//xr///8Bm/7//xn///8JAAAACSgAAAABmf7//xr///8BmP7//xn///8LAAAABmkBAAABMwGW/v//Gv///wGV/v//Gf///wQAAAAGbAEAAAdHZW5lcmFsAZP+//8a////AZL+//8Z////AgAAAAZvAQAAATEBkP7//xr///8Bj/7//xn///8AAAAABnIBAAAENi40Mwf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+//8F////CfwAAAAJ/QAAAAGK/v//Bf///wn/AAAACf0AAAABh/7//wX///8JAgEAAAZ7AQAABS00MTQyAYT+//8F////CQUBAAAGfgEAAAdDYWxpYnJpAYH+//8F////CQgBAAAGgQEAAAEwAX7+//8F////CQsBAAAGhAEAAAIxMQF7/v//Bf///wkOAQAABocBAAAHUmVndWxhcgfEAAAAAAEAAAAEAAAABDdHbG9iZVNvZnR3YXJlLkF0bGFzNDAuQXRsYXNDb21tb24uVHlwZS5GaWVsZE91dHB1dEZpZWxkDgAAAAmIAQAADQMHx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f+//8a////AXb+//8Z////EAAAAAnrAAAAAXT+//8a////AXP+//8Z////CQAAAAkoAAAAAXH+//8a////AXD+//8Z////CwAAAAaRAQAAATQBbv7//xr///8Bbf7//xn///8EAAAABpQBAAAHR2VuZXJhbAFr/v//Gv///wFq/v//Gf///wIAAAAGlwEAAAExAWj+//8a////AWf+//8Z////AAAAAAaaAQAABTIxLjQzB8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7//wX///8J/AAAAAn9AAAAAWL+//8F////Cf8AAAAJ/QAAAAFf/v//Bf///wkCAQAABqMBAAAFLTQxNDIBXP7//wX///8JBQEAAAamAQAAB0NhbGlicmkBWf7//wX///8JCAEAAAapAQAAATABVv7//wX///8JCwEAAAasAQAAAjExAVP+//8F////CQ4BAAAGrwEAAAdSZWd1bGFyB8kAAAAAAQAAAAQAAAAEN0dsb2JlU29mdHdhcmUuQXRsYXM0MC5BdGxhc0NvbW1vbi5UeXBlLkZpZWxkT3V0cHV0RmllbGQOAAAACbABAAANAwfL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7//xr///8BTv7//xn///8QAAAACesAAAABTP7//xr///8BS/7//xn///8JAAAACSgAAAABSf7//xr///8BSP7//xn///8LAAAABrkBAAABNQFG/v//Gv///wFF/v//Gf///wQAAAAGvAEAAAdHZW5lcmFsAUP+//8a////AUL+//8Z////AgAAAAa/AQAAATEBQP7//xr///8BP/7//xn///8AAAAABsIBAAAFMjMuNzE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v//Bf///wn8AAAACf0AAAABOv7//wX///8J/wAAAAn9AAAAATf+//8F////CQIBAAAGywEAAAUtNDE0MgE0/v//Bf///wkFAQAABs4BAAAHQ2FsaWJyaQEx/v//Bf///wkIAQAABtEBAAABMAEu/v//Bf///wkLAQAABtQBAAACMTEBK/7//wX///8JDgEAAAbXAQAAB1JlZ3VsYXIHzgAAAAABAAAABAAAAAQ3R2xvYmVTb2Z0d2FyZS5BdGxhczQwLkF0bGFzQ29tbW9uLlR5cGUuRmllbGRPdXRwdXRGaWVsZA4AAAAJ2AEAAA0DB9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n/v//Gv///wEm/v//Gf///xAAAAAJ6wAAAAEk/v//Gv///wEj/v//Gf///wkAAAAJKAAAAAEh/v//Gv///wEg/v//Gf///wsAAAAG4QEAAAE2AR7+//8a////AR3+//8Z////BAAAAAbkAQAAB0dlbmVyYWwBG/7//xr///8BGv7//xn///8CAAAABucBAAABMQEY/v//Gv///wEX/v//Gf///wAAAAAG6gEAAAUyMi4yOQfS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+//8F////CfwAAAAJ/QAAAAES/v//Bf///wn/AAAACf0AAAABD/7//wX///8JAgEAAAbzAQAABS00MTQyAQz+//8F////CQUBAAAG9gEAAAdDYWxpYnJpAQn+//8F////CQgBAAAG+QEAAAEwAQb+//8F////CQsBAAAG/AEAAAIxMQED/v//Bf///wkOAQAABv8BAAAHUmVndWxhcgfTAAAAAAEAAAAEAAAABDdHbG9iZVNvZnR3YXJlLkF0bGFzNDAuQXRsYXNDb21tb24uVHlwZS5GaWVsZE91dHB1dEZpZWxkDgAAAAkAAg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/9//8a////Af79//8Z////EAAAAAnrAAAAAfz9//8a////Afv9//8Z////CQAAAAkoAAAAAfn9//8a////Afj9//8Z////CwAAAAYJAgAAATcB9v3//xr///8B9f3//xn///8EAAAABgwCAAAHR2VuZXJhbAHz/f//Gv///wHy/f//Gf///wIAAAAGDwIAAAExAfD9//8a////Ae/9//8Z////AAAAAAYSAgAABTI3Ljg2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3//wX///8J/AAAAAn9AAAAAer9//8F////Cf8AAAAJ/QAAAAHn/f//Bf///wkCAQAABhsCAAAFLTQxNDIB5P3//wX///8JBQEAAAYeAgAAB0NhbGlicmkB4f3//wX///8JCAEAAAYhAgAAATAB3v3//wX///8JCwEAAAYkAgAAAjExAdv9//8F////CQ4BAAAGJwIAAAdSZWd1bGFyB9gAAAAAAQAAAAQAAAAEN0dsb2JlU29mdHdhcmUuQXRsYXM0MC5BdGxhc0NvbW1vbi5UeXBlLkZpZWxkT3V0cHV0RmllbGQOAAAACSgC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1/3//xr///8B1v3//xn///8QAAAACesAAAAB1P3//xr///8B0/3//xn///8JAAAACSgAAAAB0f3//xr///8B0P3//xn///8LAAAABjECAAABOAHO/f//Gv///wHN/f//Gf///wQAAAAGNAIAAAdHZW5lcmFsAcv9//8a////Acr9//8Z////AgAAAAY3AgAAATEByP3//xr///8Bx/3//xn///8AAAAABjoCAAAFMjEuMjk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Bf///wn8AAAACf0AAAABwv3//wX///8J/wAAAAn9AAAAAb/9//8F////CQIBAAAGQwIAAAUtNDE0MgG8/f//Bf///wkFAQAABkYCAAAHQ2FsaWJyaQG5/f//Bf///wkIAQAABkkCAAABMAG2/f//Bf///wkLAQAABkwCAAACMTEBs/3//wX///8JDgEAAAZPAgAAB1JlZ3VsYXIH3QAAAAABAAAABAAAAAQ3R2xvYmVTb2Z0d2FyZS5BdGxhczQwLkF0bGFzQ29tbW9uLlR5cGUuRmllbGRPdXRwdXRGaWVsZA4AAAAJUAIAAA0DAd4AAACxAAAAB98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f//Gv///wGu/f//Gf///wkAAAAJKAAAAAGs/f//Gv///wGr/f//Gf///wsAAAAGVgIAAAE5Aan9//8a////Aaj9//8Z////BAAAAAZZAgAAB0dlbmVyYWwBpv3//xr///8Bpf3//xn///8CAAAABlwCAAABMQGj/f//Gv///wGi/f//Gf///wAAAAAGXwIAAAQ3LjcxAeAAAAAMAAAA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wX///8GYQIAAAhGb250Qm9sZAn9AAAAAZ39//8F////BmQCAAAKRm9udEl0YWxpYwn9AAAAAZr9//8F////BmcCAAANRm9udFVuZGVybGluZQZoAgAABS00MTQyAZf9//8F////BmoCAAAIRm9udE5hbWUGawIAAAdDYWxpYnJpAZT9//8F////Bm0CAAAJRm9udENvbG9yBm4CAAABMAGR/f//Bf///wZwAgAACEZvbnRTaXplBnECAAACMTEBjv3//wX///8GcwIAAAlGb250U3R5bGUGdAIAAAdSZWd1bGFyBeU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Yv9///W/////////wAGdgIAAAZTdHJpbmcGdwIAAA5TYWxlcyB0YXggY29kZQl4AgAAAYf9///U////AgAAAAWG/f//OUdsb2JlU29mdHdhcmUuQXRsYXM0MC5BdGxhc0NvbW1vbi5OdW1iZXJTZXF1ZW5jZUNvbmRpdGlvbgEAAAAHdmFsdWVfXwAIDgAAAAEAAAAAAAZ7AgAADlRhYmxlLlRheFRhYmxlCSUAAAAJKAAAAAr/////CXsCAAAKCSUAAAAKCgoJKAAAAAmBAgAACSgAAAABEAEAAOUAAAABff3//9b/////////AAaEAgAABlN0cmluZwaFAgAABE5hbWUJeAIAAAF5/f//1P///wIAAAABeP3//4b9//8BAAAAAAAJewIAAAkzAAAACSgAAAAK/////wl7AgAACgkzAAAACgoKCSgAAAAJjwIAAAkoAAAAATgBAADlAAAAAW/9///W/////////wAGkgIAAAZTdHJpbmcGkwIAABFTZXR0bGVtZW50IHBlcmlvZAl4AgAAAWv9///U////AgAAAAFq/f//hv3//wEAAAAAAAl7AgAACUEAAAAJKAAAAAr/////CXsCAAAKCUEAAAAKCgoJKAAAAAmdAgAACSgAAAABYAEAAOUAAAABYf3//9b/////////AAagAgAABlN0cmluZwahAgAABFVuaXQJeAIAAAFd/f//1P///wIAAAABXP3//4b9//8BAAAAAAAJewIAAAlPAAAACSgAAAAK/////wl7AgAACglPAAAACgoKCSgAAAAJqwIAAAkoAAAAAYgBAADlAAAAAVP9///W/////////wAGrgIAAAZTdHJpbmcGrwIAABRMZWRnZXIgcG9zdGluZyBncm91cAl4AgAAAU/9///U////AgAAAAFO/f//hv3//wEAAAAAAAl7AgAACV0AAAAJKAAAAAr/////CXsCAAAKCV0AAAAKCgoJKAAAAAm5AgAACSgAAAABsAEAAOUAAAABRf3//9b/////////AAa8AgAABEVudW0GvQIAAAZPcmlnaW4JeAIAAAFB/f//1P///wIAAAABQP3//4b9//8BAAAAAAAJewIAAAlrAAAACSgAAAAK/////wl7AgAACglrAAAACgoKCSgAAAAJxwIAAAkoAAAAAdgBAADlAAAAATf9///W/////////wAGygIAAARFbnVtBssCAAAVTWV0aG9kIG9mIGNhbGN1bGF0aW9uCXgCAAABM/3//9T///8CAAAAATL9//+G/f//AQAAAAAACXsCAAAJeQAAAAkoAAAACv////8JewIAAAoJeQAAAAoKCgkoAAAACdUCAAAJKAAAAAEAAgAA5QAAAAEp/f//1v////////8ABtgCAAAERW51bQbZAgAADU1hcmdpbmFsIGJhc2UJeAIAAAEl/f//1P///wIAAAABJP3//4b9//8BAAAAAAAJewIAAAmHAAAACSgAAAAK/////wl7AgAACgmHAAAACgoKCSgAAAAJ4wIAAAkoAAAAASgCAADlAAAAARv9///W/////////wAG5gIAAAZTdHJpbmcG5wIAABZTYWxlcyB0YXggb24gc2FsZXMgdGF4CXgCAAABF/3//9T///8CAAAAARb9//+G/f//AQAAAAAACXsCAAAJlQAAAAkoAAAACv////8JewIAAAoJlQAAAAoKCgkoAAAACfECAAAJKAAAAAFQAgAA5QAAAAEN/f//1v////////8ABvQCAAAEUmVhbAb1AgAABVZhbHVlCfYCAAABCf3//9T///8CAAAAAQj9//+G/f//AQAAAAAABvkCAAAkVGFibGUuVGF4VGFibGUuVGF4Q29kZX5UYWJsZS5UYXhEYXRhCaMAAAAJKAAAAAr/////CfkCAAAKCaMAAAAG/gIAAAdUYXhDb2RlBv8CAAAIVGF4VGFibGUKCSgAAAAJAQMAAAkoAAAABXg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cBAAAGAwMAAAhUYXhUYWJsZQYEAwAAD1NhbGVzIHRheCBjb2RlcwkoAAAACSgAAAAJKAAAAAX6/P//MEdsb2JlU29mdHdhcmUuQXRsYXM0MC5BdGxhc0NvbW1vbi5EYXRhU291cmNlVHlwZQEAAAAHdmFsdWVfXwAIDgAAAAAAAAAJBwMAAAkIAwAABPf8//8LU3lzdGVtLkd1aWQLAAAAAl9hAl9iAl9jAl9kAl9lAl9mAl9nAl9oAl9pAl9qAl9rAAAAAAAAAAAAAAAIBwcCAgICAgICAoMCjzoUz8tApJwA1rn1cogJKAAAAAkoAAAACQsDAAAJewIAAAoKCgoKAQAAAAXz/P//NEdsb2JlU29mdHdhcmUuQXRsYXM0MC5BdGxhc0NvbW1vbi5EYXRhU291cmNlSm9pbk1vZGUBAAAAB3ZhbHVlX18ACA4AAAAAAAAABfL8//81R2xvYmVTb2Z0d2FyZS5BdGxhczQwLkF0bGFzQ29tbW9uLkRhdGFTb3VyY2VGZXRjaE1vZGUBAAAAB3ZhbHVlX18ACA4AAAAAAAAAAAkPAwAAAYECAAAkAAAADwAAAAmzAAAAAwAAAAkRAwAAAY8CAAAkAAAADwAAAAmzAAAAAwAAAAkTAwAAAZ0CAAAkAAAADwAAAAmzAAAAAwAAAAkVAwAAAasCAAAkAAAADwAAAAmzAAAAAwAAAAkXAwAAAbkCAAAkAAAADwAAAAmzAAAAAwAAAAkZAwAAAccCAAAkAAAADwAAAAmzAAAAAwAAAAkbAwAAAdUCAAAkAAAADwAAAAmzAAAAAwAAAAkdAwAAAeMCAAAkAAAADwAAAAmzAAAAAwAAAAkfAwAAAfECAAAkAAAADwAAAAmzAAAAAwAAAAkhAwAAAfYCAAB4AgAA/////wYiAwAAB1RheERhdGEGIwMAABFTYWxlcyB0YXggZGV0YWlscwkoAAAACSgAAAAJKAAAAAHb/P//+vz//wAAAAAJJgMAAAknAwAAAdj8///3/P//rW/T6FYua0qjxsO4VW7gaAkoAAAACSgAAAAJKgMAAAn5AgAABiwDAAAIVGF4VGFibGUGLQMAAA5UYWJsZS5UYXhUYWJsZQYuAwAAFlRhYmxlLlRheFRhYmxlLlRheENvZGUGLwMAAAdUYXhDb2RlBjADAAAHVGF4Q29kZQEAAAABz/z///P8//8AAAAAAc78///y/P//AAAAAAAJMwMAAAEBAwAAJAAAAAYAAAAJ4AAAAAMAAAAJNQMAAAQH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k2AwAAEQAAAAk3AwAABAg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NgMAAAAAAAAEC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YDAAAAAAAABA8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kDAAAAAAAABx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wX///8GOwMAAAhIZWxwVGV4dAY8AwAAGENvZGUgaWRlbnRpZmlhbnQgbGEgdGF4ZQHD/P//Bf///wY+AwAABUxhYmVsCXcCAAABwPz//wX///8GQQMAAARUeXBlCXY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P//Bf///wk7AwAABkUDAAAoTm9tIGfDqW7DqXJhbGVtZW50IGFmZmVjdMOpIGF1IGNvZGUgdGF4ZQG6/P//Bf///wk+AwAACYUCAAABt/z//wX///8JQQMAAAmEAgAABx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z//wX///8JOwMAAAZOAwAAUENvZGUgw6AgdXRpbGlzZXIgbG9ycyBkZSBsJ2lkZW50aWZpY2F0aW9uIGRlcyBww6lyaW9kZXMgZGUgcsOoZ2xlbWVudCBkZSBsYSB0YXhlAbH8//8F////CT4DAAAJkwIAAAGu/P//Bf///wlBAwAACZICAAAHF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P//Bf///wk7AwAABlcDAAAkVW5pdMOpIGRlIGNhbGN1bCBkdSBtb250YW50IHVuaXRhaXJlAaj8//8F////CT4DAAAJoQIAAAGl/P//Bf///wlBAwAACaACAAAHG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P//Bf///wk7AwAABmADAABATm9tIGR1IGdyb3VwZSBkZSB2YWxpZGF0aW9ucyBkYW5zIGxhIGNvbXB0YWJpbGl0w6kgcG91ciBsYSB0YXhlLgGf/P//Bf///wk+AwAACa8CAAABnPz//wX///8JQQMAAAmuAgAABx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z//wX///8JOwMAAAZpAwAAHE9yaWdpbmUgZGUgY2FsY3VsIGRlIGxhIHRheGUBlvz//wX///8JPgMAAAm9AgAAAZP8//8F////CUEDAAAJvAIAAAcd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8//8F////CTsDAAAGcgMAAFBJbmRpcXVlIHNpIGxhIHRheGUgZXN0IGNhbGN1bMOpZSBwb3VyIGRlcyBtb250YW50cyBlbnRpZXJzIG91IHBvdXIgdW4gaW50ZXJ2YWxsZQGN/P//Bf///wk+AwAACcsCAAABivz//wX///8JQQMAAAnKAgAABx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wX///8JOwMAAAZ7AwAAGUJhc2UgZGVzIGxpbWl0ZXMgZGUgdGF4ZS4BhPz//wX///8JPgMAAAnZAgAAAYH8//8F////CUEDAAAJ2AIAAAc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F////CTsDAAAGhAMAACdMYSB0YXhlIGVzdCBiYXPDqWUgc3VyIGNldHRlIGF1dHJlIHRheGUBe/z//wX///8JPgMAAAnnAgAAAXj8//8F////CUEDAAAJ5gIAAAEmAwAABwMAAAEAAAAJ4AAAAAMAAAAJjAMAAAEnAwAACAMAAAAAAAAJ4AAAAAAAAAABKgMAAAsDAAAAAAAACeAAAAAAAAAAATMDAAAPAwAAAAAAAAmOAwAAAAAAAAc1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8//8F////BpADAAAFTGFiZWwJ9QIAAAFu/P//Bf///waTAwAABFR5cGUJ9AIAAAE2AwAADAAAAAc3Aw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r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WAwAAFlRhYmxlLlRheFRhYmxlLlRheENvZGUJ5QAAAAFo/P//a/z//waZAwAAFlRhYmxlLlRheFRhYmxlLlRheE5hbWUJEAEAAAFl/P//a/z//wacAwAAGFRhYmxlLlRheFRhYmxlLlRheFBlcmlvZAk4AQAAAWL8//9r/P//Bp8DAAAWVGFibGUuVGF4VGFibGUuVGF4VW5pdAlgAQAAAV/8//9r/P//BqIDAAAeVGFibGUuVGF4VGFibGUuVGF4QWNjb3VudEdyb3VwCYgBAAABXPz//2v8//8GpQMAABZUYWJsZS5UYXhUYWJsZS5UYXhCYXNlCbABAAABWfz//2v8//8GqAMAABxUYWJsZS5UYXhUYWJsZS5UYXhDYWxjTWV0aG9kCdgBAAABVvz//2v8//8GqwMAABtUYWJsZS5UYXhUYWJsZS5UYXhMaW1pdEJhc2UJAAIAAAFT/P//a/z//wauAwAAF1RhYmxlLlRheFRhYmxlLlRheE9uVGF4CSgCAAAEO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4wD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D8//9r/P//BrEDAAAtVGFibGUuVGF4VGFibGUuVGF4Q29kZX5UYWJsZS5UYXhEYXRhLlRheFZhbHVlCVACAAABjgMAADkDAAAL</Report>
</Atlas>
</file>

<file path=customXml/item2.xml><?xml version="1.0" encoding="utf-8"?>
<Atlas>
  <Query type="ReportList" id="7b17f530-54b8-4706-a55c-00a8de03da8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QAAAAE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MVGF4R3JvdXBEYXRhBh4AAAAPU2FsZXMgdGF4IGdyb3VwCQgAAAAJCAAAAAkIAAAABeD///8wR2xvYmVTb2Z0d2FyZS5BdGxhczQwLkF0bGFzQ29tbW9uLkRhdGFTb3VyY2VUeXBlAQAAAAd2YWx1ZV9fAAgCAAAAAAAAAAkhAAAACSIAAAAE3f///wtTeXN0ZW0uR3VpZAsAAAACX2ECX2ICX2MCX2QCX2UCX2YCX2cCX2gCX2kCX2oCX2sAAAAAAAAAAAAAAAgHBwICAgICAgICE4yYrMGPEUGvblM6AaXvJQkIAAAACQgAAAAJJQAAAAYmAAAAElRhYmxlLlRheEdyb3VwRGF0Y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pVGFibGUuVGF4R3JvdXBEYXRhLlRheENvZGV+VGFibGUuVGF4VGFibGUJMQAAAAcUAAAAAAEAAAAEAAAABC1HbG9iZVNvZnR3YXJlLkF0bGFzNDAuQXRsYXNDb21tb24uVHlwZS5Db2x1bW4CAAAACTIAAAAJMwAAAAk0AAAACTUAAAARFQAAAAQAAAAGNg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J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H////yf///wY6AAAADlRhYmxlLlRhe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T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////z5HbG9iZVNvZnR3YXJlLkF0bGFzNDAuQXRsYXNDb21tb24uVHlwZS5BdGxhc1F1ZXJ5QXR0cmlidXRlTmFtZQEAAAAHdmFsdWVfXwAIAgAAAAIAAAAGPgAAACQ3YjE3ZjUzMC01NGI4LTQ3MDYtYTU1Yy0wMGE4ZGUwM2RhODkBwf///8T///8BwP///8P///8AAAAABkEAAAAEdHJ1ZQG+////xP///wG9////w////wsAAAAGRAAAAA5Hcm91cGUgZGUgdGF4ZQG7////xP///wG6////w////xsAAAAGRwAAAARUcnVlAbj////E////Abf////D////BgAAAAZKAAAABUZhbHNlAbX////E////AbT////D////HAAAAAlHAAAAAbL////E////AbH////D////HQAAAAlKAAAAAa/////E////Aa7////D////KgAAAAlHAAAAAaz////E////Aav////D////AQAAAAZWAAAAAzM3MQGp////xP///wGo////w////ycAAAAGWQAAAAs9RGF0YUFyZWFJZAGm////xP///wGl////w////xkAAAAGXAAAAA9DZWxsc1ZlcnRpY2FsbHkBo////8T///8Bov///8P///8JAAAACgGh////xP///wGg////w////ygAAAAGYQAAAAE0AZ7////E////AZ3////D////KwAAAAZk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b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YAAAAMVGF4R3JvdXBEYXRhAQAAAAGZ////m////wZoAAAACFRhe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pAAAAAwAAAAlq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kAAAADAAAACW0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bgAAAAAAAAAHKgAAAAABAAAAAAAAAAQtR2xvYmVTb2Z0d2FyZS5BdGxhczQwLkF0bGFzQ29tbW9uLlR5cGUuQ29sdW1uAgAAAAExAAAADgAAAP////8GbwAAAAhUYXhUYWJsZQZwAAAAD1NhbGVzIHRheCBjb2RlcwkIAAAACQgAAAAJCAAAAAGO////4P///wAAAAAJcwAAAAl0AAAAAYv////d////xgJqU+rCikOZsvGVpPGeDQkIAAAACQgAAAAJdwAAAAkwAAAABnkAAAAMVGF4R3JvdXBEYXRhBnoAAAASVGFibGUuVGF4R3JvdXBEYXRhBnsAAAAaVGFibGUuVGF4R3JvdXBEYXRhLlRheENvZGUGfAAAAAdUYXhDb2RlBn0AAAAHVGF4Q29kZQEAAAABgv///9n///8AAAAAAYH////Y////AAAAAAAJgA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BAAAACYIAAAAJgwAAAAaEAAAACFRheEdyb3VwBoUAAAAPU2FsZXMgdGF4IGdyb3VwBoYAAAAGU3RyaW5nCQgAAAAGiAAAACQ3Zjc1MDQ3Ny0xOTU5LTQ0ZDktYTU5OS1iMzYzYjBkYWI2NzMFd////y1HbG9iZVNvZnR3YXJlLkF0bGFzNDAuQXRsYXNDb21tb24uQWdncmVnYXRpb24BAAAAB3ZhbHVlX18ACAIAAAD/////AAAAAAV2////LEdsb2JlU29mdHdhcmUuQXRsYXM0MC5BdGxhc0NvbW1vbi5Db2x1bW5UeXBlAQAAAAd2YWx1ZV9fAAgCAAAAAAAAAAV1////K0dsb2JlU29mdHdhcmUuQXRsYXM0MC5BdGxhc0NvbW1vbi5Tb3J0T3JkZXIBAAAAB3ZhbHVlX18ACAIAAAACAAAAAAAAAAAFdP///0BHbG9iZVNvZnR3YXJlLkF0bGFzNDAuQXRsYXNDb21tb24uVHlwZS5Db2x1bW4rQ3Jvc3NUYWJDb2x1bW5UeXBlAQAAAAd2YWx1ZV9fAAgCAAAAAAAAAAoBAAAAAAAAAAAAAAAAAAaNAAAAJGJlMzZjYWUyLTE0ZTUtNGI0MC1iZjBlLWY1ZjBmZWY3NDEzZAaOAAAAG1RhYmxlLlRheEdyb3VwRGF0YS5UYXhHcm91cAoKCgoBMwAAADIAAAAJjwAAAAmQAAAACZEAAAAGkgAAAAdUYXhDb2RlBpMAAAAOU2FsZXMgdGF4IGNvZGUGlAAAAAZTdHJpbmcJCAAAAAaWAAAAJDhkMjA1OTlkLWQ1MjEtNGI3YS1hNTE5LWEwODQyNWE2ZTFiZgFp////d/////////8BAAAAAWj///92////AAAAAAFn////df///wIAAAAAAAAAAAFm////dP///wAAAAAKAQAAAAAAAAAAAQAAAAAGmwAAACRlNjgyMTNlZS1jMzM4LTRlNDctODY0NS02NmU1MzIwOWJhNjgGnAAAABpUYWJsZS5UYXhHcm91cERhdGEuVGF4Q29kZQoKCgoBNAAAADIAAAAJnQAAAAmeAAAACZ8AAAAGoAAAAAlFeGVtcHRUYXgGoQAAAAZFeGVtcHQGogAAAARFbnVtCQgAAAAGpAAAACQ2ZjdiOTM5Ni02ZWQ2LTRiMTItODllOC0zMThhZmMxYmVkMzYBW////3f/////////AgAAAAFa////dv///wAAAAABWf///3X///8CAAAAAAAAAAABWP///3T///8AAAAACgEAAAAAAAAAAAIAAAAABqkAAAAkN2E2MzdiMGQtM2YzOS00NTVhLTljNWEtZmRiYTUzOWVlMTdkBqoAAAAcVGFibGUuVGF4R3JvdXBEYXRhLkV4ZW1wdFRheAoKCgoBNQAAADIAAAAJqwAAAAmsAAAACa0AAAAGrgAAAAdUYXhOYW1lBq8AAAAETmFtZQawAAAABlN0cmluZwkIAAAABrIAAAAkMWI4OGNhMGEtZjA0Yi00MTc4LTkxMTYtNDYwYjQ0MTEyMzQxAU3///93/////////wMAAAABTP///3b///8AAAAAAUv///91////AgAAAAAAAAAAAUr///90////AAAAAAoBAAAAAAAAAAADAAAAAAa3AAAAJDQzMzhmMmFkLTJjMjEtNDRmOS04ODZjLTVlMzlkMWI4NTlmMwa4AAAAMVRhYmxlLlRheEdyb3VwRGF0YS5UYXhDb2RlflRhYmxlLlRheFRhYmxlLlRheE5hbWUKCgoKAWkAAAASAAAAB2o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f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oAAAAbVGFibGUuVGF4R3JvdXBEYXRhLlRheEdyb3VwCbsAAAABRP///0f///8GvQAAABpUYWJsZS5UYXhHcm91cERhdGEuVGF4Q29kZQm+AAAAAUH///9H////BsAAAAAcVGFibGUuVGF4R3JvdXBEYXRhLkV4ZW1wdFRheAnBAAAAB20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T7////U////CTAAAAAJMQAAAARu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cwAAACEAAAABAAAACRIAAAADAAAACcYAAAABdAAAACIAAAAAAAAACRIAAAAAAAAABH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AAAAAKQAAAAAAAAAJyAAAAAAAAAAEg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yQAAAAEAAAABAAAABII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nKAAAABwAAAAnLAAAABI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nMAAAABwAAAAnNAAAAAY8AAACBAAAACc4AAAABAAAAAQAAAAGQAAAAggAAABkAAAAJygAAAAcAAAAJ0AAAAAS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zAAAAAcAAAAJ0gAAAAGdAAAAgQAAAAnTAAAAAQAAAAEAAAABngAAAIIAAAAZAAAACcoAAAAHAAAACdUAAAAEn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cwAAAAHAAAACdcAAAABqwAAAIEAAAAJ2AAAAAEAAAABAAAAAawAAACCAAAAEQAAAAnZAAAABwAAAAnaAAAABK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cAAAABbs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SP///93/////////wAG3gAAAAZTdHJpbmcJHgAAAAngAAAAAR////91////AgAAAAUe////OUdsb2JlU29mdHdhcmUuQXRsYXM0MC5BdGxhc0NvbW1vbi5OdW1iZXJTZXF1ZW5jZUNvbmRpdGlvbgEAAAAHdmFsdWVfXwAIAgAAAAEAAAAAAAbjAAAAElRhYmxlLlRheEdyb3VwRGF0YQmEAAAACQgAAAAK/////wnjAAAACgmEAAAACgoKCQgAAAAJ6QAAAAkIAAAAAb4AAAC7AAAAARX///93/////////wAG7AAAAAZTdHJpbmcG7QAAAA5TYWxlcyB0YXggY29kZQngAAAAARH///91////AgAAAAEQ////Hv///wEAAAAAAAnjAAAACZIAAAAJCAAAAAr/////CeMAAAAKCZIAAAAKCgoJCAAAAAn3AAAACQgAAAABwQAAALsAAAABB////3f/////////AAb6AAAABEVudW0G+wAAAAZFeGVtcHQJ4AAAAAED////df///wIAAAABAv///x7///8BAAAAAAAJ4wAAAAmgAAAACQgAAAAK/////wnjAAAACgmgAAAACgoKCQgAAAAJBQEAAAkIAAAAB8Y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fn+//9H////BggBAAAxVGFibGUuVGF4R3JvdXBEYXRhLlRheENvZGV+VGFibGUuVGF4VGFibGUuVGF4TmFtZQkJAQAAAcgAAABuAAAAB8kAAAAAAQAAAAQAAAAEN0dsb2JlU29mdHdhcmUuQXRsYXM0MC5BdGxhc0NvbW1vbi5UeXBlLkZpZWxkT3V0cHV0RmllbGQCAAAACbsAAAANAwTK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L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9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0/v//Mkdsb2JlU29mdHdhcmUuQXRsYXM0MC5BdGxhc0NvbW1vbi5Db2x1bW5BdHRyaWJ1dGVzAQAAAAd2YWx1ZV9fAAgCAAAABgAAAAYNAQAABVRvdGFsAfL+///1/v//AfH+///0/v//EAAAAAYQAQAABE5vbmUB7/7///X+//8B7v7///T+//8JAAAACQgAAAAB7P7///X+//8B6/7///T+//8LAAAABhYBAAABMAHp/v//9f7//wHo/v//9P7//wQAAAAGGQEAAAdHZW5lcmFsAeb+///1/v//AeX+///0/v//AgAAAAYcAQAAATEB4/7///X+//8B4v7///T+//8AAAAABh8BAAAFMjUuMTQBzAAAABIAAAAHz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g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iEBAAAIRm9udEJvbGQGIgEAAAVGYWxzZQHd/v//4P7//wYkAQAACkZvbnRJdGFsaWMJIgEAAAHa/v//4P7//wYnAQAADUZvbnRVbmRlcmxpbmUGKAEAAAUtNDE0MgHX/v//4P7//wYqAQAACEZvbnROYW1lBisBAAAHQ2FsaWJyaQHU/v//4P7//wYtAQAACUZvbnRDb2xvcgYuAQAAATAB0f7//+D+//8GMAEAAAhGb250U2l6ZQYxAQAAAjExAc7+///g/v//BjMBAAAJRm9udFN0eWxlBjQBAAAHUmVndWxhcgfOAAAAAAEAAAAEAAAABDdHbG9iZVNvZnR3YXJlLkF0bGFzNDAuQXRsYXNDb21tb24uVHlwZS5GaWVsZE91dHB1dEZpZWxkAgAAAAm+AAAADQMH0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+///1/v//Acn+///0/v//EAAAAAkQAQAAAcf+///1/v//Acb+///0/v//CQAAAAkIAAAAAcT+///1/v//AcP+///0/v//CwAAAAY+AQAAATEBwf7///X+//8BwP7///T+//8EAAAABkEBAAAHR2VuZXJhbAG+/v//9f7//wG9/v//9P7//wIAAAAGRAEAAAExAbv+///1/v//Abr+///0/v//AAAAAAZHAQAABTE1LjE0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7//+D+//8JIQEAAAkiAQAAAbX+///g/v//CSQBAAAJIgEAAAGy/v//4P7//wknAQAABlABAAAFLTQxNDIBr/7//+D+//8JKgEAAAZTAQAAB0NhbGlicmkBrP7//+D+//8JLQEAAAZWAQAAATABqf7//+D+//8JMAEAAAZZAQAAAjExAab+///g/v//CTMBAAAGXAEAAAdSZWd1bGFyB9MAAAAAAQAAAAQAAAAEN0dsb2JlU29mdHdhcmUuQXRsYXM0MC5BdGxhc0NvbW1vbi5UeXBlLkZpZWxkT3V0cHV0RmllbGQCAAAACcEAAAANAwfV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v7///X+//8Bof7///T+//8QAAAACRABAAABn/7///X+//8Bnv7///T+//8JAAAACQgAAAABnP7///X+//8Bm/7///T+//8LAAAABmYBAAABMgGZ/v//9f7//wGY/v//9P7//wQAAAAGaQEAAAdHZW5lcmFsAZb+///1/v//AZX+///0/v//AgAAAAZsAQAAATEBk/7///X+//8Bkv7///T+//8AAAAABm8BAAAEOS4yOQ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+///g/v//CSEBAAAJIgEAAAGN/v//4P7//wkkAQAACSIBAAABiv7//+D+//8JJwEAAAZ4AQAABS00MTQyAYf+///g/v//CSoBAAAGewEAAAdDYWxpYnJpAYT+///g/v//CS0BAAAGfgEAAAEwAYH+///g/v//CTABAAAGgQEAAAIxMQF+/v//4P7//wkzAQAABoQBAAAHUmVndWxhcgfYAAAAAAEAAAAEAAAABDdHbG9iZVNvZnR3YXJlLkF0bGFzNDAuQXRsYXNDb21tb24uVHlwZS5GaWVsZE91dHB1dEZpZWxkAgAAAAkJAQAADQMB2QAAAMoAAAAH2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r+///1/v//AXn+///0/v//CQAAAAkIAAAAAXf+///1/v//AXb+///0/v//CwAAAAaLAQAAATMBdP7///X+//8Bc/7///T+//8EAAAABo4BAAAHR2VuZXJhbAFx/v//9f7//wFw/v//9P7//wIAAAAGkQEAAAExAW7+///1/v//AW3+///0/v//AAAAAAaUAQAABTI5LjU3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7//+D+//8GlgEAAAhGb250Qm9sZAkiAQAAAWj+///g/v//BpkBAAAKRm9udEl0YWxpYwkiAQAAAWX+///g/v//BpwBAAANRm9udFVuZGVybGluZQadAQAABS00MTQyAWL+///g/v//Bp8BAAAIRm9udE5hbWUGoAEAAAdDYWxpYnJpAV/+///g/v//BqIBAAAJRm9udENvbG9yBqMBAAABMAFc/v//4P7//walAQAACEZvbnRTaXplBqYBAAACMTEBWf7//+D+//8GqAEAAAlGb250U3R5bGUGqQEAAAdSZWd1bGFyAeAAAAAOAAAArgEAAAaqAQAADFRheEdyb3VwRGF0YQarAQAAD1NhbGVzIHRheCBncm91cAkIAAAACQgAAAAJCAAAAAFT/v//4P///wAAAAAJrgEAAAmvAQAAAVD+///d////lIxT/jECcEO9SvRl3xCLKQkIAAAACQgAAAAJsgEAAAnjAAAACgoKCgoBAAAAAUz+///Z////AAAAAAFL/v//2P///wAAAAAACbYBAAAE6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cwAAAADAAAACbgBAAAE9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cwAAAADAAAACboB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cwAAAADAAAACbwBAAABCQEAALsAAAABQ/7//3f/////////AAa+AQAABlN0cmluZwa/AQAABE5hbWUJMQAAAAE//v//df///wIAAAABPv7//x7///8BAAAAAAAJMAAAAAmuAAAACQgAAAAK/////wkwAAAACgmuAAAABsgBAAAHVGF4Q29kZQbJAQAADFRheEdyb3VwRGF0YQoJCAAAAAnLAQAACQgAAAABrgEAACEAAAAEAAAACc0BAAAHAAAACc4BAAABrwEAACIAAAAAAAAACc0BAAAAAAAABLI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2AQAAKQAAAAAAAAAJ0AEAAAAAAAAHu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/v//4P7//wbSAQAACEhlbHBUZXh0BtMBAAAWTm9tIGR1IGdyb3VwZSBkZSB0YXhlLgEs/v//4P7//wbVAQAABUxhYmVsCR4AAAABKf7//+D+//8G2AEAAARUeXBlCd4AAAAHu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/v//4P7//wnSAQAABtwBAAAYQ29kZSBpZGVudGlmaWFudCBsYSB0YXhlASP+///g/v//CdUBAAAJ7QAAAAEg/v//4P7//wnYAQAACewAAAAHv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v//4P7//wnSAQAABuUBAAAtSW5kaXF1ZSBxdSdpbCBlc3QgaW51dGlsZSBkZSBjYWxjdWxlciBsYSB0YXhlARr+///g/v//CdUBAAAJ+wAAAAEX/v//4P7//wnYAQAACfoAAAAEy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e0BAAABzQEAABIAAAAHzgE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v7//0f///8G7wEAABtUYWJsZS5UYXhHcm91cERhdGEuVGF4R3JvdXAJuwAAAAEP/v//R////wbyAQAAGlRhYmxlLlRheEdyb3VwRGF0YS5UYXhDb2RlCb4AAAABDP7//0f///8G9QEAABxUYWJsZS5UYXhHcm91cERhdGEuRXhlbXB0VGF4CcEAAAABCf7//0f///8G+AEAABlUYWJsZS5UYXhHcm91cERhdGEuVXNlVGF4CfkBAAAB0AEAAG4AAAAH7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v//4P7//wb7AQAABUxhYmVsCb8BAAABA/7//+D+//8G/gEAAARUeXBlCb4BAAAB+QEAALsAAAABAP7//3f/////////AAYBAgAABEVudW0GAgIAAAdVc2UgdGF4CeAAAAAB/P3//3X///8CAAAAAfv9//8e////AQAAAAAACeMAAAAGBwIAAAZVc2VUYXgJCAAAAAr/////CeMAAAAKCQcCAAAKCgoJCAAAAAkMAgAACQgA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cwAAAADAAAACQ8CAAAHD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f//4P7//wnSAQAABhICAAA4VHJhaXRlciBsYSB0YXhlIGNvbW1lIHRheGUgZCd1dGlsaXNhdGlvbiBlbiBjYXMgZCdhY2hhdC4B7f3//+D+//8J1QEAAAkCAgAAAer9///g/v//CdgBAAAJAQIAAAs=
    <Output>
      <OutputObject name="AtlasReport_1"/>
    </Output>
  </Query>
</Atlas>
</file>

<file path=customXml/item3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80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CkFjY291bnROdW0GIgAAABBDdXN0b21lciBhY2NvdW50BiMAAAAGU3RyaW5nBiQAAAAABiUAAAAkOGExZjc2NTQtY2ZlMC00ZDA3LTkyZjctYWZhYzkwZDMyNjYx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Q4OTlkY2JjMy1mYjQ0LTQ0YzQtODU0OS1lZTY4ODIzZTNjYjkGKwAAABpUYWJsZS5DdXN0VGFibGUuQWNjb3VudE51bQoKCgoBFQAAABQAAAAJLAAAAAktAAAACS4AAAAGLwAAAAROYW1lBjAAAAAETmFtZQYxAAAABlN0cmluZwkkAAAABjMAAAAkNTkyYTBkZDAtYmM5ZS00MmYwLTgyZTYtM2UzZjkxMjE1NzUxAcz////a/////////wEAAAABy////9n///8AAAAAAcr////Y////AgAAAAAAAAAAAcn////X////AAAAAAoBAAAAAAAAAAABAAAAAAY4AAAAJDA0MzEwNzkxLWM5ODAtNDBkOS1iMTViLTE2M2Q1ZjJiNWVhYgY5AAAAFFRhYmxlLkN1c3RUYWJsZS5OYW1lCgoKCgEWAAAAFAAAAAk6AAAACTsAAAAJPAAAAAY9AAAAB0FkZHJlc3MGPgAAAAdBZGRyZXNzBj8AAAAGU3RyaW5nCSQAAAAGQQAAACRkYzczMmFhZS0yNjY3LTRhMDYtOWU5ZS05NGJiNTEyMjgyY2QBvv///9r/////////AgAAAAG9////2f///wAAAAABvP///9j///8CAAAAAAAAAAABu////9f///8AAAAACgEAAAAAAAAAAAIAAAAABkYAAAAkOWIxMTYzN2QtNzEyZC00Njk3LTlhOTEtNTAyNWE0ZGQ0NjE2BkcAAAAXVGFibGUuQ3VzdFRhYmxlLkFkZHJlc3MKCgoKARcAAAAUAAAACUgAAAAJSQAAAAlKAAAABksAAAAIQ3VycmVuY3kGTAAAAAhDdXJyZW5jeQZNAAAABlN0cmluZwkkAAAABk8AAAAkY2RhNzM2ZTEtYmM0MC00MTM0LWJkYTMtZjI4YjNmOWNjNGQ4AbD////a/////////wMAAAABr////9n///8AAAAAAa7////Y////AgAAAAAAAAAAAa3////X////AAAAAAoBAAAAAAAAAAADAAAAAAZUAAAAJDI4NGIxZGJkLTEzZWEtNGI5MC1hOTVjLWU5NTU4MTQwZDU1ZgZVAAAAGFRhYmxlLkN1c3RUYWJsZS5DdXJyZW5jeQoKCgoBGAAAABQAAAAJVgAAAAlXAAAACVgAAAAGWQAAAAlDdXN0R3JvdXAGWgAAAA5DdXN0b21lciBncm91cAZbAAAABlN0cmluZwkkAAAABl0AAAAkOTAxYjg5NzMtZTgzMy00NGQxLTg0MWMtN2QxZDcwMjk0MWQ4AaL////a/////////wQAAAABof///9n///8AAAAAAaD////Y////AgAAAAAAAAAAAZ/////X////AAAAAAoBAAAAAAAAAAAEAAAAAAZiAAAAJDIzMzEyZjczLTdmN2ItNGNiNS1hZDE0LWFjYWEyY2RjYjcwNwZjAAAAGVRhYmxlLkN1c3RUYWJsZS5DdXN0R3JvdXAKCgoKARkAAAAUAAAACWQAAAAJZQAAAAlmAAAABmcAAAAIVGF4R3JvdXAGaAAAAA9TYWxlcyB0YXggZ3JvdXAGaQAAAAZTdHJpbmcJJAAAAAZrAAAAJDEyMmIzMzJhLTQ5OTYtNGVlMi04NmE3LWYxZDg1ZTQxMGZmYwGU////2v////////8FAAAAAZP////Z////AAAAAAGS////2P///wIAAAAAAAAAAAGR////1////wAAAAAKAQAAAAAAAAAABQAAAAAGcAAAACRkMzYxYjk4ZS02NDgxLTQxMDMtOTI0OC0yNGE4ZWFkMzEyNDkGcQAAABhUYWJsZS5DdXN0VGFibGUuVGF4R3JvdXAKCgoKBRwAAAA4R2xvYmVTb2Z0d2FyZS5BdGxhczQwLkF0bGFzQ29tbW9uQ2xpZW50LlJlcG9ydC5SZWZlcmVuY2UBAAAACl9yZWZlcmVuY2UHCBoAAAAJcgAAAAcdAAAAAAEAAAAEAAAABDxHbG9iZVNvZnR3YXJlLkF0bGFzNDAuQXRsYXNDb21tb25DbGllbnQuRGF0YVNvdXJjZUZpZWxkVmFsdWUaAAAACXM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0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XUAAAAHAAAACXY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XcAAAAHAAAACXgAAAABLAAAAB4AAAAJeQAAAAEAAAABAAAAAS0AAAAfAAAAEgAAAAl1AAAABwAAAAl7AAAAAS4AAAAgAAAADgAAAAl3AAAABwAAAAl9AAAAAToAAAAeAAAACX4AAAABAAAAAQAAAAE7AAAAHwAAABIAAAAJdQAAAAcAAAAJgAAAAAE8AAAAIAAAAA4AAAAJdwAAAAcAAAAJggAAAAFIAAAAHgAAAAmDAAAAAQAAAAEAAAABSQAAAB8AAAASAAAACXUAAAAHAAAACYUAAAABSgAAACAAAAAOAAAACXcAAAAHAAAACYcAAAABVgAAAB4AAAAJiAAAAAEAAAABAAAAAVcAAAAfAAAAEgAAAAl1AAAABwAAAAmKAAAAAVgAAAAgAAAADgAAAAl3AAAABwAAAAmMAAAAAWQAAAAeAAAACY0AAAABAAAAAQAAAAFlAAAAHwAAABEAAAAJdQAAAAcAAAAJjwAAAAFmAAAAIAAAAA4AAAAJdwAAAAcAAAAJkQAAAA9yAAAAAQAAAAgBAAAABXMAAAA8R2xvYmVTb2Z0d2FyZS5BdGxhczQwLkF0bGFzQ29tbW9uQ2xpZW50LkRhdGFTb3VyY2VGaWVsZFZhbHVlBAAAABJfaXNEcmlsbERvd25GaWx0ZXIGX2RzS2V5Cl9maWVsZG5hbWULX2ZpZWxkVmFsdWUAAQEBARoAAAAABpIAAAAPVGFibGUuQ3VzdFRhYmxlBpMAAAAKRGF0YUFyZWFJZAkGAAAAB3QAAAAAAQAAAAQAAAAEN0dsb2JlU29mdHdhcmUuQXRsYXM0MC5BdGxhc0NvbW1vbi5UeXBlLkZpZWxkT3V0cHV0RmllbGQOAAAACZUAAAANAwR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p////Mkdsb2JlU29mdHdhcmUuQXRsYXM0MC5BdGxhc0NvbW1vbi5Db2x1bW5BdHRyaWJ1dGVzAQAAAAd2YWx1ZV9fAAgOAAAABgAAAAaYAAAABVRvdGFsAWf///9q////AWb///9p////EAAAAAabAAAABE5vbmUBZP///2r///8BY////2n///8JAAAACSQAAAABYf///2r///8BYP///2n///8LAAAABqEAAAABMAFe////av///wFd////af///wQAAAAGpAAAAAdHZW5lcmFsAVv///9q////AVr///9p////AgAAAAanAAAAATEBWP///2r///8BV////2n///8AAAAABqoAAAAFMTguNTcBdwAAAAwAAAAHe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V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wAAAAIRm9udEJvbGQGrQAAAAVGYWxzZQFS////Vf///wavAAAACkZvbnRJdGFsaWMJrQAAAAFP////Vf///wayAAAADUZvbnRVbmRlcmxpbmUGswAAAAUtNDE0MgFM////Vf///wa1AAAACEZvbnROYW1lBrYAAAAHQ2FsaWJyaQFJ////Vf///wa4AAAACUZvbnRDb2xvcga5AAAAATABRv///1X///8GuwAAAAhGb250U2l6ZQa8AAAAAjExAUP///9V////Br4AAAAJRm9udFN0eWxlBr8AAAAHUmVndWxhcgd5AAAAAAEAAAAEAAAABDdHbG9iZVNvZnR3YXJlLkF0bGFzNDAuQXRsYXNDb21tb24uVHlwZS5GaWVsZE91dHB1dEZpZWxkDgAAAAnAAAAADQMHe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////9q////AT7///9p////EAAAAAmbAAAAATz///9q////ATv///9p////CQAAAAkkAAAAATn///9q////ATj///9p////CwAAAAbJAAAAATEBNv///2r///8BNf///2n///8EAAAABswAAAAHR2VuZXJhbAEz////av///wEy////af///wIAAAAGzwAAAAExATD///9q////AS////9p////AAAAAAbSAAAABTQ0LjE0B30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///1X///8JrAAAAAmtAAAAASr///9V////Ca8AAAAJrQAAAAEn////Vf///wmyAAAABtsAAAAFLTQxNDIBJP///1X///8JtQAAAAbeAAAAB0NhbGlicmkBIf///1X///8JuAAAAAbhAAAAATABHv///1X///8JuwAAAAbkAAAAAjExARv///9V////Cb4AAAAG5wAAAAdSZWd1bGFyB34AAAAAAQAAAAQAAAAEN0dsb2JlU29mdHdhcmUuQXRsYXM0MC5BdGxhc0NvbW1vbi5UeXBlLkZpZWxkT3V0cHV0RmllbGQOAAAACegAAAANAwe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2r///8BFv///2n///8QAAAACZsAAAABFP///2r///8BE////2n///8JAAAACSQAAAABEf///2r///8BEP///2n///8LAAAABvEAAAABMgEO////av///wEN////af///wQAAAAG9AAAAAdHZW5lcmFsAQv///9q////AQr///9p////AgAAAAb3AAAAATEBCP///2r///8BB////2n///8AAAAABvoAAAAEOS43MQ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///9V////CawAAAAJrQAAAAEC////Vf///wmvAAAACa0AAAAB//7//1X///8JsgAAAAYDAQAABS00MTQyAfz+//9V////CbUAAAAGBgEAAAdDYWxpYnJpAfn+//9V////CbgAAAAGCQEAAAEwAfb+//9V////CbsAAAAGDAEAAAIxMQHz/v//Vf///wm+AAAABg8BAAAHUmVndWxhcgeDAAAAAAEAAAAEAAAABDdHbG9iZVNvZnR3YXJlLkF0bGFzNDAuQXRsYXNDb21tb24uVHlwZS5GaWVsZE91dHB1dEZpZWxkDgAAAAkQAQAADQMHh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/+//9q////Ae7+//9p////EAAAAAmbAAAAAez+//9q////Aev+//9p////CQAAAAkkAAAAAen+//9q////Aej+//9p////CwAAAAYZAQAAATMB5v7//2r///8B5f7//2n///8EAAAABhwBAAAHR2VuZXJhbAHj/v//av///wHi/v//af///wIAAAAGHwEAAAExAeD+//9q////Ad/+//9p////AAAAAAYiAQAABTEwLjQz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7//1X///8JrAAAAAmtAAAAAdr+//9V////Ca8AAAAJrQAAAAHX/v//Vf///wmyAAAABisBAAAFLTQxNDIB1P7//1X///8JtQAAAAYuAQAAB0NhbGlicmkB0f7//1X///8JuAAAAAYxAQAAATABzv7//1X///8JuwAAAAY0AQAAAjExAcv+//9V////Cb4AAAAGNwEAAAdSZWd1bGFyB4gAAAAAAQAAAAQAAAAEN0dsb2JlU29mdHdhcmUuQXRsYXM0MC5BdGxhc0NvbW1vbi5UeXBlLkZpZWxkT3V0cHV0RmllbGQOAAAACTgB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2r///8Bxv7//2n///8QAAAACZsAAAABxP7//2r///8Bw/7//2n///8JAAAACSQAAAABwf7//2r///8BwP7//2n///8LAAAABkEBAAABNAG+/v//av///wG9/v//af///wQAAAAGRAEAAAdHZW5lcmFsAbv+//9q////Abr+//9p////AgAAAAZHAQAAATEBuP7//2r///8Bt/7//2n///8AAAAABkoBAAAFMTY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1/v//Vf///wmsAAAACa0AAAABsv7//1X///8JrwAAAAmtAAAAAa/+//9V////CbIAAAAGUwEAAAUtNDE0MgGs/v//Vf///wm1AAAABlYBAAAHQ2FsaWJyaQGp/v//Vf///wm4AAAABlkBAAABMAGm/v//Vf///wm7AAAABlwBAAACMTEBo/7//1X///8JvgAAAAZfAQAAB1JlZ3VsYXIHjQAAAAABAAAABAAAAAQ3R2xvYmVTb2Z0d2FyZS5BdGxhczQwLkF0bGFzQ29tbW9uLlR5cGUuRmllbGRPdXRwdXRGaWVsZA4AAAAJYAEAAA0DB48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wkAAAAJJAAAAAGc/v//av///wGb/v//af///wsAAAAGZgEAAAE1AZn+//9q////AZj+//9p////BAAAAAZpAQAAB0dlbmVyYWwBlv7//2r///8Blf7//2n///8CAAAABmwBAAABMQGT/v//av///wGS/v//af///wAAAAAGbwEAAAIxNg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+//9V////CawAAAAJrQAAAAGN/v//Vf///wmvAAAACa0AAAABiv7//1X///8JsgAAAAZ4AQAABS00MTQyAYf+//9V////CbUAAAAGewEAAAdDYWxpYnJpAYT+//9V////CbgAAAAGfgEAAAEwAYH+//9V////CbsAAAAGgQEAAAIxMQF+/v//Vf///wm+AAAABoQ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7/v//2v////////8ABoYBAAAGU3RyaW5nBocBAAAQQ3VzdG9tZXIgYWNjb3VudAmIAQAAAXf+///Y////AgAAAAV2/v//OUdsb2JlU29mdHdhcmUuQXRsYXM0MC5BdGxhc0NvbW1vbi5OdW1iZXJTZXF1ZW5jZUNvbmRpdGlvbgEAAAAHdmFsdWVfXwAIDgAAAAEAAAAAAAaLAQAAD1RhYmxlLkN1c3RUYWJsZQkhAAAACSQAAAAK/////wmLAQAACgkhAAAACgoKCSQAAAAJkQEAAAkkAAAAAcAAAACVAAAAAW3+///a/////////wAGlAEAAAZTdHJpbmcGlQEAAAROYW1lCYgBAAABaf7//9j///8CAAAAAWj+//92/v//AQAAAAAACYsBAAAJLwAAAAkkAAAACv////8JiwEAAAoJLwAAAAoKCgkkAAAACZ8BAAAJJAAAAAHoAAAAlQAAAAFf/v//2v////////8ABqIBAAAGU3RyaW5nBqMBAAAHQWRkcmVzcwmIAQAAAVv+///Y////AgAAAAFa/v//dv7//wEAAAAAAAmLAQAACT0AAAAJJAAAAAr/////CYsBAAAKCT0AAAAKCgoJJAAAAAmtAQAACSQAAAABEAEAAJUAAAABUf7//9r/////////AAawAQAABlN0cmluZwaxAQAACEN1cnJlbmN5CYgBAAABTf7//9j///8CAAAAAUz+//92/v//AQAAAAAACYsBAAAJSwAAAAkkAAAACv////8JiwEAAAoJSwAAAAoKCgkkAAAACbsBAAAJJAAAAAE4AQAAlQAAAAFD/v//2v////////8ABr4BAAAGU3RyaW5nBr8BAAAOQ3VzdG9tZXIgZ3JvdXAJiAEAAAE//v//2P///wIAAAABPv7//3b+//8BAAAAAAAJiwEAAAlZAAAACSQAAAAK/////wmLAQAACglZAAAACgoKCSQAAAAJyQEAAAkkAAAAAWABAACVAAAAATX+///a/////////wAGzAEAAAZTdHJpbmcGzQEAAA9TYWxlcyB0YXggZ3JvdXAJiAEAAAEx/v//2P///wIAAAABMP7//3b+//8BAAAAAAAJiwEAAAlnAAAACSQAAAAK/////wmLAQAACglnAAAACgoKCSQAAAAJ1wEAAAkkAAAABYg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E0AAAAG2QEAAAlDdXN0VGFibGUG2gEAAAlDdXN0b21lcnMJJAAAAAkkAAAACSQAAAAFJP7//zBHbG9iZVNvZnR3YXJlLkF0bGFzNDAuQXRsYXNDb21tb24uRGF0YVNvdXJjZVR5cGUBAAAAB3ZhbHVlX18ACA4AAAAAAAAACd0BAAAJ3gEAAAQh/v//C1N5c3RlbS5HdWlkCwAAAAJfYQJfYgJfYwJfZAJfZQJfZgJfZwJfaAJfaQJfagJfawAAAAAAAAAAAAAACAcHAgICAgICAgKLLmko4aq2RrttAwXDNqzICSQAAAAJJAAAAAnhAQAACYsBAAAKCgoKCgEAAAAFHf7//zRHbG9iZVNvZnR3YXJlLkF0bGFzNDAuQXRsYXNDb21tb24uRGF0YVNvdXJjZUpvaW5Nb2RlAQAAAAd2YWx1ZV9fAAgOAAAAAAAAAAUc/v//NUdsb2JlU29mdHdhcmUuQXRsYXM0MC5BdGxhc0NvbW1vbi5EYXRhU291cmNlRmV0Y2hNb2RlAQAAAAd2YWx1ZV9fAAgOAAAAAAAAAAAJ5QEAAAGRAQAAIAAAAAkAAAAJdwAAAAMAAAAJ5wEAAAGfAQAAIAAAAAkAAAAJdwAAAAMAAAAJ6QEAAAGtAQAAIAAAAAkAAAAJdwAAAAMAAAAJ6wEAAAG7AQAAIAAAAAkAAAAJdwAAAAMAAAAJ7QEAAAHJAQAAIAAAAAkAAAAJdwAAAAMAAAAJ7wEAAAHXAQAAIAAAAAYAAAAJdwAAAAMAAAAJ8QEAAATd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AAAAAnyAQAAEQAAAAnzAQAABN4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gEAAAAAAAAE4Q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IBAAAAAAAABOU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fUBAAAAAAAAB+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1X///8G9wEAAAhIZWxwVGV4dAb4AQAAGU51bcOpcm8gZGUgY29tcHRlIGNsaWVudC4BB/7//1X///8G+gEAAAVMYWJlbAmHAQAAAQT+//9V////Bv0BAAAEVHlwZQmGAQAAB+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7//1X///8J9wEAAAYBAgAAHU5vbSBkZSBjbGllbnQgb3UgZGUgc29jacOpdMOpAf79//9V////CfoBAAAJlQEAAAH7/f//Vf///wn9AQAACZQBAAAH6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Vf///wn3AQAABgoCAAARQWRyZXNzZSBkdSBjbGllbnQB9f3//1X///8J+gEAAAmjAQAAAfL9//9V////Cf0BAAAJogEAAAft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9//9V////CfcBAAAGEwIAACZEZXZpc2Ugw6AgdXRpbGlzZXIgcG91ciBsYSBmYWN0dXJhdGlvbgHs/f//Vf///wn6AQAACbEBAAAB6f3//1X///8J/QEAAAmwAQAAB+8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v3//1X///8J9wEAAAYcAgAAMEdyb3VwZSBkZSBjbGllbnRzIGF1cXVlbCBsZSBjbGllbnQgZXN0IHJhdHRhY2jDqQHj/f//Vf///wn6AQAACb8BAAAB4P3//1X///8J/QEAAAm+AQAAB/E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3//1X///8J+gEAAAnNAQAAAdr9//9V////Cf0BAAAJzAEAAAHyAQAADAAAAAfzAQ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X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qAgAAGlRhYmxlLkN1c3RUYWJsZS5BY2NvdW50TnVtCZUAAAAB1P3//9f9//8GLQIAABRUYWJsZS5DdXN0VGFibGUuTmFtZQnAAAAAAdH9///X/f//BjACAAAXVGFibGUuQ3VzdFRhYmxlLkFkZHJlc3MJ6AAAAAHO/f//1/3//wYzAgAAGFRhYmxlLkN1c3RUYWJsZS5DdXJyZW5jeQkQAQAAAcv9///X/f//BjYCAAAZVGFibGUuQ3VzdFRhYmxlLkN1c3RHcm91cAk4AQAAAcj9///X/f//BjkCAAAYVGFibGUuQ3VzdFRhYmxlLlRheEdyb3VwCWABAAAE9Q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4.xml><?xml version="1.0" encoding="utf-8"?>
<Atlas>
  <Report name="AtlasReport_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gAAAAkDAAAACQQAAAAGBQAAAA1BdGxhc1JlcG9ydF82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N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GM0NmE5LWQyMWYtNDRkMC04YTNhLTYwMWUyM2IyNjg5YQ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ZjM1NDRhODktNWZiMS00YjZkLTk4ODQtMTJjM2YwMGRlZDA2BiwAAAAYVGFibGUuSW52ZW50VGFibGUuSXRlbUlkCgoKCgEVAAAAFAAAAAktAAAACS4AAAAJLwAAAAYwAAAACEl0ZW1OYW1lBjEAAAAJSXRlbSBuYW1lBjIAAAAGU3RyaW5nCSUAAAAGNAAAACRmODY0YTEyMi1mZTJiLTRjNzMtOGNmNC0xODY3ODE1OGYyZmUBy////9n/////////AQAAAAHK////2P///wAAAAAByf///9f///8CAAAAAAAAAAAByP///9b///8AAAAACgEAAAAAAAAAAAEAAAAABjkAAAAkYzZlYTIwYzgtOTFlNC00OGI3LThkNjctY2Y2YzMwOGE3MGMyBjoAAAAaVGFibGUuSW52ZW50VGFibGUuSXRlbU5hbWUKCgoKARYAAAAUAAAACTsAAAAJPAAAAAk9AAAABj4AAAAJTmFtZUFsaWFzBj8AAAALU2VhcmNoIG5hbWUGQAAAAAZTdHJpbmcJJQAAAAZCAAAAJDU1M2E1NjQ2LTBiNTItNGVmOC04Y2NiLTViODNkYjgzOGY3NAG9////2f////////8CAAAAAbz////Y////AAAAAAG7////1////wIAAAAAAAAAAAG6////1v///wAAAAAKAQAAAAAAAAAAAgAAAAAGRwAAACQ1ZDQyNmM4NC00MDI4LTRiZTQtYTVmNC00YjVkMjc1YTFlMDcGSAAAABtUYWJsZS5JbnZlbnRUYWJsZS5OYW1lQWxpYXMKCgoKARcAAAAUAAAACUkAAAAJSgAAAAlLAAAABkwAAAALSXRlbUdyb3VwSWQGTQAAAApJdGVtIGdyb3VwBk4AAAAGU3RyaW5nCSUAAAAGUAAAACQwNTZhZThmYi0xMzQwLTRjZWUtYTNiMi0zMjBjMjhjM2U0ZTMBr////9n/////////AwAAAAGu////2P///wAAAAABrf///9f///8CAAAAAAAAAAABrP///9b///8AAAAACgEAAAAAAAAAAAMAAAAABlUAAAAkZWQ3ZjNiZDQtNDBlOS00ZDE0LTlkMTEtMGMzNDBlZjZkNDkzBlYAAAAdVGFibGUuSW52ZW50VGFibGUuSXRlbUdyb3VwSWQKCgoKARgAAAAUAAAACVcAAAAJWAAAAAlZAAAABloAAAAISXRlbVR5cGUGWwAAAAlJdGVtIHR5cGUGXAAAAARFbnVtCSUAAAAGXgAAACQyMjIxMGY4MS0zMmYxLTQwMWItOTFiZi1kMWRkYzBlOGY4ZWUBof///9n/////////BAAAAAGg////2P///wAAAAABn////9f///8CAAAAAAAAAAABnv///9b///8AAAAACgEAAAAAAAAAAAQAAAAABmMAAAAkYTQ2YWJmMjctYjA1Ni00YzQ0LWE5YmUtMzVkOTJkNjY4MTAxBmQAAAAaVGFibGUuSW52ZW50VGFibGUuSXRlbVR5cGUKCgoKARkAAAAUAAAACWUAAAAJZgAAAAlnAAAABmgAAAAOVGF4SXRlbUdyb3VwSWQGaQAAABtTYWxlczogSXRlbSBzYWxlcyB0YXggZ3JvdXAGagAAAAZTdHJpbmcJJQAAAAZsAAAAJDk0ZWIwNDlmLTk5MjgtNDdmZC04ZTNhLTg3NTgxMjE1Mzg3YwGT////2f////////8FAAAAAZL////Y////AAAAAAGR////1////wIAAAAAAAAAAAGQ////1v///wAAAAAKAQAAAAAAAAAABQAAAAAGcQAAACRlZWNiYjQ5OS1jMGNkLTRiMmUtOTA0Ny05Y2I0ZDZlNzc2YTEGcgAAAD9UYWJsZS5JbnZlbnRUYWJsZS5JdGVtSWR+VGFibGUuSW52ZW50VGFibGVNb2R1bGUuVGF4SXRlbUdyb3VwSWQKCgoKARoAAAAUAAAACXMAAAAJdAAAAAl1AAAABnYAAAA3QXRsYXNNYW5hZ2VkQ29sdW1uXzhjODAyMTA4LTQ1ODQtNDEzMi04NGQzLTg1ZDY5ZmI1MjMyZQZ3AAAAHlB1cmNoYXNlOiBJdGVtIHNhbGVzIHRheCBncm91cAklAAAACSUAAAAGeQAAACQ4MmNiM2EyOC0zOThhLTRjOWQtYmFkMS1hMThjOTc2ZThjZDABhv///9n/////////BgAAAAGF////2P///wIAAAABhP///9f///8CAAAAAAAAAAABg////9b///8AAAAACgEAAAAAAAAAAAYAAAAABn4AAAAkMDk5YWRmOWUtZGE1MS00NDQ5LWFhOTYtZmM4NTY3NDc5MmM3CSUAAAAKCgoKBR0AAAA4R2xvYmVTb2Z0d2FyZS5BdGxhczQwLkF0bGFzQ29tbW9uQ2xpZW50LlJlcG9ydC5SZWZlcmVuY2UBAAAACl9yZWZlcmVuY2UHCBsAAAAJgAAAAAceAAAAAAEAAAAEAAAABDxHbG9iZVNvZnR3YXJlLkF0bGFzNDAuQXRsYXNDb21tb25DbGllbnQuRGF0YVNvdXJjZUZpZWxkVmFsdWUbAAAACYEAAAAJggAAAA0C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o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hgAAAAcAAAAJhwAAAAEtAAAAHwAAAAmIAAAAAQAAAAEAAAABLgAAACAAAAAZAAAACYQAAAAHAAAACYoAAAABLwAAACEAAAAVAAAACYYAAAAHAAAACYwAAAABOwAAAB8AAAAJjQAAAAEAAAABAAAAATwAAAAgAAAAGQAAAAmEAAAABwAAAAmPAAAAAT0AAAAhAAAAFQAAAAmGAAAABwAAAAmRAAAAAUkAAAAfAAAACZIAAAABAAAAAQAAAAFKAAAAIAAAABkAAAAJhAAAAAcAAAAJlAAAAAFLAAAAIQAAABUAAAAJhgAAAAcAAAAJlgAAAAFXAAAAHwAAAAmXAAAAAQAAAAEAAAABWAAAACAAAAAZAAAACYQAAAAHAAAACZkAAAABWQAAACEAAAAVAAAACYYAAAAHAAAACZsAAAABZQAAAB8AAAAJnAAAAAEAAAABAAAAAWYAAAAgAAAAGwAAAAmEAAAABwAAAAmeAAAAAWcAAAAhAAAAFQAAAAmGAAAABwAAAAmgAAAAAXMAAAAfAAAACaEAAAAAAAAAAAAAAAF0AAAAIAAAABMAAAAJhAAAAAcAAAAJowAAAAF1AAAAIQAAAA4AAAAJhgAAAAcAAAAJpQAAAA+AAAAAAQAAAAgBAAAABYEAAAA8R2xvYmVTb2Z0d2FyZS5BdGxhczQwLkF0bGFzQ29tbW9uQ2xpZW50LkRhdGFTb3VyY2VGaWVsZFZhbHVlBAAAABJfaXNEcmlsbERvd25GaWx0ZXIGX2RzS2V5Cl9maWVsZG5hbWULX2ZpZWxkVmFsdWUAAQEBARsAAAAABqYAAAARVGFibGUuSW52ZW50VGFibGUGpwAAAApEYXRhQXJlYUlkCQYAAAABggAAAIEAAAAABqkAAAAwVGFibGUuSW52ZW50VGFibGUuSXRlbUlkflRhYmxlLkludmVudFRhYmxlTW9kdWxlBqoAAAAKTW9kdWxlVHlwZQarAAAABVNhbGVzB4MAAAAAAQAAAAQAAAAEN0dsb2JlU29mdHdhcmUuQXRsYXM0MC5BdGxhc0NvbW1vbi5UeXBlLkZpZWxkT3V0cHV0RmllbGQOAAAACaw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S////Mkdsb2JlU29mdHdhcmUuQXRsYXM0MC5BdGxhc0NvbW1vbi5Db2x1bW5BdHRyaWJ1dGVzAQAAAAd2YWx1ZV9fAAgOAAAABgAAAAavAAAABVRvdGFsAVD///9T////AU////9S////EAAAAAayAAAABE5vbmUBTf///1P///8BTP///1L///8JAAAACSUAAAABSv///1P///8BSf///1L///8LAAAABrgAAAABMAFH////U////wFG////Uv///wQAAAAGuwAAAAdHZW5lcmFsAUT///9T////AUP///9S////AgAAAAa+AAAAATEBQf///1P///8BQP///1L///8AAAAABsEAAAAFMjIuMjk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+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MAAAAIRm9udEJvbGQGxAAAAAVGYWxzZQE7////Pv///wbGAAAACkZvbnRJdGFsaWMJxAAAAAE4////Pv///wbJAAAADUZvbnRVbmRlcmxpbmUGygAAAAUtNDE0MgE1////Pv///wbMAAAACEZvbnROYW1lBs0AAAAHQ2FsaWJyaQEy////Pv///wbPAAAACUZvbnRDb2xvcgbQAAAAATABL////z7///8G0gAAAAhGb250U2l6ZQbTAAAAAjExASz///8+////BtUAAAAJRm9udFN0eWxlBtYAAAAHUmVndWxhcgeIAAAAAAEAAAAEAAAABDdHbG9iZVNvZnR3YXJlLkF0bGFzNDAuQXRsYXNDb21tb24uVHlwZS5GaWVsZE91dHB1dEZpZWxkDgAAAAnXAA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j///9T////ASf///9S////EAAAAAmyAAAAASX///9T////AST///9S////CQAAAAklAAAAASL///9T////ASH///9S////CwAAAAbgAAAAATEBH////1P///8BHv///1L///8EAAAABuMAAAAHR2VuZXJhbAEc////U////wEb////Uv///wIAAAAG5gAAAAExARn///9T////ARj///9S////AAAAAAbpAAAABTE4Ljcx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///z7///8JwwAAAAnEAAAAARP///8+////CcYAAAAJxAAAAAEQ////Pv///wnJAAAABvIAAAAFLTQxNDIBDf///z7///8JzAAAAAb1AAAAB0NhbGlicmkBCv///z7///8JzwAAAAb4AAAAATABB////z7///8J0gAAAAb7AAAAAjExAQT///8+////CdUAAAAG/gAAAAdSZWd1bGFyB40AAAAAAQAAAAQAAAAEN0dsb2JlU29mdHdhcmUuQXRsYXM0MC5BdGxhc0NvbW1vbi5UeXBlLkZpZWxkT3V0cHV0RmllbGQOAAAACf8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P///1P///8B//7//1L///8QAAAACbIAAAAB/f7//1P///8B/P7//1L///8JAAAACSUAAAAB+v7//1P///8B+f7//1L///8LAAAABggBAAABMgH3/v//U////wH2/v//Uv///wQAAAAGCwEAAAdHZW5lcmFsAfT+//9T////AfP+//9S////AgAAAAYOAQAAATEB8f7//1P///8B8P7//1L///8AAAAABhEBAAACMTQ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v//Pv///wnDAAAACcQAAAAB6/7//z7///8JxgAAAAnEAAAAAej+//8+////CckAAAAGGgEAAAUtNDE0MgHl/v//Pv///wnMAAAABh0BAAAHQ2FsaWJyaQHi/v//Pv///wnPAAAABiABAAABMAHf/v//Pv///wnSAAAABiMBAAACMTEB3P7//z7///8J1QAAAAYmAQAAB1JlZ3VsYXIHkgAAAAABAAAABAAAAAQ3R2xvYmVTb2Z0d2FyZS5BdGxhczQwLkF0bGFzQ29tbW9uLlR5cGUuRmllbGRPdXRwdXRGaWVsZA4AAAAJJw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v//U////wHX/v//Uv///xAAAAAJsgAAAAHV/v//U////wHU/v//Uv///wkAAAAJJQAAAAHS/v//U////wHR/v//Uv///wsAAAAGMAEAAAEzAc/+//9T////Ac7+//9S////BAAAAAYzAQAAB0dlbmVyYWwBzP7//1P///8By/7//1L///8CAAAABjYBAAABMQHJ/v//U////wHI/v//Uv///wAAAAAGOQEAAAUxMi4yOQ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+//8+////CcMAAAAJxAAAAAHD/v//Pv///wnGAAAACcQAAAABwP7//z7///8JyQAAAAZCAQAABS00MTQyAb3+//8+////CcwAAAAGRQEAAAdDYWxpYnJpAbr+//8+////Cc8AAAAGSAEAAAEwAbf+//8+////CdIAAAAGSwEAAAIxMQG0/v//Pv///wnVAAAABk4BAAAHUmVndWxhcgeXAAAAAAEAAAAEAAAABDdHbG9iZVNvZnR3YXJlLkF0bGFzNDAuQXRsYXNDb21tb24uVHlwZS5GaWVsZE91dHB1dEZpZWxkDgAAAAlP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D+//9T////Aa/+//9S////EAAAAAmyAAAAAa3+//9T////Aaz+//9S////CQAAAAklAAAAAar+//9T////Aan+//9S////CwAAAAZYAQAAATQBp/7//1P///8Bpv7//1L///8EAAAABlsBAAAHR2VuZXJhbAGk/v//U////wGj/v//Uv///wIAAAAGXgEAAAExAaH+//9T////AaD+//9S////AAAAAAZhAQAABTExLjE0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7//z7///8JwwAAAAnEAAAAAZv+//8+////CcYAAAAJxAAAAAGY/v//Pv///wnJAAAABmoBAAAFLTQxNDIBlf7//z7///8JzAAAAAZtAQAAB0NhbGlicmkBkv7//z7///8JzwAAAAZwAQAAATABj/7//z7///8J0gAAAAZzAQAAAjExAYz+//8+////CdUAAAAGdgEAAAdSZWd1bGFyB5wAAAAAAQAAAAQAAAAEN0dsb2JlU29mdHdhcmUuQXRsYXM0MC5BdGxhc0NvbW1vbi5UeXBlLkZpZWxkT3V0cHV0RmllbGQOAAAACXcBAAANAwee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P7//1P///8Bh/7//1L///8kAAAACWkAAAABhf7//1P///8BhP7//1L///8KAAAABn0BAAAFRmFsc2UBgv7//1P///8Bgf7//1L///8JAAAACSUAAAABf/7//1P///8Bfv7//1L///8LAAAABoMBAAABNQF8/v//U////wF7/v//Uv///wQAAAAGhgEAAAdHZW5lcmFsAXn+//9T////AXj+//9S////AgAAAAaJAQAAATEBdv7//1P///8Bdf7//1L///8AAAAABowBAAAFMjYuMjk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v//Pv///wnDAAAACcQAAAABcP7//z7///8JxgAAAAnEAAAAAW3+//8+////CckAAAAGlQEAAAUtNDE0MgFq/v//Pv///wnMAAAABpgBAAAHQ2FsaWJyaQFn/v//Pv///wnPAAAABpsBAAABMAFk/v//Pv///wnSAAAABp4BAAACMTEBYf7//z7///8J1QAAAAahAQAAB1JlZ3VsYXIHoQAAAAABAAAAAAAAAAQ3R2xvYmVTb2Z0d2FyZS5BdGxhczQwLkF0bGFzQ29tbW9uLlR5cGUuRmllbGRPdXRwdXRGaWVsZA4AAAAHo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7+//9T////AV3+//9S////JAAAAAl3AAAAAVv+//9T////AVr+//9S////CwAAAAanAQAAATYBWP7//1P///8BV/7//1L///8EAAAABqoBAAAHR2VuZXJhbAFV/v//U////wFU/v//Uv///wIAAAAGrQEAAAExAVL+//9T////AVH+//9S////AAAAAAawAQAABTI5Ljg2AU/+//9T////AU7+//9S////AwAAAAazAQAAdz1BdGxhc1RhYmxlKCJVQVQiLERhdGFBcmVhSWQsIlQuSW52ZW50VGFibGVNb2R1bGUiLCIlVGF4SXRlbUdyb3VwSWQiLCIiLCIiLCIiLCIiLCIiLCIiLCJJdGVtSWR8TW9kdWxlVHlwZSIsJEEzLCJQdXJjaCIp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7//z7///8GtQEAAAhGb250Qm9sZAnEAAAAAUn+//8+////BrgBAAAKRm9udEl0YWxpYwnEAAAAAUb+//8+////BrsBAAANRm9udFVuZGVybGluZQa8AQAABS00MTQyAUP+//8+////Br4BAAAIRm9udE5hbWUGvwEAAAdDYWxpYnJpAUD+//8+////BsEBAAAJRm9udENvbG9yBsIBAAABMAE9/v//Pv///wbEAQAACEZvbnRTaXplBsUBAAACMTEBOv7//z7///8GxwEAAAlGb250U3R5bGUGyAEAAAdSZWd1bGFyBaw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Tf+///Z/////////wAGygEAAAZTdHJpbmcGywEAAAtJdGVtIG51bWJlcgnMAQAAATP+///X////AgAAAAUy/v//OUdsb2JlU29mdHdhcmUuQXRsYXM0MC5BdGxhc0NvbW1vbi5OdW1iZXJTZXF1ZW5jZUNvbmRpdGlvbgEAAAAHdmFsdWVfXwAIDgAAAAEAAAAAAAbPAQAAEVRhYmxlLkludmVudFRhYmxlCSIAAAAJJQAAAAr/////Cc8BAAAKCSIAAAAKCgoJJQAAAAnVAQAACSUAAAAB1wAAAKwAAAABKf7//9n/////////AAbYAQAABlN0cmluZwbZAQAACUl0ZW0gbmFtZQnMAQAAASX+///X////AgAAAAEk/v//Mv7//wEAAAAAAAnPAQAACTAAAAAJJQAAAAr/////Cc8BAAAKCTAAAAAKCgoJJQAAAAnjAQAACSUAAAAB/wAAAKwAAAABG/7//9n/////////AAbmAQAABlN0cmluZwbnAQAAC1NlYXJjaCBuYW1lCcwBAAABF/7//9f///8CAAAAARb+//8y/v//AQAAAAAACc8BAAAJPgAAAAklAAAACv////8JzwEAAAoJPgAAAAoKCgklAAAACfEBAAAJJQAAAAEnAQAArAAAAAEN/v//2f////////8ABvQBAAAGU3RyaW5nBvUBAAAKSXRlbSBncm91cAnMAQAAAQn+///X////AgAAAAEI/v//Mv7//wEAAAAAAAnPAQAACUwAAAAJJQAAAAr/////Cc8BAAAKCUwAAAAKCgoJJQAAAAn/AQAACSUAAAABTwEAAKwAAAAB//3//9n/////////AAYCAgAABEVudW0GAwIAAAlJdGVtIHR5cGUJzAEAAAH7/f//1////wIAAAAB+v3//zL+//8BAAAAAAAJzwEAAAlaAAAACSUAAAAK/////wnPAQAACglaAAAACgoKCSUAAAAJDQIAAAklAAAAAXcBAACsAAAAAfH9///Z/////////wAGEAIAAAZTdHJpbmcGEQIAABRJdGVtIHNhbGVzIHRheCBncm91cAkSAgAAAe39///X////AgAAAAHs/f//Mv7//wEAAAAAAAmpAAAACWgAAAAJJQAAAAr/////CakAAAAKCWgAAAAGGgIAAAZJdGVtSWQGGwIAAAtJbnZlbnRUYWJsZQoJJQAAAAkdAgAACSUAAAAFzA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YfAgAAC0ludmVudFRhYmxlBiACAAAFSXRlbXMJJQAAAAklAAAACSUAAAAF3v3//zBHbG9iZVNvZnR3YXJlLkF0bGFzNDAuQXRsYXNDb21tb24uRGF0YVNvdXJjZVR5cGUBAAAAB3ZhbHVlX18ACA4AAAAAAAAACSMCAAAJJAIAAATb/f//C1N5c3RlbS5HdWlkCwAAAAJfYQJfYgJfYwJfZAJfZQJfZgJfZwJfaAJfaQJfagJfawAAAAAAAAAAAAAACAcHAgICAgICAgI4iD2RgMzpTr6SsvVTRdRNCSUAAAAJJQAAAAknAgAACc8BAAAKCgoKCgEAAAAF1/3//zRHbG9iZVNvZnR3YXJlLkF0bGFzNDAuQXRsYXNDb21tb24uRGF0YVNvdXJjZUpvaW5Nb2RlAQAAAAd2YWx1ZV9fAAgOAAAAAAAAAAXW/f//NUdsb2JlU29mdHdhcmUuQXRsYXM0MC5BdGxhc0NvbW1vbi5EYXRhU291cmNlRmV0Y2hNb2RlAQAAAAd2YWx1ZV9fAAgOAAAAAAAAAAAJKwIAAAHVAQAAIQAAAA8AAAAJhgAAAAMAAAAJLQIAAAHjAQAAIQAAAA8AAAAJhgAAAAMAAAAJLwIAAAHxAQAAIQAAAA8AAAAJhgAAAAMAAAAJMQIAAAH/AQAAIQAAAA8AAAAJhgAAAAMAAAAJMwIAAAENAgAAIQAAAA8AAAAJhgAAAAMAAAAJNQIAAAESAgAAzAEAAP////8GNgIAABFJbnZlbnRUYWJsZU1vZHVsZQY3AgAAG0ludmVudG9yeSBtb2R1bGUgcGFyYW1ldGVycwklAAAACSUAAAAJJQAAAAHH/f//3v3//wAAAAAJOgIAAAk7AgAAAcT9///b/f//aznP1dcUKU2vmTBjOZXVwQklAAAACSUAAAAJPgIAAAmpAAAABkACAAALSW52ZW50VGFibGUGQQIAABFUYWJsZS5JbnZlbnRUYWJsZQZCAgAAGFRhYmxlLkludmVudFRhYmxlLkl0ZW1JZAZDAgAABkl0ZW1JZAZEAgAABkl0ZW1JZAEAAAABu/3//9f9//8AAAAAAbr9///W/f//AAAAAAAJRwIAAAEdAgAAIQAAAAwAAAAJhgAAAAMAAAAJSQIAAAQj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KAgAABwAAAAlLAgAABCQ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YAAAAJhgAAAAcAAAAJTQIAAAQn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lKAgAAAwAAAAlPAgAABCs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VACAAAAAAAABy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3//z7///8GUgIAAAhIZWxwVGV4dAZTAgAADklkZW50aWZ5IGl0ZW0uAaz9//8+////BlUCAAAFTGFiZWwJywEAAAGp/f//Pv///wZYAgAABFR5cGUJygEAAAc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b9//8+////CVICAAAGXAIAABhEZXNjcmlwdGlvbiBvZiB0aGUgaXRlbS4Bo/3//z7///8JVQIAAAnZAQAAAaD9//8+////CVgCAAAJ2AEAAAcx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8+////CVICAAAGZQIAACNGaW5kIGZhc3QgbmFtZSBhcHBseWluZyB0byB0aGUgaXRlbQGa/f//Pv///wlVAgAACecBAAABl/3//z7///8JWAIAAAnmAQAABz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3//z7///8JUgIAAAZuAgAAKEl0ZW0gZ3JvdXAgdGhhdCB0aGUgaXRlbSBpcyBhdHRhY2hlZCB0by4Bkf3//z7///8JVQIAAAn1AQAAAY79//8+////CVgCAAAJ9AEAAAc1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9//8+////CVICAAAGdwIAAC5UeXBlIGRldGVybWluaW5nIGhvdyB0aGUgaXRlbSBpcyBhZG1pbmlzdGVyZWQuAYj9//8+////CVUCAAAJAwIAAAGF/f//Pv///wlYAgAACQICAAABOgIAACMCAAABAAAACYYAAAADAAAACX8CAAABOwIAACQCAAABAAAACYYAAAADAAAACYECAAAEP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YAAAAAAAAAAUcCAAArAgAAAAAAAAmDAgAAAAAAAAdJ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z9//8+////CVUCAAAJEQIAAAF5/f//Pv///wlYAgAACRACAAABSgIAAAwAAAAHSw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dv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iwIAABhUYWJsZS5JbnZlbnRUYWJsZS5JdGVtSWQJrAAAAAFz/f//dv3//waOAgAAGlRhYmxlLkludmVudFRhYmxlLkl0ZW1OYW1lCdcAAAABcP3//3b9//8GkQIAABtUYWJsZS5JbnZlbnRUYWJsZS5OYW1lQWxpYXMJ/wAAAAFt/f//dv3//waUAgAAHVRhYmxlLkludmVudFRhYmxlLkl0ZW1Hcm91cElkCScBAAABav3//3b9//8GlwIAABpUYWJsZS5JbnZlbnRUYWJsZS5JdGVtVHlwZQlPAQAAB00C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n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poCAAAeVGFibGUuSW52ZW50VGFibGUuQ29uZmlndXJhYmxlCZsCAAABZP3//2f9//8GnQIAAB1UYWJsZS5JbnZlbnRUYWJsZS5JdGVtR3JvdXBJZAmeAgAAAWH9//9n/f//BqACAAAaVGFibGUuSW52ZW50VGFibGUuSXRlbU5hbWUJoQIAAAFe/f//Z/3//wajAgAAGFRhYmxlLkludmVudFRhYmxlLkl0ZW1JZAmkAgAAAVv9//9n/f//BqYCAAAaVGFibGUuSW52ZW50VGFibGUuSXRlbVR5cGUJpwIAAAFY/f//Z/3//wapAgAAG1RhYmxlLkludmVudFRhYmxlLk5hbWVBbGlhcwmqAgAAB08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FX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akAAAAJEgIAAARQ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fw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v3//3b9//8GrwIAAD9UYWJsZS5JbnZlbnRUYWJsZS5JdGVtSWR+VGFibGUuSW52ZW50VGFibGVNb2R1bGUuVGF4SXRlbUdyb3VwSWQJdwEAAAeB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/3//2f9//8GsgIAADtUYWJsZS5JbnZlbnRUYWJsZS5JdGVtSWR+VGFibGUuSW52ZW50VGFibGVNb2R1bGUuTW9kdWxlVHlwZQmzAgAAAYMCAABQAgAABZs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PAQAABrUCAAAMQ29uZmlndXJhYmxlCSUAAAAJJQAAAP////8JzwEAAAoJtQIAAAoKCgklAAAACboCAAAJJQAAAAGeAgAAmwIAAAnPAQAABr0CAAALSXRlbUdyb3VwSWQJJQAAAAklAAAA/////wnPAQAACgm9AgAACgoKCSUAAAAJwgIAAAklAAAAAaECAACbAgAACc8BAAAGxQIAAAhJdGVtTmFtZQklAAAACSUAAAD/////Cc8BAAAKCcUCAAAKCgoJJQAAAAnKAgAACSUAAAABpAIAAJsCAAAJzwEAAAbNAgAABkl0ZW1JZAklAAAACSUAAAD/////Cc8BAAAKCc0CAAAKCgoJJQAAAAnSAgAACSUAAAABpwIAAJsCAAAJzwEAAAbVAgAACEl0ZW1UeXBlCSUAAAAJJQAAAP////8JzwEAAAoJ1QIAAAoKCgklAAAACdoCAAAJJQAAAAGqAgAAmwIAAAnPAQAABt0CAAAJTmFtZUFsaWFzCSUAAAAJJQAAAP////8JzwEAAAoJ3QIAAAoKCgklAAAACeICAAAJJQAAAAGzAgAAmwIAAAmpAAAACaoAAAAJJQAAAAmrAAAA/////wmpAAAABukCAAARSW52ZW50VGFibGVNb2R1bGUJqgAAAAbrAgAABkl0ZW1JZAoKCSUAAAAJ7QIAAAklAAAAAboCAAAhAAAAAgAAAAmGAAAAAwAAAAnwAgAAAcICAAAhAAAAAgAAAAmGAAAAAwAAAAnyAgAAAcoCAAAhAAAAAgAAAAmGAAAAAwAAAAn0AgAAAdICAAAhAAAAAgAAAAmGAAAAAwAAAAn2AgAAAdoCAAAhAAAAAgAAAAmGAAAAAwAAAAn4AgAAAeICAAAhAAAAAgAAAAmGAAAAAwAAAAn6AgAAAe0CAAAhAAAADgAAAAmGAAAAAwAAAAn8AgAAB/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3//z7///8JWAIAAAb/AgAABEVudW0BAP3//z7///8JVQIAAAYCAwAADENvbmZpZ3VyYWJsZQfy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8+////CVgCAAAGBQMAAAZTdHJpbmcB+vz//z7///8JVQIAAAYIAwAACkl0ZW0gZ3JvdXAH9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P//Pv///wlYAgAABgsDAAAGU3RyaW5nAfT8//8+////CVUCAAAGDgMAAAlJdGVtIG5hbWUH9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P//Pv///wlYAgAABhEDAAAGU3RyaW5nAe78//8+////CVUCAAAGFAMAAAtJdGVtIG51bWJlcgf4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8//8+////CVgCAAAGFwMAAARFbnVtAej8//8+////CVUCAAAGGgMAAAlJdGVtIHR5cGUH+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P//Pv///wlYAgAABh0DAAAGU3RyaW5nAeL8//8+////CVUCAAAGIAMAAAtTZWFyY2ggbmFtZQf8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8//8+////CVgCAAAGIwMAAARFbnVtAdz8//8+////CVUCAAAGJgMAAAtNb2R1bGUgdHlwZQs=</Report>
</Atlas>
</file>

<file path=customXml/item5.xml><?xml version="1.0" encoding="utf-8"?>
<Atlas>
  <Query type="ReportList" id="4c249b38-93b9-4819-8d88-1ea9bff63b0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VGF4T25JdGVtBh4AAAAaSXRlbSBzYWxlcyB0YXggZ3JvdXAgc2V0dXAJCAAAAAkIAAAACQgAAAAF4P///zBHbG9iZVNvZnR3YXJlLkF0bGFzNDAuQXRsYXNDb21tb24uRGF0YVNvdXJjZVR5cGUBAAAAB3ZhbHVlX18ACAIAAAAAAAAACSEAAAAJIgAAAATd////C1N5c3RlbS5HdWlkCwAAAAJfYQJfYgJfYwJfZAJfZQJfZgJfZwJfaAJfaQJfagJfawAAAAAAAAAAAAAACAcHAgICAgICAgJEJ1yeWLZTS54nUMNaItt+CQgAAAAJCAAAAAklAAAABiYAAAAPVGFibGUuVGF4T25JdGVt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ZUYWJsZS5UYXhPbkl0ZW0uVGF4Q29kZX5UYWJsZS5UYXhUYWJsZQkxAAAABxQAAAAAAQAAAAQAAAAELUdsb2JlU29mdHdhcmUuQXRsYXM0MC5BdGxhc0NvbW1vbi5UeXBlLkNvbHVtbgIAAAAJMgAAAAkzAAAACTQAAAAKERUAAAAEAAAABjUAAAANQXRsYXNSZXBvcnRfMg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yP///8r///8GOQAAAA5UYWJsZS5UYXhUYWJsZ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NGMyNDliMzgtOTNiOS00ODE5LThkODgtMWVhOWJmZjYzYjAwAcL////F////AcH////E////AAAAAAZAAAAABHRydWUBv////8X///8Bvv///8T///8LAAAABkMAAAAaSXRlbSBzYWxlcyB0YXggZ3JvdXAgc2V0dXABvP///8X///8Bu////8T///8bAAAABkYAAAAEVHJ1ZQG5////xf///wG4////xP///wYAAAAGSQAAAAVGYWxzZQG2////xf///wG1////xP///xwAAAAJRgAAAAGz////xf///wGy////xP///x0AAAAJSQAAAAGw////xf///wGv////xP///yoAAAAJRgAAAAGt////xf///wGs////xP///wEAAAAGVQAAAAMzNzEBqv///8X///8Bqf///8T///8nAAAABlgAAAALPURhdGFBcmVhSWQBp////8X///8Bpv///8T///8ZAAAABlsAAAAPQ2VsbHNWZXJ0aWNhbGx5AaT////F////AaP////E////CQAAAAoBov///8X///8Bof///8T///8oAAAABmAAAAABMwGf////xf///wGe////xP///ysAAAAGYw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lAAAACVRheE9uSXRlbQEAAAABmv///5z///8GZwAAAAhUYXh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aAAAAAMAAAAJa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oAAAAAwAAAAls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0AAAAAAAAAByoAAAAAAQAAAAAAAAAELUdsb2JlU29mdHdhcmUuQXRsYXM0MC5BdGxhc0NvbW1vbi5UeXBlLkNvbHVtbgIAAAABMQAAAA4AAAD/////Bm4AAAAIVGF4VGFibGUGbwAAAA9TYWxlcyB0YXggY29kZXMJCAAAAAkIAAAACQgAAAABj////+D///8AAAAACXIAAAAJcwAAAAGM////3f///4WeuFywxLtLujMpYtMAdU4JCAAAAAkIAAAACXYAAAAJMAAAAAZ4AAAACVRheE9uSXRlbQZ5AAAAD1RhYmxlLlRheE9uSXRlbQZ6AAAAF1RhYmxlLlRheE9uSXRlbS5UYXhDb2RlBnsAAAAHVGF4Q29kZQZ8AAAAB1RheENvZGUBAAAAAYP////Z////AAAAAAGC////2P///wAAAAAACX8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AAAAAmBAAAACYIAAAAGgwAAAAxUYXhJdGVtR3JvdXAGhAAAABRJdGVtIHNhbGVzIHRheCBncm91cAaFAAAABlN0cmluZwkIAAAABocAAAAkZWQzZTgwZDAtMjI4YS00NzcwLThiNDYtNGU5NjI5ZDM1NGUwBXj///8tR2xvYmVTb2Z0d2FyZS5BdGxhczQwLkF0bGFzQ29tbW9uLkFnZ3JlZ2F0aW9uAQAAAAd2YWx1ZV9fAAgCAAAA/////wAAAAAFd////yxHbG9iZVNvZnR3YXJlLkF0bGFzNDAuQXRsYXNDb21tb24uQ29sdW1uVHlwZQEAAAAHdmFsdWVfXwAIAgAAAAAAAAAFdv///ytHbG9iZVNvZnR3YXJlLkF0bGFzNDAuQXRsYXNDb21tb24uU29ydE9yZGVyAQAAAAd2YWx1ZV9fAAgCAAAAAgAAAAAAAAAABXX///9AR2xvYmVTb2Z0d2FyZS5BdGxhczQwLkF0bGFzQ29tbW9uLlR5cGUuQ29sdW1uK0Nyb3NzVGFiQ29sdW1uVHlwZQEAAAAHdmFsdWVfXwAIAgAAAAAAAAAKAQAAAAAAAAAAAAAAAAAGjAAAACQ5NjFmNDFlMS04MzAwLTQzNWQtODJhOS05NDgyZTBjNzU5ODMGjQAAABxUYWJsZS5UYXhPbkl0ZW0uVGF4SXRlbUdyb3VwCgoKCgEzAAAAMgAAAAmOAAAACY8AAAAJkAAAAAaRAAAAB1RheENvZGUGkgAAAA5TYWxlcyB0YXggY29kZQaTAAAABlN0cmluZwkIAAAABpUAAAAkMmE5ZDgzMzQtNDQ3YS00MGJlLWI5MDAtYjlhY2FiZGFiN2VlAWr///94/////////wEAAAABaf///3f///8AAAAAAWj///92////AgAAAAAAAAAAAWf///91////AAAAAAoBAAAAAAAAAAABAAAAAAaaAAAAJDc2MmJjZjhjLTAxZTYtNDAyNS05ZTU5LThiNzgwMDk0ZDFiNgabAAAAF1RhYmxlLlRheE9uSXRlbS5UYXhDb2RlCgoKCgE0AAAAMgAAAAmcAAAACZ0AAAAJngAAAAafAAAAB1RheE5hbWUGoAAAAAROYW1lBqEAAAAGU3RyaW5nCQgAAAAGowAAACQxYWZmNTdjMi05NjhmLTQxZjItYTU0MC04NDVhN2YzYzRmYWUBXP///3j/////////AgAAAAFb////d////wAAAAABWv///3b///8CAAAAAAAAAAABWf///3X///8AAAAACgEAAAAAAAAAAAIAAAAABqgAAAAkYjZkZGM4MWMtMTUyZi00MjIyLThkZDEtM2UxNzJmMDc5OWJmBqkAAAAuVGFibGUuVGF4T25JdGVtLlRheENvZGV+VGFibGUuVGF4VGFibGUuVGF4TmFtZQoKCgoBaAAAABIAAAAHaQ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V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qwAAABxUYWJsZS5UYXhPbkl0ZW0uVGF4SXRlbUdyb3VwCawAAAABU////1b///8GrgAAABdUYWJsZS5UYXhPbkl0ZW0uVGF4Q29kZQmvAAAAB2w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D////U////CTAAAAAJMQAAAARt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cgAAACEAAAABAAAACRIAAAADAAAACbQAAAABcwAAACIAAAAAAAAACRIAAAAAAAAABH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F/AAAAKQAAAAAAAAAJtgAAAAAAAAAEg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wAAAAEAAAABAAAABI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m4AAAABwAAAAm5AAAABI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m7AAAAAY4AAACAAAAACbwAAAABAAAAAQAAAAGPAAAAgQAAABkAAAAJuAAAAAcAAAAJvgAAAAS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wAAAAAGcAAAAgAAAAAnBAAAAAQAAAAEAAAABnQAAAIEAAAARAAAACbgAAAAHAAAACcMAAAAEn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cUAAAAFr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Ov///3j/////////AAbHAAAABlN0cmluZwbIAAAAFEl0ZW0gc2FsZXMgdGF4IGdyb3VwCckAAAABNv///3b///8CAAAABTX///85R2xvYmVTb2Z0d2FyZS5BdGxhczQwLkF0bGFzQ29tbW9uLk51bWJlclNlcXVlbmNlQ29uZGl0aW9uAQAAAAd2YWx1ZV9fAAgCAAAAAQAAAAAABswAAAAPVGFibGUuVGF4T25JdGVtCYMAAAAJCAAAAAr/////CcwAAAAKCYMAAAAKCgoJCAAAAAnSAAAACQgAAAABrwAAAKwAAAABLP///3j/////////AAbVAAAABlN0cmluZwbWAAAADlNhbGVzIHRheCBjb2RlCckAAAABKP///3b///8CAAAAASf///81////AQAAAAAACcwAAAAJkQAAAAkIAAAACv////8JzAAAAAoJkQAAAAoKCgkIAAAACeAAAAAJCAAAAAe0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///Vv///wbjAAAALlRhYmxlLlRheE9uSXRlbS5UYXhDb2RlflRhYmxlLlRheFRhYmxlLlRheE5hbWUJ5AAAAAG2AAAAbQAAAAe3AAAAAAEAAAAEAAAABDdHbG9iZVNvZnR3YXJlLkF0bGFzNDAuQXRsYXNDb21tb24uVHlwZS5GaWVsZE91dHB1dEZpZWxkAgAAAAmsAAAADQMEu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u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Br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Gf///zJHbG9iZVNvZnR3YXJlLkF0bGFzNDAuQXRsYXNDb21tb24uQ29sdW1uQXR0cmlidXRlcwEAAAAHdmFsdWVfXwAIAgAAAAYAAAAG6AAAAAVUb3RhbAEX////Gv///wEW////Gf///xAAAAAG6wAAAAROb25lART///8a////ARP///8Z////CQAAAAkIAAAAARH///8a////ARD///8Z////CwAAAAbxAAAAATABDv///xr///8BDf///xn///8EAAAABvQAAAAHR2VuZXJhbAEL////Gv///wEK////Gf///wIAAAAG9wAAAAExAQj///8a////AQf///8Z////AAAAAAb6AAAAAjQzB7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8AAAACEZvbnRCb2xkBv0AAAAFRmFsc2UBAv///wX///8G/wAAAApGb250SXRhbGljCf0AAAAB//7//wX///8GAgEAAA1Gb250VW5kZXJsaW5lBgMBAAAFLTQxNDIB/P7//wX///8GBQEAAAhGb250TmFtZQYGAQAAB0NhbGlicmkB+f7//wX///8GCAEAAAlGb250Q29sb3IGCQEAAAEwAfb+//8F////BgsBAAAIRm9udFNpemUGDAEAAAIxMQHz/v//Bf///wYOAQAACUZvbnRTdHlsZQYPAQAAB1JlZ3VsYXIHvAAAAAABAAAABAAAAAQ3R2xvYmVTb2Z0d2FyZS5BdGxhczQwLkF0bGFzQ29tbW9uLlR5cGUuRmllbGRPdXRwdXRGaWVsZAIAAAAJrwAAAA0DB74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Gv///wHu/v//Gf///xAAAAAJ6wAAAAHs/v//Gv///wHr/v//Gf///wkAAAAJCAAAAAHp/v//Gv///wHo/v//Gf///wsAAAAGGQEAAAExAeb+//8a////AeX+//8Z////BAAAAAYcAQAAB0dlbmVyYWwB4/7//xr///8B4v7//xn///8CAAAABh8BAAABMQHg/v//Gv///wHf/v//Gf///wAAAAAGIgEAAAUxNS4xNAf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8F////CfwAAAAJ/QAAAAHa/v//Bf///wn/AAAACf0AAAAB1/7//wX///8JAgEAAAYrAQAABS00MTQyAdT+//8F////CQUBAAAGLgEAAAdDYWxpYnJpAdH+//8F////CQgBAAAGMQEAAAEwAc7+//8F////CQsBAAAGNAEAAAIxMQHL/v//Bf///wkOAQAABjcBAAAHUmVndWxhcgfBAAAAAAEAAAAEAAAABDdHbG9iZVNvZnR3YXJlLkF0bGFzNDAuQXRsYXNDb21tb24uVHlwZS5GaWVsZE91dHB1dEZpZWxkAgAAAAnkAAAADQMHw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8a////Acb+//8Z////CQAAAAkIAAAAAcT+//8a////AcP+//8Z////CwAAAAY+AQAAATIBwf7//xr///8BwP7//xn///8EAAAABkEBAAAHR2VuZXJhbAG+/v//Gv///wG9/v//Gf///wIAAAAGRAEAAAExAbv+//8a////Abr+//8Z////AAAAAAZHAQAABTI5LjU3B8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7//wX///8GSQEAAAhGb250Qm9sZAn9AAAAAbX+//8F////BkwBAAAKRm9udEl0YWxpYwn9AAAAAbL+//8F////Bk8BAAANRm9udFVuZGVybGluZQZQAQAABS00MTQyAa/+//8F////BlIBAAAIRm9udE5hbWUGUwEAAAdDYWxpYnJpAaz+//8F////BlUBAAAJRm9udENvbG9yBlYBAAABMAGp/v//Bf///wZYAQAACEZvbnRTaXplBlkBAAACMTEBpv7//wX///8GWwEAAAlGb250U3R5bGUGXAEAAAdSZWd1bGFyAckAAAAOAAAAsgEAAAZdAQAACVRheE9uSXRlbQZeAQAAGkl0ZW0gc2FsZXMgdGF4IGdyb3VwIHNldHVwCQgAAAAJCAAAAAkIAAAAAaD+///g////AAAAAAlhAQAACWIBAAABnf7//93///+uOTc+aswFRY6jECwqNAA7CQgAAAAJCAAAAAllAQAACcwAAAAKCgoKCgEAAAABmf7//9n///8AAAAAAZj+///Y////AAAAAAAJaQEAAAT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EgAAAAMAAAAJawEAAAT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EgAAAAMAAAAJbQEAAAHkAAAArAAAAAGS/v//eP////////8ABm8BAAAGU3RyaW5nBnABAAAETmFtZQkxAAAAAY7+//92////AgAAAAGN/v//Nf///wEAAAAAAAkwAAAACZ8AAAAJCAAAAAr/////CTAAAAAKCZ8AAAAGeQEAAAdUYXhDb2RlBnoBAAAJVGF4T25JdGVtCgkIAAAACXwBAAAJCAAAAAFhAQAAIQAAAAIAAAAJfgEAAAMAAAAJfwEAAAFiAQAAIgAAAAAAAAAJfgEAAAAAAAAEZQ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4BAAAAAAAAAWkBAAApAAAAAAAAAAmBAQAAAAAAAAdr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+//8F////BoMBAAAISGVscFRleHQGhAEAADtHcm91cGUgZGUgY29kZXMgdGF4ZSBwb3V2YW50IMOqdHJlIGNhbGN1bMOpIHBvdXIgdW4gYXJ0aWNsZQF7/v//Bf///waGAQAABUxhYmVsCcgAAAABeP7//wX///8GiQEAAARUeXBlCccAAAAHb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/v//Bf///wmDAQAABo0BAAAqQ29kZSB0YXhlIGRhbnMgbGUgZ3JvdXBlIGRlIHRheGUgZCdhcnRpY2xlAXL+//8F////CYYBAAAJ1gAAAAFv/v//Bf///wmJAQAACdUAAAAEf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ZUBAAABfgEAABIAAAAHfw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v7//1b///8GlwEAABxUYWJsZS5UYXhPbkl0ZW0uVGF4SXRlbUdyb3VwCawAAAABZ/7//1b///8GmgEAABdUYWJsZS5UYXhPbkl0ZW0uVGF4Q29kZQmvAAAAAYEBAABtAAAAB5U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X///8JhgEAAAlwAQAAAWH+//8F////CYkBAAAJbwEAAAs=
    <Output>
      <OutputObject name="AtlasReport_2"/>
    </Output>
  </Query>
</Atlas>
</file>

<file path=customXml/item6.xml><?xml version="1.0" encoding="utf-8"?>
<Atlas>
  <Query type="ReportList" id="5d777ad4-5c76-49d4-b9f9-3c30341f54d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mazXx5aFMNFnv8EO9PSRCE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CAAAAAQtR2xvYmVTb2Z0d2FyZS5BdGxhczQwLkF0bGFzQ29tbW9uLlR5cGUuQ29sdW1uAgAAAAkyAAAACTMAAAAJNAAAAAk1AAAACTYAAAAJNwAAAAk4AAAAChEVAAAABAAAAAY5AAAADUF0bGFzUmVwb3J0XzY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T////G////Bj0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f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A////Pkdsb2JlU29mdHdhcmUuQXRsYXM0MC5BdGxhc0NvbW1vbi5UeXBlLkF0bGFzUXVlcnlBdHRyaWJ1dGVOYW1lAQAAAAd2YWx1ZV9fAAgCAAAAAgAAAAZBAAAAJDVkNzc3YWQ0LTVjNzYtNDlkNC1iOWY5LTNjMzAzNDFmNTRkMQG+////wf///wG9////wP///wAAAAAGRAAAAAR0cnVlAbv////B////Abr////A////CwAAAAZHAAAABUl0ZW1zAbj////B////Abf////A////GwAAAAZKAAAABFRydWUBtf///8H///8BtP///8D///8GAAAABk0AAAAFRmFsc2UBsv///8H///8Bsf///8D///8cAAAACUoAAAABr////8H///8Brv///8D///8dAAAACU0AAAABrP///8H///8Bq////8D///8qAAAACUoAAAABqf///8H///8BqP///8D///8BAAAABlkAAAADMzcxAab////B////AaX////A////JwAAAAZcAAAACz1EYXRhQXJlYUlkAaP////B////AaL////A////GQAAAAZfAAAAD0NlbGxzVmVydGljYWxseQGg////wf///wGf////wP///wkAAAAKAZ7////B////AZ3////A////KAAAAAZkAAAAATcBm////8H///8Bmv///8D///8rAAAABmc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j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QAAAAtJbnZlbnRUYWJsZQEAAAABlv///5j///8Gaw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bAAAAAcAAAAJb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sAAAAAwAAAAlw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EAAAAAAAAAByoAAAAAAQAAAAAAAAAELUdsb2JlU29mdHdhcmUuQXRsYXM0MC5BdGxhc0NvbW1vbi5UeXBlLkNvbHVtbgIAAAABMQAAAA4AAAD/////BnIAAAARSW52ZW50VGFibGVNb2R1bGUGcwAAABtJbnZlbnRvcnkgbW9kdWxlIHBhcmFtZXRlcnMJCAAAAAkIAAAACQgAAAABi////+D///8AAAAACXYAAAAJdwAAAAGI////3f///2s5z9XXFClNr5kwYzmV1cEJCAAAAAkIAAAACXoAAAAJMAAAAAZ8AAAAC0ludmVudFRhYmxlBn0AAAARVGFibGUuSW52ZW50VGFibGUGfgAAABhUYWJsZS5JbnZlbnRUYWJsZS5JdGVtSWQGfwAAAAZJdGVtSWQGgAAAAAZJdGVtSWQBAAAAAX/////Z////AAAAAAF+////2P///wAAAAAACYM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hAAAAAmFAAAACYYAAAAGhwAAAAZJdGVtSWQGiAAAAAtJdGVtIG51bWJlcgaJAAAABlN0cmluZwkIAAAABosAAAAkYzM0YzQ2YTktZDIxZi00NGQwLThhM2EtNjAxZTIzYjI2ODlh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RmMzU0NGE4OS01ZmIxLTRiNmQtOTg4NC0xMmMzZjAwZGVkMDYGkQAAABhUYWJsZS5JbnZlbnRUYWJsZS5JdGVtSWQKCgoKATMAAAAyAAAACZIAAAAJkwAAAAmUAAAABpUAAAAISXRlbU5hbWUGlgAAAAlJdGVtIG5hbWUGlwAAAAZTdHJpbmcJCAAAAAaZAAAAJGY4NjRhMTIyLWZlMmItNGM3My04Y2Y0LTE4Njc4MTU4ZjJmZQFm////dP////////8BAAAAAWX///9z////AAAAAAFk////cv///wIAAAAAAAAAAAFj////cf///wAAAAAKAQAAAAAAAAAAAQAAAAAGngAAACRjNmVhMjBjOC05MWU0LTQ4YjctOGQ2Ny1jZjZjMzA4YTcwYzIGnwAAABpUYWJsZS5JbnZlbnRUYWJsZS5JdGVtTmFtZQoKCgoBNAAAADIAAAAJoAAAAAmhAAAACaIAAAAGowAAAAlOYW1lQWxpYXMGpAAAAAtTZWFyY2ggbmFtZQalAAAABlN0cmluZwkIAAAABqcAAAAkNTUzYTU2NDYtMGI1Mi00ZWY4LThjY2ItNWI4M2RiODM4Zjc0AVj///90/////////wIAAAABV////3P///8AAAAAAVb///9y////AgAAAAAAAAAAAVX///9x////AAAAAAoBAAAAAAAAAAACAAAAAAasAAAAJDVkNDI2Yzg0LTQwMjgtNGJlNC1hNWY0LTRiNWQyNzVhMWUwNwatAAAAG1RhYmxlLkludmVudFRhYmxlLk5hbWVBbGlhcwoKCgoBNQAAADIAAAAJrgAAAAmvAAAACbAAAAAGsQAAAAtJdGVtR3JvdXBJZAayAAAACkl0ZW0gZ3JvdXAGswAAAAZTdHJpbmcJCAAAAAa1AAAAJDA1NmFlOGZiLTEzNDAtNGNlZS1hM2IyLTMyMGMyOGMzZTRlMwFK////dP////////8DAAAAAUn///9z////AAAAAAFI////cv///wIAAAAAAAAAAAFH////cf///wAAAAAKAQAAAAAAAAAAAwAAAAAGugAAACRlZDdmM2JkNC00MGU5LTRkMTQtOWQxMS0wYzM0MGVmNmQ0OTMGuwAAAB1UYWJsZS5JbnZlbnRUYWJsZS5JdGVtR3JvdXBJZAoKCgoBNgAAADIAAAAJvAAAAAm9AAAACb4AAAAGvwAAAAhJdGVtVHlwZQbAAAAACUl0ZW0gdHlwZQbBAAAABEVudW0JCAAAAAbDAAAAJDIyMjEwZjgxLTMyZjEtNDAxYi05MWJmLWQxZGRjMGU4ZjhlZQE8////dP////////8EAAAAATv///9z////AAAAAAE6////cv///wIAAAAAAAAAAAE5////cf///wAAAAAKAQAAAAAAAAAABAAAAAAGyAAAACRhNDZhYmYyNy1iMDU2LTRjNDQtYTliZS0zNWQ5MmQ2NjgxMDEGyQAAABpUYWJsZS5JbnZlbnRUYWJsZS5JdGVtVHlwZQoKCgoBNwAAADIAAAAJygAAAAnLAAAACcwAAAAGzQAAAA5UYXhJdGVtR3JvdXBJZAbOAAAAG1NhbGVzOiBJdGVtIHNhbGVzIHRheCBncm91cAbPAAAABlN0cmluZwkIAAAABtEAAAAkOTRlYjA0OWYtOTkyOC00N2ZkLThlM2EtODc1ODEyMTUzODdjAS7///90/////////wUAAAABLf///3P///8AAAAAASz///9y////AgAAAAAAAAAAASv///9x////AAAAAAoBAAAAAAAAAAAFAAAAAAbWAAAAJGVlY2JiNDk5LWMwY2QtNGIyZS05MDQ3LTljYjRkNmU3NzZhMQbXAAAAP1RhYmxlLkludmVudFRhYmxlLkl0ZW1JZH5UYWJsZS5JbnZlbnRUYWJsZU1vZHVsZS5UYXhJdGVtR3JvdXBJZAoKCgoBOAAAADIAAAAJ2AAAAAnZAAAACdoAAAAG2wAAADdBdGxhc01hbmFnZWRDb2x1bW5fOGM4MDIxMDgtNDU4NC00MTMyLTg0ZDMtODVkNjlmYjUyMzJlBtwAAAAeUHVyY2hhc2U6IEl0ZW0gc2FsZXMgdGF4IGdyb3VwCQgAAAAJCAAAAAbeAAAAJDgyY2IzYTI4LTM5OGEtNGM5ZC1iYWQxLWExOGM5NzZlOGNkMAEh////dP////////8GAAAAASD///9z////AgAAAAEf////cv///wIAAAAAAAAAAAEe////cf///wAAAAAKAQAAAAAAAAAABgAAAAAG4wAAACQwOTlhZGY5ZS1kYTUxLTQ0NDktYWE5Ni1mYzg1Njc0NzkyYzcJCAAAAAoKCgoBbAAAABIAAAAHbQA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G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5gAAABhUYWJsZS5JbnZlbnRUYWJsZS5JdGVtSWQJ5wAAAAEY////G////wbpAAAAGlRhYmxlLkludmVudFRhYmxlLkl0ZW1OYW1lCeoAAAABFf///xv///8G7AAAABtUYWJsZS5JbnZlbnRUYWJsZS5OYW1lQWxpYXMJ7QAAAAES////G////wbvAAAAHVRhYmxlLkludmVudFRhYmxlLkl0ZW1Hcm91cElkCfAAAAABD////xv///8G8gAAABpUYWJsZS5JbnZlbnRUYWJsZS5JdGVtVHlwZQnz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Qz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g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n6AAAABHo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DAAAAKQAAAAAAAAAJ/AAAAAAAAAAEh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/QAAAAEAAAABAAAABI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n+AAAABwAAAAn/AAAABI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BAQAAAZIAAACEAAAACQIBAAABAAAAAQAAAAGTAAAAhQAAABkAAAAJ/gAAAAcAAAAJBAEAAAS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BgEAAAGgAAAAhAAAAAkHAQAAAQAAAAEAAAABoQAAAIUAAAAZAAAACf4AAAAHAAAACQk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QsBAAABrgAAAIQAAAAJDAEAAAEAAAABAAAAAa8AAACFAAAAGQAAAAn+AAAABwAAAAkO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QAQAAAbwAAACEAAAACREBAAABAAAAAQAAAAG9AAAAhQAAABkAAAAJ/gAAAAcAAAAJEw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FQEAAAHKAAAAhAAAAAkWAQAAAQAAAAEAAAABywAAAIUAAAAbAAAACf4AAAAHAAAACRg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RoBAAAB2AAAAIQAAAAJGwEAAAAAAAAAAAAAAdkAAACFAAAAEwAAAAn+AAAABwAAAAkd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kfAQAABec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D+//90/////////wAGIQEAAAZTdHJpbmcGIgEAAAtJdGVtIG51bWJlcgkjAQAAAdz+//9y////AgAAAAXb/v//OUdsb2JlU29mdHdhcmUuQXRsYXM0MC5BdGxhc0NvbW1vbi5OdW1iZXJTZXF1ZW5jZUNvbmRpdGlvbgEAAAAHdmFsdWVfXwAIAgAAAAEAAAAAAAYmAQAAEVRhYmxlLkludmVudFRhYmxlCYcAAAAJCAAAAAr/////CSYBAAAKCYcAAAAKCgoJCAAAAAksAQAACQgAAAAB6gAAAOcAAAAB0v7//3T/////////AAYvAQAABlN0cmluZwYwAQAACUl0ZW0gbmFtZQkjAQAAAc7+//9y////AgAAAAHN/v//2/7//wEAAAAAAAkmAQAACZUAAAAJCAAAAAr/////CSYBAAAKCZUAAAAKCgoJCAAAAAk6AQAACQgAAAAB7QAAAOcAAAABxP7//3T/////////AAY9AQAABlN0cmluZwY+AQAAC1NlYXJjaCBuYW1lCSMBAAABwP7//3L///8CAAAAAb/+///b/v//AQAAAAAACSYBAAAJowAAAAkIAAAACv////8JJgEAAAoJowAAAAoKCgkIAAAACUgBAAAJCAAAAAHwAAAA5wAAAAG2/v//dP////////8ABksBAAAGU3RyaW5nBkwBAAAKSXRlbSBncm91cAkjAQAAAbL+//9y////AgAAAAGx/v//2/7//wEAAAAAAAkmAQAACbEAAAAJCAAAAAr/////CSYBAAAKCbEAAAAKCgoJCAAAAAlWAQAACQgAAAAB8wAAAOcAAAABqP7//3T/////////AAZZAQAABEVudW0GWgEAAAlJdGVtIHR5cGUJIwEAAAGk/v//cv///wIAAAABo/7//9v+//8BAAAAAAAJJgEAAAm/AAAACQgAAAAK/////wkmAQAACgm/AAAACgoKCQgAAAAJZAEAAAkIAAAAB/g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r+//8b////BmcBAAA/VGFibGUuSW52ZW50VGFibGUuSXRlbUlkflRhYmxlLkludmVudFRhYmxlTW9kdWxlLlRheEl0ZW1Hcm91cElkCWgBAAAH+g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Jf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agEAADtUYWJsZS5JbnZlbnRUYWJsZS5JdGVtSWR+VGFibGUuSW52ZW50VGFibGVNb2R1bGUuTW9kdWxlVHlwZQlrAQAAAfwAAABxAAAAB/0AAAAAAQAAAAQAAAAEN0dsb2JlU29mdHdhcmUuQXRsYXM0MC5BdGxhc0NvbW1vbi5UeXBlLkZpZWxkT3V0cHV0RmllbGQCAAAACecAAAANAwT+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/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S/v//Mkdsb2JlU29mdHdhcmUuQXRsYXM0MC5BdGxhc0NvbW1vbi5Db2x1bW5BdHRyaWJ1dGVzAQAAAAd2YWx1ZV9fAAgCAAAABgAAAAZvAQAABVRvdGFsAZD+//+T/v//AY/+//+S/v//EAAAAAZyAQAABE5vbmUBjf7//5P+//8BjP7//5L+//8JAAAACQgAAAABiv7//5P+//8Bif7//5L+//8LAAAABngBAAABMAGH/v//k/7//wGG/v//kv7//wQAAAAGewEAAAdHZW5lcmFsAYT+//+T/v//AYP+//+S/v//AgAAAAZ+AQAAATEBgf7//5P+//8BgP7//5L+//8AAAAABoEBAAAFMjIuMjkHA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+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MBAAAIRm9udEJvbGQGhAEAAAVGYWxzZQF7/v//fv7//waGAQAACkZvbnRJdGFsaWMJhAEAAAF4/v//fv7//waJAQAADUZvbnRVbmRlcmxpbmUGigEAAAUtNDE0MgF1/v//fv7//waMAQAACEZvbnROYW1lBo0BAAAHQ2FsaWJyaQFy/v//fv7//waPAQAACUZvbnRDb2xvcgaQAQAAATABb/7//37+//8GkgEAAAhGb250U2l6ZQaTAQAAAjExAWz+//9+/v//BpUBAAAJRm9udFN0eWxlBpYBAAAHUmVndWxhcgcCAQAAAAEAAAAEAAAABDdHbG9iZVNvZnR3YXJlLkF0bGFzNDAuQXRsYXNDb21tb24uVHlwZS5GaWVsZE91dHB1dEZpZWxkAgAAAAnqAAAADQMHB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j+//+T/v//AWf+//+S/v//EAAAAAlyAQAAAWX+//+T/v//AWT+//+S/v//CQAAAAkIAAAAAWL+//+T/v//AWH+//+S/v//CwAAAAagAQAAATEBX/7//5P+//8BXv7//5L+//8EAAAABqMBAAAHR2VuZXJhbAFc/v//k/7//wFb/v//kv7//wIAAAAGpgEAAAExAVn+//+T/v//AVj+//+S/v//AAAAAAapAQAABTE4LjcxBw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7//37+//8JgwEAAAmEAQAAAVP+//9+/v//CYYBAAAJhAEAAAFQ/v//fv7//wmJAQAABrIBAAAFLTQxNDIBTf7//37+//8JjAEAAAa1AQAAB0NhbGlicmkBSv7//37+//8JjwEAAAa4AQAAATABR/7//37+//8JkgEAAAa7AQAAAjExAUT+//9+/v//CZUBAAAGvgEAAAdSZWd1bGFyBwcBAAAAAQAAAAQAAAAEN0dsb2JlU29mdHdhcmUuQXRsYXM0MC5BdGxhc0NvbW1vbi5UeXBlLkZpZWxkT3V0cHV0RmllbGQCAAAACe0AAAANAwc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7//5P+//8BP/7//5L+//8QAAAACXIBAAABPf7//5P+//8BPP7//5L+//8JAAAACQgAAAABOv7//5P+//8BOf7//5L+//8LAAAABsgBAAABMgE3/v//k/7//wE2/v//kv7//wQAAAAGywEAAAdHZW5lcmFsATT+//+T/v//ATP+//+S/v//AgAAAAbOAQAAATEBMf7//5P+//8BMP7//5L+//8AAAAABtEBAAACMTQHC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v//fv7//wmDAQAACYQBAAABK/7//37+//8JhgEAAAmEAQAAASj+//9+/v//CYkBAAAG2gEAAAUtNDE0MgEl/v//fv7//wmMAQAABt0BAAAHQ2FsaWJyaQEi/v//fv7//wmPAQAABuABAAABMAEf/v//fv7//wmSAQAABuMBAAACMTEBHP7//37+//8JlQEAAAbmAQAAB1JlZ3VsYXIHDAEAAAABAAAABAAAAAQ3R2xvYmVTb2Z0d2FyZS5BdGxhczQwLkF0bGFzQ29tbW9uLlR5cGUuRmllbGRPdXRwdXRGaWVsZAIAAAAJ8AAAAA0DBw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/v//k/7//wEX/v//kv7//xAAAAAJcgEAAAEV/v//k/7//wEU/v//kv7//wkAAAAJCAAAAAES/v//k/7//wER/v//kv7//wsAAAAG8AEAAAEzAQ/+//+T/v//AQ7+//+S/v//BAAAAAbzAQAAB0dlbmVyYWwBDP7//5P+//8BC/7//5L+//8CAAAABvYBAAABMQEJ/v//k/7//wEI/v//kv7//wAAAAAG+QEAAAUxMi4yOQ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+//9+/v//CYMBAAAJhAEAAAED/v//fv7//wmGAQAACYQBAAABAP7//37+//8JiQEAAAYCAgAABS00MTQyAf39//9+/v//CYwBAAAGBQIAAAdDYWxpYnJpAfr9//9+/v//CY8BAAAGCAIAAAEwAff9//9+/v//CZIBAAAGCwIAAAIxMQH0/f//fv7//wmVAQAABg4CAAAHUmVndWxhcgcRAQAAAAEAAAAEAAAABDdHbG9iZVNvZnR3YXJlLkF0bGFzNDAuQXRsYXNDb21tb24uVHlwZS5GaWVsZE91dHB1dEZpZWxkAgAAAAnzAAAADQMHE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9//+T/v//Ae/9//+S/v//EAAAAAlyAQAAAe39//+T/v//Aez9//+S/v//CQAAAAkIAAAAAer9//+T/v//Aen9//+S/v//CwAAAAYYAgAAATQB5/3//5P+//8B5v3//5L+//8EAAAABhsCAAAHR2VuZXJhbAHk/f//k/7//wHj/f//kv7//wIAAAAGHgIAAAExAeH9//+T/v//AeD9//+S/v//AAAAAAYhAgAABTExLjE0Bx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3//37+//8JgwEAAAmEAQAAAdv9//9+/v//CYYBAAAJhAEAAAHY/f//fv7//wmJAQAABioCAAAFLTQxNDIB1f3//37+//8JjAEAAAYtAgAAB0NhbGlicmkB0v3//37+//8JjwEAAAYwAgAAATABz/3//37+//8JkgEAAAYzAgAAAjExAcz9//9+/v//CZUBAAAGNgIAAAdSZWd1bGFyBxYBAAAAAQAAAAQAAAAEN0dsb2JlU29mdHdhcmUuQXRsYXM0MC5BdGxhc0NvbW1vbi5UeXBlLkZpZWxkT3V0cHV0RmllbGQCAAAACWgBAAANAwcY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P3//5P+//8Bx/3//5L+//8kAAAACc4AAAABxf3//5P+//8BxP3//5L+//8KAAAACU0AAAABwv3//5P+//8Bwf3//5L+//8JAAAACQgAAAABv/3//5P+//8Bvv3//5L+//8LAAAABkMCAAABNQG8/f//k/7//wG7/f//kv7//wQAAAAGRgIAAAdHZW5lcmFsAbn9//+T/v//Abj9//+S/v//AgAAAAZJAgAAATEBtv3//5P+//8Btf3//5L+//8AAAAABkwCAAAFMjYuMjkHG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fv7//wmDAQAACYQBAAABsP3//37+//8JhgEAAAmEAQAAAa39//9+/v//CYkBAAAGVQIAAAUtNDE0MgGq/f//fv7//wmMAQAABlgCAAAHQ2FsaWJyaQGn/f//fv7//wmPAQAABlsCAAABMAGk/f//fv7//wmSAQAABl4CAAACMTEBof3//37+//8JlQEAAAZhAgAAB1JlZ3VsYXIHGwEAAAABAAAAAAAAAAQ3R2xvYmVTb2Z0d2FyZS5BdGxhczQwLkF0bGFzQ29tbW9uLlR5cGUuRmllbGRPdXRwdXRGaWVsZAIAAAAHH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79//+T/v//AZ39//+S/v//JAAAAAncAAAAAZv9//+T/v//AZr9//+S/v//CwAAAAZnAgAAATYBmP3//5P+//8Bl/3//5L+//8EAAAABmoCAAAHR2VuZXJhbAGV/f//k/7//wGU/f//kv7//wIAAAAGbQIAAAExAZL9//+T/v//AZH9//+S/v//AAAAAAZwAgAABTI5Ljg2AY/9//+T/v//AY79//+S/v//AwAAAAZzAgAAdz1BdGxhc1RhYmxlKCJVQVQiLERhdGFBcmVhSWQsIlQuSW52ZW50VGFibGVNb2R1bGUiLCIlVGF4SXRlbUdyb3VwSWQiLCIiLCIiLCIiLCIiLCIiLCIiLCJJdGVtSWR8TW9kdWxlVHlwZSIsJEEzLCJQdXJjaCIpBx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37+//8GdQIAAAhGb250Qm9sZAmEAQAAAYn9//9+/v//BngCAAAKRm9udEl0YWxpYwmEAQAAAYb9//9+/v//BnsCAAANRm9udFVuZGVybGluZQZ8AgAABS00MTQyAYP9//9+/v//Bn4CAAAIRm9udE5hbWUGfwIAAAdDYWxpYnJpAYD9//9+/v//BoECAAAJRm9udENvbG9yBoICAAABMAF9/f//fv7//waEAgAACEZvbnRTaXplBoUCAAACMTEBev3//37+//8GhwIAAAlGb250U3R5bGUGiAIAAAdSZWd1bGFyASMBAAAOAAAArwAAAAaJAgAAC0ludmVudFRhYmxlBooCAAAFSXRlbXMJCAAAAAkIAAAACQgAAAABdP3//+D///8AAAAACY0CAAAJjgIAAAFx/f//3f///ziIPZGAzOlOvpKy9VNF1E0JCAAAAAkIAAAACZECAAAJJgEAAAoKCgoKAQAAAAFt/f//2f///wAAAAABbP3//9j///8AAAAAAAmVAgAABC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XAgAABD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ZAgAABE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bAgAABF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dAgAABG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mfAgAAAWgBAADnAAAAAWD9//90/////////wAGoQIAAAZTdHJpbmcGogIAABRJdGVtIHNhbGVzIHRheCBncm91cAkxAAAAAVz9//9y////AgAAAAFb/f//2/7//wEAAAAAAAkwAAAACc0AAAAJCAAAAAr/////CTAAAAAKCc0AAAAGqwIAAAZJdGVtSWQGrAIAAAtJbnZlbnRUYWJsZQoJCAAAAAmuAgAACQgAAAAFa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sQIAAApNb2R1bGVUeXBlCQgAAAAGswIAAAVTYWxlc/////8JMAAAAAa1AgAAEUludmVudFRhYmxlTW9kdWxlCbECAAAGtwIAAAZJdGVtSWQKCgkIAAAACbkCAAAJCAAAAAGNAgAAIQAAAAcAAAAJuwIAAAcAAAAJvAIAAASO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GAAAACRIAAAAHAAAACb4CAAABkQIAAAQAAAABAAAACbsCAAADAAAACcACAAABlQIAACkAAAAAAAAACcECAAAAAAAAB5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3//37+//8GwwIAAAhIZWxwVGV4dAbEAgAADklkZW50aWZ5IGl0ZW0uATv9//9+/v//BsYCAAAFTGFiZWwJIgEAAAE4/f//fv7//wbJAgAABFR5cGUJIQEAAAeZ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9//9+/v//CcMCAAAGzQIAABhEZXNjcmlwdGlvbiBvZiB0aGUgaXRlbS4BMv3//37+//8JxgIAAAkwAQAAAS/9//9+/v//CckCAAAJLwEAAAe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9//9+/v//CcMCAAAG1gIAACNGaW5kIGZhc3QgbmFtZSBhcHBseWluZyB0byB0aGUgaXRlbQEp/f//fv7//wnGAgAACT4BAAABJv3//37+//8JyQIAAAk9AQAAB50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3//37+//8JwwIAAAbfAgAAKEl0ZW0gZ3JvdXAgdGhhdCB0aGUgaXRlbSBpcyBhdHRhY2hlZCB0by4BIP3//37+//8JxgIAAAlMAQAAAR39//9+/v//CckCAAAJSwEAAAef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9//9+/v//CcMCAAAG6AIAAC5UeXBlIGRldGVybWluaW5nIGhvdyB0aGUgaXRlbSBpcyBhZG1pbmlzdGVyZWQuARf9//9+/v//CcYCAAAJWgEAAAEU/f//fv7//wnJAgAACVkB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RIAAAADAAAACfACAAAEu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fICAAABuwIAABIAAAAHv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Df3//xv///8G9AIAABhUYWJsZS5JbnZlbnRUYWJsZS5JdGVtSWQJ5wAAAAEK/f//G////wb3AgAAGlRhYmxlLkludmVudFRhYmxlLkl0ZW1OYW1lCeoAAAABB/3//xv///8G+gIAABtUYWJsZS5JbnZlbnRUYWJsZS5OYW1lQWxpYXMJ7QAAAAEE/f//G////wb9AgAAHVRhYmxlLkludmVudFRhYmxlLkl0ZW1Hcm91cElkCfAAAAABAf3//xv///8GAAMAABpUYWJsZS5JbnZlbnRUYWJsZS5JdGVtVHlwZQnzAAAAB74C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+/P//l/7//wYDAwAAHlRhYmxlLkludmVudFRhYmxlLkNvbmZpZ3VyYWJsZQkEAwAAAfv8//+X/v//BgYDAAAdVGFibGUuSW52ZW50VGFibGUuSXRlbUdyb3VwSWQJBwMAAAH4/P//l/7//wYJAwAAGlRhYmxlLkludmVudFRhYmxlLkl0ZW1OYW1lCQoDAAAB9fz//5f+//8GDAMAABhUYWJsZS5JbnZlbnRUYWJsZS5JdGVtSWQJDQMAAAHy/P//l/7//wYPAwAAGlRhYmxlLkludmVudFRhYmxlLkl0ZW1UeXBlCRADAAAB7/z//5f+//8GEgMAABtUYWJsZS5JbnZlbnRUYWJsZS5OYW1lQWxpYXMJEwMAAAfA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P//1P///wkwAAAACTEAAAABwQIAAHEAAAAH8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P//fv7//wnGAgAACaICAAAB5vz//37+//8JyQIAAAmhAgAAB/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z//37+//8JyQIAAAYfAwAABEVudW0B4Pz//37+//8JxgIAAAYiAwAAC01vZHVsZSB0eXBlAQQDAABrAQAACSYBAAAGJAMAAAxDb25maWd1cmFibGUJCAAAAAkIAAAA/////wkmAQAACgkkAwAACgoKCQgAAAAJKQMAAAkIAAAAAQcDAABrAQAACSYBAAAGLAMAAAtJdGVtR3JvdXBJZAkIAAAACQgAAAD/////CSYBAAAKCSwDAAAKCgoJCAAAAAkxAwAACQgAAAABCgMAAGsBAAAJJgEAAAY0AwAACEl0ZW1OYW1lCQgAAAAJCAAAAP////8JJgEAAAoJNAMAAAoKCgkIAAAACTkDAAAJCAAAAAENAwAAawEAAAkmAQAABjwDAAAGSXRlbUlkCQgAAAAJCAAAAP////8JJgEAAAoJPAMAAAoKCgkIAAAACUEDAAAJCAAAAAEQAwAAawEAAAkmAQAABkQDAAAISXRlbVR5cGUJCAAAAAkIAAAA/////wkmAQAACglEAwAACgoKCQgAAAAJSQMAAAkIAAAAARMDAABrAQAACSYBAAAGTAMAAAlOYW1lQWxpYXMJCAAAAAkIAAAA/////wkmAQAACglMAwAACgoKCQgAAAAJUQMAAAkIAAAABC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UAwAABD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WAwAABD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YAwAABE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aAwAABEk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cAwAABF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leAw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z//37+//8JyQIAAAZhAwAABEVudW0Bnvz//37+//8JxgIAAAZkAwAADENvbmZpZ3VyYWJsZQd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9+/v//CckCAAAGZwMAAAZTdHJpbmcBmPz//37+//8JxgIAAAZqAwAACkl0ZW0gZ3JvdXA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fv7//wnJAgAABm0DAAAGU3RyaW5nAZL8//9+/v//CcYCAAAGcAMAAAlJdGVtIG5hbWUHW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P//fv7//wnJAgAABnMDAAAGU3RyaW5nAYz8//9+/v//CcYCAAAGdgMAAAtJdGVtIG51bWJlcgdc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8//9+/v//CckCAAAGeQMAAARFbnVtAYb8//9+/v//CcYCAAAGfAMAAAlJdGVtIHR5cGUHX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P//fv7//wnJAgAABn8DAAAGU3RyaW5nAYD8//9+/v//CcYCAAAGggMAAAtTZWFyY2ggbmFtZQs=
    <Output>
      <OutputObject name="AtlasReport_6"/>
    </Output>
  </Query>
</Atlas>
</file>

<file path=customXml/item7.xml><?xml version="1.0" encoding="utf-8"?>
<Atlas>
  <Query type="ReportList" id="6848c969-3896-4221-8792-02a49996693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g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IVGF4VGFibGUGHgAAAA9TYWxlcyB0YXggY29kZXMJCAAAAAkIAAAACQgAAAAF4P///zBHbG9iZVNvZnR3YXJlLkF0bGFzNDAuQXRsYXNDb21tb24uRGF0YVNvdXJjZVR5cGUBAAAAB3ZhbHVlX18ACAIAAAAAAAAACSEAAAAJIgAAAATd////C1N5c3RlbS5HdWlkCwAAAAJfYQJfYgJfYwJfZAJfZQJfZgJfZwJfaAJfaQJfagJfawAAAAAAAAAAAAAACAcHAgICAgICAgK5CQjr4olZSKS6MIAVzbC8CQgAAAAJCAAAAAklAAAABiYAAAAOVGFibGUuVGF4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JFRhYmxlLlRheFRhYmxlLlRheENvZGV+VGFibGUuVGF4RGF0YQkxAAAABxQAAAAAAQAAABAAAAAELUdsb2JlU29mdHdhcmUuQXRsYXM0MC5BdGxhc0NvbW1vbi5UeXBlLkNvbHVtbgIAAAAJMgAAAAkzAAAACTQAAAAJNQAAAAk2AAAACTcAAAAJOAAAAAk5AAAACToAAAAJOwAAAA0GERUAAAAEAAAABjwAAAANQXRsYXNSZXBvcnRfMw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f///8P///8GQAAAAA1UYWJsZS5UYXhEYXRh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7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f///z5HbG9iZVNvZnR3YXJlLkF0bGFzNDAuQXRsYXNDb21tb24uVHlwZS5BdGxhc1F1ZXJ5QXR0cmlidXRlTmFtZQEAAAAHdmFsdWVfXwAIAgAAAAIAAAAGRAAAACQ2ODQ4Yzk2OS0zODk2LTQyMjEtODc5Mi0wMmE0OTk5NjY5MzkBu////77///8Buv///73///8AAAAABkcAAAAEdHJ1ZQG4////vv///wG3////vf///wsAAAAGSgAAAA9TYWxlcyB0YXggY29kZXMBtf///77///8BtP///73///8bAAAABk0AAAAEVHJ1ZQGy////vv///wGx////vf///wYAAAAGUAAAAAVGYWxzZQGv////vv///wGu////vf///xwAAAAJTQAAAAGs////vv///wGr////vf///x0AAAAJUAAAAAGp////vv///wGo////vf///yoAAAAJTQAAAAGm////vv///wGl////vf///wEAAAAGXAAAAAMzNzEBo////77///8Bov///73///8nAAAABl8AAAALPURhdGFBcmVhSWQBoP///77///8Bn////73///8ZAAAABmIAAAAPQ2VsbHNWZXJ0aWNhbGx5AZ3///++////AZz///+9////CQAAAAoBm////77///8Bmv///73///8oAAAABmcAAAACMTABmP///77///8Bl////73///8rAAAABmo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AAAAAhUYXhUYWJsZQEAAAABk////5X///8GbgAAAAdUYXhEYXRh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vAAAAEQAAAAlw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8AAAADAAAACXM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AAAAAAAAAAHKgAAAAABAAAAAAAAAAQtR2xvYmVTb2Z0d2FyZS5BdGxhczQwLkF0bGFzQ29tbW9uLlR5cGUuQ29sdW1uAgAAAAExAAAADgAAAP////8GdQAAAAdUYXhEYXRhBnYAAAARU2FsZXMgdGF4IGRldGFpbHMJCAAAAAkIAAAACQgAAAABiP///+D///8AAAAACXkAAAAJegAAAAGF////3f///61v0+hWLmtKo8bDuFVu4GgJCAAAAAkIAAAACX0AAAAJMAAAAAZ/AAAACFRheFRhYmxlBoAAAAAOVGFibGUuVGF4VGFibGUGgQAAABZUYWJsZS5UYXhUYWJsZS5UYXhDb2RlBoIAAAAHVGF4Q29kZQaDAAAAB1RheENvZGUBAAAAAXz////Z////AAAAAAF7////2P///wAAAAAACYY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hwAAAAmIAAAACYkAAAAGigAAAAdUYXhDb2RlBosAAAAOU2FsZXMgdGF4IGNvZGUGjAAAAAZTdHJpbmcJCAAAAAaOAAAAJDQyOWRiYTBkLWY3ODMtNDE5ZC04YzJlLTA5MjI5ZWFlMWE2MwVx////LUdsb2JlU29mdHdhcmUuQXRsYXM0MC5BdGxhc0NvbW1vbi5BZ2dyZWdhdGlvbgEAAAAHdmFsdWVfXwAIAgAAAP////8AAAAABXD///8sR2xvYmVTb2Z0d2FyZS5BdGxhczQwLkF0bGFzQ29tbW9uLkNvbHVtblR5cGUBAAAAB3ZhbHVlX18ACAIAAAAAAAAABW////8rR2xvYmVTb2Z0d2FyZS5BdGxhczQwLkF0bGFzQ29tbW9uLlNvcnRPcmRlcgEAAAAHdmFsdWVfXwAIAgAAAAIAAAAAAAAAAAVu////QEdsb2JlU29mdHdhcmUuQXRsYXM0MC5BdGxhc0NvbW1vbi5UeXBlLkNvbHVtbitDcm9zc1RhYkNvbHVtblR5cGUBAAAAB3ZhbHVlX18ACAIAAAAAAAAACgEAAAAAAAAAAAAAAAAABpMAAAAkZmIyNTZkM2ItMjhlZC00NzQ5LWI4ZTktNTQ2M2VkYWUxNWQxBpQAAAAWVGFibGUuVGF4VGFibGUuVGF4Q29kZQoKCgoBMwAAADIAAAAJlQAAAAmWAAAACZcAAAAGmAAAAAdUYXhOYW1lBpkAAAAETmFtZQaaAAAABlN0cmluZwkIAAAABpwAAAAkZTM4NDMzOWItNzYxYS00ZmIxLTk1NjItNzFiZjM5ODlhN2RkAWP///9x/////////wEAAAABYv///3D///8AAAAAAWH///9v////AgAAAAAAAAAAAWD///9u////AAAAAAoBAAAAAAAAAAABAAAAAAahAAAAJDQ3YTcxNjFhLWFkODMtNDhjMS1iN2RlLWNmYTQ2ODJkYTU2ZAaiAAAAFlRhYmxlLlRheFRhYmxlLlRheE5hbWUKCgoKATQAAAAyAAAACaMAAAAJpAAAAAmlAAAABqYAAAAJVGF4UGVyaW9kBqcAAAARU2V0dGxlbWVudCBwZXJpb2QGqAAAAAZTdHJpbmcJCAAAAAaqAAAAJDQ5NjgzZDkxLTc1MDAtNDgxMy04OTg5LTdmM2UyODliODc5YwFV////cf////////8CAAAAAVT///9w////AAAAAAFT////b////wIAAAAAAAAAAAFS////bv///wAAAAAKAQAAAAAAAAAAAgAAAAAGrwAAACRmMDFhMjNhYi1jM2ZiLTRiY2QtYWVjYy1kZjU4NTNhNDA2ZDAGsAAAABhUYWJsZS5UYXhUYWJsZS5UYXhQZXJpb2QKCgoKATUAAAAyAAAACbEAAAAJsgAAAAmzAAAABrQAAAAHVGF4VW5pdAa1AAAABFVuaXQGtgAAAAZTdHJpbmcJCAAAAAa4AAAAJDg5NTE1NDc1LWRiM2EtNDI0MS1iODZjLTU4ZTYxOTI5MmZkYQFH////cf////////8DAAAAAUb///9w////AAAAAAFF////b////wIAAAAAAAAAAAFE////bv///wAAAAAKAQAAAAAAAAAAAwAAAAAGvQAAACRjZjJkODIxOS1lNjdhLTRhOTctYWNlNS0yMzZkYWIwYTYwM2QGvgAAABZUYWJsZS5UYXhUYWJsZS5UYXhVbml0CgoKCgE2AAAAMgAAAAm/AAAACcAAAAAJwQAAAAbCAAAAD1RheEFjY291bnRHcm91cAbDAAAAFExlZGdlciBwb3N0aW5nIGdyb3VwBsQAAAAGU3RyaW5nCQgAAAAGxgAAACQzYjIwNzYzMy05OWU2LTQ3N2EtOTU5NC0wOTA5YWE0OWE4NDkBOf///3H/////////BAAAAAE4////cP///wAAAAABN////2////8CAAAAAAAAAAABNv///27///8AAAAACgEAAAAAAAAAAAQAAAAABssAAAAkMWE1ZjliNzEtZDk3OS00OTMzLWI2YTYtZjczZTRjMWM5YTE2BswAAAAeVGFibGUuVGF4VGFibGUuVGF4QWNjb3VudEdyb3VwCgoKCgE3AAAAMgAAAAnNAAAACc4AAAAJzwAAAAbQAAAAB1RheEJhc2UG0QAAAAZPcmlnaW4G0gAAAARFbnVtCQgAAAAG1AAAACRjYmM5NjlmNS0zM2VkLTQ4ZTAtYmY3ZC03ZGUxZDQ3MTE2MGUBK////3H/////////BQAAAAEq////cP///wAAAAABKf///2////8CAAAAAAAAAAABKP///27///8AAAAACgEAAAAAAAAAAAUAAAAABtkAAAAkODlhOGJiY2QtNzM2MS00NjA0LTk5MTAtYWFjNzg2N2RiNDEzBtoAAAAWVGFibGUuVGF4VGFibGUuVGF4QmFzZQoKCgoBOAAAADIAAAAJ2wAAAAncAAAACd0AAAAG3gAAAA1UYXhDYWxjTWV0aG9kBt8AAAAVTWV0aG9kIG9mIGNhbGN1bGF0aW9uBuAAAAAERW51bQkIAAAABuIAAAAkMjg4ZDdlODMtODdjZC00MmJhLTk3NzctZDQzNjFiOWYxZmI4AR3///9x/////////wYAAAABHP///3D///8AAAAAARv///9v////AgAAAAAAAAAAARr///9u////AAAAAAoBAAAAAAAAAAAGAAAAAAbnAAAAJDE3ZTQyMDM0LTNmYmEtNDhkYi1hYjJiLTY4OTkwMDIzMzEzYQboAAAAHFRhYmxlLlRheFRhYmxlLlRheENhbGNNZXRob2QKCgoKATkAAAAyAAAACekAAAAJ6gAAAAnrAAAABuwAAAAMVGF4TGltaXRCYXNlBu0AAAANTWFyZ2luYWwgYmFzZQbuAAAABEVudW0JCAAAAAbwAAAAJDM5ODhkNTYyLWM1OGItNGI4OC1hYWJmLTAzMzU0NTBiNzZiNwEP////cf////////8HAAAAAQ7///9w////AAAAAAEN////b////wIAAAAAAAAAAAEM////bv///wAAAAAKAQAAAAAAAAAABwAAAAAG9QAAACQyOTliNTM2Yy04NTlhLTQxYjctOGMzZi03MjE1NGFjZDY3M2UG9gAAABtUYWJsZS5UYXhUYWJsZS5UYXhMaW1pdEJhc2UKCgoKAToAAAAyAAAACfcAAAAJ+AAAAAn5AAAABvoAAAAIVGF4T25UYXgG+wAAABZTYWxlcyB0YXggb24gc2FsZXMgdGF4BvwAAAAGU3RyaW5nCQgAAAAG/gAAACRkZTIwMzljNi1kYjlkLTQzM2MtOTY4MS0xNDlkYmMwODMwYzkBAf///3H/////////CAAAAAEA////cP///wAAAAAB//7//2////8CAAAAAAAAAAAB/v7//27///8AAAAACgEAAAAAAAAAAAgAAAAABgMBAAAkNGZhZWI3NDEtMDgwMi00NjNmLWI1YjQtNzEyNTZlY2JkNTI1BgQBAAAXVGFibGUuVGF4VGFibGUuVGF4T25UYXgKCgoKATsAAAAyAAAACQUBAAAJBgEAAAkHAQAABggBAAAIVGF4VmFsdWUGCQEAAAVWYWx1ZQYKAQAABFJlYWwJCAAAAAYMAQAAJDJmODEzYTJjLWU5NWEtNDUwNS1hMGVjLTE1ZjkyMTZjNzUxNwHz/v//cf////////8JAAAAAfL+//9w////AAAAAAHx/v//b////wIAAAAAAAAAAAHw/v//bv///wAAAAAKAQAAAAAAAAAACQAAAAAGEQEAACRmZjA5MzRkZC03ZjEwLTQ3MDktYWFlNy04N2RjNDc1YmJkNGEGEgEAAC1UYWJsZS5UYXhUYWJsZS5UYXhDb2RlflRhYmxlLlRheERhdGEuVGF4VmFsdWUKCgoKAW8AAAASAAAAB3AA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O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QBAAAWVGFibGUuVGF4VGFibGUuVGF4Q29kZQkVAQAAAer+///t/v//BhcBAAAWVGFibGUuVGF4VGFibGUuVGF4TmFtZQkYAQAAAef+///t/v//BhoBAAAYVGFibGUuVGF4VGFibGUuVGF4UGVyaW9kCRsBAAAB5P7//+3+//8GHQEAABZUYWJsZS5UYXhUYWJsZS5UYXhVbml0CR4BAAAB4f7//+3+//8GIAEAAB5UYWJsZS5UYXhUYWJsZS5UYXhBY2NvdW50R3JvdXAJIQEAAAHe/v//7f7//wYjAQAAFlRhYmxlLlRheFRhYmxlLlRheEJhc2UJJAEAAAHb/v//7f7//wYmAQAAHFRhYmxlLlRheFRhYmxlLlRheENhbGNNZXRob2QJJwEAAAHY/v//7f7//wYpAQAAG1RhYmxlLlRheFRhYmxlLlRheExpbWl0QmFzZQkqAQAAAdX+///t/v//BiwBAAAXVGFibGUuVGF4VGFibGUuVGF4T25UYXgJLQEAAAdz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v//1P///wkwAAAACTEAAAAEd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kAAAAhAAAAAQAAAAkSAAAAAwAAAAkyAQAAAXoAAAAiAAAAAAAAAAkSAAAAAAAAAAR9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hgAAACkAAAAAAAAACTQBAAAAAAAABIc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TUBAAABAAAAAQAAAASI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oAAAAJNgEAAAcAAAAJNw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OAEAAAcAAAAJOQEAAAGVAAAAhwAAAAk6AQAAAQAAAAEAAAABlgAAAIgAAAAZAAAACTYBAAAHAAAACTwB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TgBAAAHAAAACT4BAAABowAAAIcAAAAJPwEAAAEAAAABAAAAAaQAAACIAAAAGQAAAAk2AQAABwAAAAlBAQ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4AQAABwAAAAlDAQAAAbEAAACHAAAACUQBAAABAAAAAQAAAAGyAAAAiAAAABkAAAAJNgEAAAcAAAAJRg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OAEAAAcAAAAJSAEAAAG/AAAAhwAAAAlJAQAAAQAAAAEAAAABwAAAAIgAAAAZAAAACTYBAAAHAAAACUs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TgBAAAHAAAACU0BAAABzQAAAIcAAAAJTgEAAAEAAAABAAAAAc4AAACIAAAAGQAAAAk2AQAABwAAAAlQ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4AQAABwAAAAlSAQAAAdsAAACHAAAACVMBAAABAAAAAQAAAAHcAAAAiAAAABkAAAAJNgEAAAcAAAAJVQ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OAEAAAcAAAAJVwEAAAHpAAAAhwAAAAlYAQAAAQAAAAEAAAAB6gAAAIgAAAAZAAAACTYBAAAHAAAACVo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TgBAAAHAAAACVwBAAAB9wAAAIcAAAAJXQEAAAEAAAABAAAAAfgAAACIAAAAGQAAAAk2AQAABwAAAAlfAQAABP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4AQAABwAAAAlhAQAAAQUBAACHAAAACWIBAAABAAAAAQAAAAEGAQAAiAAAABEAAAAJYwEAAAcAAAAJZA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ZgEAAAU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Z/v//cf////////8ABmgBAAAGU3RyaW5nBmkBAAAOU2FsZXMgdGF4IGNvZGUJagEAAAGV/v//b////wIAAAAFlP7//zlHbG9iZVNvZnR3YXJlLkF0bGFzNDAuQXRsYXNDb21tb24uTnVtYmVyU2VxdWVuY2VDb25kaXRpb24BAAAAB3ZhbHVlX18ACAIAAAABAAAAAAAGbQEAAA5UYWJsZS5UYXhUYWJsZQmKAAAACQgAAAAK/////wltAQAACgmKAAAACgoKCQgAAAAJcwEAAAkIAAAAARgBAAAVAQAAAYv+//9x/////////wAGdgEAAAZTdHJpbmcGdwEAAAROYW1lCWoBAAABh/7//2////8CAAAAAYb+//+U/v//AQAAAAAACW0BAAAJmAAAAAkIAAAACv////8JbQEAAAoJmAAAAAoKCgkIAAAACYEBAAAJCAAAAAEbAQAAFQEAAAF9/v//cf////////8ABoQBAAAGU3RyaW5nBoUBAAARU2V0dGxlbWVudCBwZXJpb2QJagEAAAF5/v//b////wIAAAABeP7//5T+//8BAAAAAAAJbQEAAAmmAAAACQgAAAAK/////wltAQAACgmmAAAACgoKCQgAAAAJjwEAAAkIAAAAAR4BAAAVAQAAAW/+//9x/////////wAGkgEAAAZTdHJpbmcGkwEAAARVbml0CWoBAAABa/7//2////8CAAAAAWr+//+U/v//AQAAAAAACW0BAAAJtAAAAAkIAAAACv////8JbQEAAAoJtAAAAAoKCgkIAAAACZ0BAAAJCAAAAAEhAQAAFQEAAAFh/v//cf////////8ABqABAAAGU3RyaW5nBqEBAAAUTGVkZ2VyIHBvc3RpbmcgZ3JvdXAJagEAAAFd/v//b////wIAAAABXP7//5T+//8BAAAAAAAJbQEAAAnCAAAACQgAAAAK/////wltAQAACgnCAAAACgoKCQgAAAAJqwEAAAkIAAAAASQBAAAVAQAAAVP+//9x/////////wAGrgEAAARFbnVtBq8BAAAGT3JpZ2luCWoBAAABT/7//2////8CAAAAAU7+//+U/v//AQAAAAAACW0BAAAJ0AAAAAkIAAAACv////8JbQEAAAoJ0AAAAAoKCgkIAAAACbkBAAAJCAAAAAEnAQAAFQEAAAFF/v//cf////////8ABrwBAAAERW51bQa9AQAAFU1ldGhvZCBvZiBjYWxjdWxhdGlvbglqAQAAAUH+//9v////AgAAAAFA/v//lP7//wEAAAAAAAltAQAACd4AAAAJCAAAAAr/////CW0BAAAKCd4AAAAKCgoJCAAAAAnHAQAACQgAAAABKgEAABUBAAABN/7//3H/////////AAbKAQAABEVudW0GywEAAA1NYXJnaW5hbCBiYXNlCWoBAAABM/7//2////8CAAAAATL+//+U/v//AQAAAAAACW0BAAAJ7AAAAAkIAAAACv////8JbQEAAAoJ7AAAAAoKCgkIAAAACdUBAAAJCAAAAAEtAQAAFQEAAAEp/v//cf////////8ABtgBAAAGU3RyaW5nBtkBAAAWU2FsZXMgdGF4IG9uIHNhbGVzIHRheAlqAQAAASX+//9v////AgAAAAEk/v//lP7//wEAAAAAAAltAQAACfoAAAAJCAAAAAr/////CW0BAAAKCfoAAAAKCgoJCAAAAAnjAQAACQgAAAAHM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/7//+3+//8G5gEAAC1UYWJsZS5UYXhUYWJsZS5UYXhDb2RlflRhYmxlLlRheERhdGEuVGF4VmFsdWUJ5wEAAAE0AQAAdAAAAAc1AQAAAAEAAAAEAAAABDdHbG9iZVNvZnR3YXJlLkF0bGFzNDAuQXRsYXNDb21tb24uVHlwZS5GaWVsZE91dHB1dEZpZWxkAgAAAAkVAQAADQMEN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N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B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Fv7//zJHbG9iZVNvZnR3YXJlLkF0bGFzNDAuQXRsYXNDb21tb24uQ29sdW1uQXR0cmlidXRlcwEAAAAHdmFsdWVfXwAIAgAAAAYAAAAG6wEAAAVUb3RhbAEU/v//F/7//wET/v//Fv7//xAAAAAG7gEAAAROb25lARH+//8X/v//ARD+//8W/v//CQAAAAkIAAAAAQ7+//8X/v//AQ3+//8W/v//CwAAAAb0AQAAATABC/7//xf+//8BCv7//xb+//8EAAAABvcBAAAHR2VuZXJhbAEI/v//F/7//wEH/v//Fv7//wIAAAAG+gEAAAExAQX+//8X/v//AQT+//8W/v//AAAAAAb9AQAABDcuODYBOAEAABIAAAA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c6AQAAAAEAAAAEAAAABDdHbG9iZVNvZnR3YXJlLkF0bGFzNDAuQXRsYXNDb21tb24uVHlwZS5GaWVsZE91dHB1dEZpZWxkAgAAAAkYAQAADQMHP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X/v//Aev9//8W/v//EAAAAAnuAQAAAen9//8X/v//Aej9//8W/v//CQAAAAkIAAAAAeb9//8X/v//AeX9//8W/v//CwAAAAYcAgAAATEB4/3//xf+//8B4v3//xb+//8EAAAABh8CAAAHR2VuZXJhbAHg/f//F/7//wHf/f//Fv7//wIAAAAGIgIAAAExAd39//8X/v//Adz9//8W/v//AAAAAAYlAgAABTI5LjU3Bz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3//wL+//8J/wEAAAkAAgAAAdf9//8C/v//CQICAAAJAAIAAAHU/f//Av7//wkFAgAABi4CAAAFLTQxNDIB0f3//wL+//8JCAIAAAYxAgAAB0NhbGlicmkBzv3//wL+//8JCwIAAAY0AgAAATABy/3//wL+//8JDgIAAAY3AgAAAjExAcj9//8C/v//CRECAAAGOgIAAAdSZWd1bGFyBz8BAAAAAQAAAAQAAAAEN0dsb2JlU29mdHdhcmUuQXRsYXM0MC5BdGxhc0NvbW1vbi5UeXBlLkZpZWxkT3V0cHV0RmllbGQCAAAACRsBAAANAwd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P3//xf+//8Bw/3//xb+//8QAAAACe4BAAABwf3//xf+//8BwP3//xb+//8JAAAACQgAAAABvv3//xf+//8Bvf3//xb+//8LAAAABkQCAAABMgG7/f//F/7//wG6/f//Fv7//wQAAAAGRwIAAAdHZW5lcmFsAbj9//8X/v//Abf9//8W/v//AgAAAAZKAgAAATEBtf3//xf+//8BtP3//xb+//8AAAAABk0CAAAFMTEuNzEHQ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Av7//wn/AQAACQACAAABr/3//wL+//8JAgIAAAkAAgAAAaz9//8C/v//CQUCAAAGVgIAAAUtNDE0MgGp/f//Av7//wkIAgAABlkCAAAHQ2FsaWJyaQGm/f//Av7//wkLAgAABlwCAAABMAGj/f//Av7//wkOAgAABl8CAAACMTEBoP3//wL+//8JEQIAAAZiAgAAB1JlZ3VsYXIHRAEAAAABAAAABAAAAAQ3R2xvYmVTb2Z0d2FyZS5BdGxhczQwLkF0bGFzQ29tbW9uLlR5cGUuRmllbGRPdXRwdXRGaWVsZAIAAAAJHgEAAA0DB0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f//F/7//wGb/f//Fv7//xAAAAAJ7gEAAAGZ/f//F/7//wGY/f//Fv7//wkAAAAJCAAAAAGW/f//F/7//wGV/f//Fv7//wsAAAAGbAIAAAEzAZP9//8X/v//AZL9//8W/v//BAAAAAZvAgAAB0dlbmVyYWwBkP3//xf+//8Bj/3//xb+//8CAAAABnICAAABMQGN/f//F/7//wGM/f//Fv7//wAAAAAGdQIAAAQ2LjQz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3//wL+//8J/wEAAAkAAgAAAYf9//8C/v//CQICAAAJAAIAAAGE/f//Av7//wkFAgAABn4CAAAFLTQxNDIBgf3//wL+//8JCAIAAAaBAgAAB0NhbGlicmkBfv3//wL+//8JCwIAAAaEAgAAATABe/3//wL+//8JDgIAAAaHAgAAAjExAXj9//8C/v//CRECAAAGigIAAAdSZWd1bGFyB0kBAAAAAQAAAAQAAAAEN0dsb2JlU29mdHdhcmUuQXRsYXM0MC5BdGxhc0NvbW1vbi5UeXBlLkZpZWxkT3V0cHV0RmllbGQCAAAACSEB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xf+//8Bc/3//xb+//8QAAAACe4BAAABcf3//xf+//8BcP3//xb+//8JAAAACQgAAAABbv3//xf+//8Bbf3//xb+//8LAAAABpQCAAABNAFr/f//F/7//wFq/f//Fv7//wQAAAAGlwIAAAdHZW5lcmFsAWj9//8X/v//AWf9//8W/v//AgAAAAaaAgAAATEBZf3//xf+//8BZP3//xb+//8AAAAABp0CAAAFMjEuNDMHT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/f//Av7//wn/AQAACQACAAABX/3//wL+//8JAgIAAAkAAgAAAVz9//8C/v//CQUCAAAGpgIAAAUtNDE0MgFZ/f//Av7//wkIAgAABqkCAAAHQ2FsaWJyaQFW/f//Av7//wkLAgAABqwCAAABMAFT/f//Av7//wkOAgAABq8CAAACMTEBUP3//wL+//8JEQIAAAayAgAAB1JlZ3VsYXIHTgEAAAABAAAABAAAAAQ3R2xvYmVTb2Z0d2FyZS5BdGxhczQwLkF0bGFzQ29tbW9uLlR5cGUuRmllbGRPdXRwdXRGaWVsZAIAAAAJJAEAAA0DB1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M/f//F/7//wFL/f//Fv7//xAAAAAJ7gEAAAFJ/f//F/7//wFI/f//Fv7//wkAAAAJCAAAAAFG/f//F/7//wFF/f//Fv7//wsAAAAGvAIAAAE1AUP9//8X/v//AUL9//8W/v//BAAAAAa/AgAAB0dlbmVyYWwBQP3//xf+//8BP/3//xb+//8CAAAABsICAAABMQE9/f//F/7//wE8/f//Fv7//wAAAAAGxQIAAAUyMy43MQ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r9//8C/v//Cf8BAAAJAAIAAAE3/f//Av7//wkCAgAACQACAAABNP3//wL+//8JBQIAAAbOAgAABS00MTQyATH9//8C/v//CQgCAAAG0QIAAAdDYWxpYnJpAS79//8C/v//CQsCAAAG1AIAAAEwASv9//8C/v//CQ4CAAAG1wIAAAIxMQEo/f//Av7//wkRAgAABtoCAAAHUmVndWxhcgdTAQAAAAEAAAAEAAAABDdHbG9iZVNvZnR3YXJlLkF0bGFzNDAuQXRsYXNDb21tb24uVHlwZS5GaWVsZE91dHB1dEZpZWxkAgAAAAknAQAADQMHV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T9//8X/v//ASP9//8W/v//EAAAAAnuAQAAASH9//8X/v//ASD9//8W/v//CQAAAAkIAAAAAR79//8X/v//AR39//8W/v//CwAAAAbkAgAAATYBG/3//xf+//8BGv3//xb+//8EAAAABucCAAAHR2VuZXJhbAEY/f//F/7//wEX/f//Fv7//wIAAAAG6gIAAAExARX9//8X/v//ART9//8W/v//AAAAAAbtAgAABTIyLjI5B1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3//wL+//8J/wEAAAkAAgAAAQ/9//8C/v//CQICAAAJAAIAAAEM/f//Av7//wkFAgAABvYCAAAFLTQxNDIBCf3//wL+//8JCAIAAAb5AgAAB0NhbGlicmkBBv3//wL+//8JCwIAAAb8AgAAATABA/3//wL+//8JDgIAAAb/AgAAAjExAQD9//8C/v//CRECAAAGAgMAAAdSZWd1bGFyB1gBAAAAAQAAAAQAAAAEN0dsb2JlU29mdHdhcmUuQXRsYXM0MC5BdGxhc0NvbW1vbi5UeXBlLkZpZWxkT3V0cHV0RmllbGQCAAAACSoBAAANAwd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z//xf+//8B+/z//xb+//8QAAAACe4BAAAB+fz//xf+//8B+Pz//xb+//8JAAAACQgAAAAB9vz//xf+//8B9fz//xb+//8LAAAABgwDAAABNwHz/P//F/7//wHy/P//Fv7//wQAAAAGDwMAAAdHZW5lcmFsAfD8//8X/v//Ae/8//8W/v//AgAAAAYSAwAAATEB7fz//xf+//8B7Pz//xb+//8AAAAABhUDAAAFMjcuODYHX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P//Av7//wn/AQAACQACAAAB5/z//wL+//8JAgIAAAkAAgAAAeT8//8C/v//CQUCAAAGHgMAAAUtNDE0MgHh/P//Av7//wkIAgAABiEDAAAHQ2FsaWJyaQHe/P//Av7//wkLAgAABiQDAAABMAHb/P//Av7//wkOAgAABicDAAACMTEB2Pz//wL+//8JEQIAAAYqAwAAB1JlZ3VsYXIHXQEAAAABAAAABAAAAAQ3R2xvYmVTb2Z0d2FyZS5BdGxhczQwLkF0bGFzQ29tbW9uLlR5cGUuRmllbGRPdXRwdXRGaWVsZAIAAAAJLQEAAA0DB18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/P//F/7//wHT/P//Fv7//xAAAAAJ7gEAAAHR/P//F/7//wHQ/P//Fv7//wkAAAAJCAAAAAHO/P//F/7//wHN/P//Fv7//wsAAAAGNAMAAAE4Acv8//8X/v//Acr8//8W/v//BAAAAAY3AwAAB0dlbmVyYWwByPz//xf+//8Bx/z//xb+//8CAAAABjoDAAABMQHF/P//F/7//wHE/P//Fv7//wAAAAAGPQMAAAUyMS4yOQd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8//8C/v//Cf8BAAAJAAIAAAG//P//Av7//wkCAgAACQACAAABvPz//wL+//8JBQIAAAZGAwAABS00MTQyAbn8//8C/v//CQgCAAAGSQMAAAdDYWxpYnJpAbb8//8C/v//CQsCAAAGTAMAAAEwAbP8//8C/v//CQ4CAAAGTwMAAAIxMQGw/P//Av7//wkRAgAABlIDAAAHUmVndWxhcgdiAQAAAAEAAAAEAAAABDdHbG9iZVNvZnR3YXJlLkF0bGFzNDAuQXRsYXNDb21tb24uVHlwZS5GaWVsZE91dHB1dEZpZWxkAgAAAAnnAQAADQMBYwEAADYBAAAHZ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8//8X/v//Aav8//8W/v//CQAAAAkIAAAAAan8//8X/v//Aaj8//8W/v//CwAAAAZZAwAAATkBpvz//xf+//8Bpfz//xb+//8EAAAABlwDAAAHR2VuZXJhbAGj/P//F/7//wGi/P//Fv7//wIAAAAGXwMAAAExAaD8//8X/v//AZ/8//8W/v//AAAAAAZiAwAABDcuNzEHZ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P//Av7//wZkAwAACEZvbnRCb2xkCQACAAABmvz//wL+//8GZwMAAApGb250SXRhbGljCQACAAABl/z//wL+//8GagMAAA1Gb250VW5kZXJsaW5lBmsDAAAFLTQxNDIBlPz//wL+//8GbQMAAAhGb250TmFtZQZuAwAAB0NhbGlicmkBkfz//wL+//8GcAMAAAlGb250Q29sb3IGcQMAAAEwAY78//8C/v//BnMDAAAIRm9udFNpemUGdAMAAAIxMQGL/P//Av7//wZ2AwAACUZvbnRTdHlsZQZ3AwAAB1JlZ3VsYXIBagEAAA4AAAC3AQAABngDAAAIVGF4VGFibGUGeQMAAA9TYWxlcyB0YXggY29kZXMJCAAAAAkIAAAACQgAAAABhfz//+D///8AAAAACXwDAAAJfQMAAAGC/P//3f///4MCjzoUz8tApJwA1rn1cogJCAAAAAkIAAAACYADAAAJbQEAAAoKCgoKAQAAAAF+/P//2f///wAAAAABffz//9j///8AAAAAAAmEAwAABH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GAwAABI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IAwAABI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KAwAABJ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MAwAABK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OAwAABL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QAwAABM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SAwAABN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UAwAABO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4AQAAAwAAAAmWAwAAAecBAAAVAQAAAWn8//9x/////////wAGmAMAAARSZWFsBpkDAAAFVmFsdWUJMQAAAAFl/P//b////wIAAAABZPz//5T+//8BAAAAAAAJMAAAAAkIAQAACQgAAAAK/////wkwAAAACgkIAQAABqIDAAAHVGF4Q29kZQajAwAACFRheFRhYmxlCgkIAAAACaUDAAAJCAAAAAF8AwAAIQAAAAkAAAAJpwMAABEAAAAJqAMAAAF9AwAAIgAAAAAAAAAJpwMAAAAAAAAEg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cDAAAAAAAAAYQDAAApAAAAAAAAAAmqAwAAAAAAAAe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8//8C/v//BqwDAAAISGVscFRleHQGrQMAABhDb2RlIGlkZW50aWZpYW50IGxhIHRheGUBUvz//wL+//8GrwMAAAVMYWJlbAlpAQAAAU/8//8C/v//BrIDAAAEVHlwZQloAQAAB4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z//wL+//8JrAMAAAa2AwAAKE5vbSBnw6luw6lyYWxlbWVudCBhZmZlY3TDqSBhdSBjb2RlIHRheGUBSfz//wL+//8JrwMAAAl3AQAAAUb8//8C/v//CbIDAAAJdgEAAAe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P8//8C/v//CawDAAAGvwMAAFBDb2RlIMOgIHV0aWxpc2VyIGxvcnMgZGUgbCdpZGVudGlmaWNhdGlvbiBkZXMgcMOpcmlvZGVzIGRlIHLDqGdsZW1lbnQgZGUgbGEgdGF4ZQFA/P//Av7//wmvAwAACYUBAAABPfz//wL+//8JsgMAAAmEAQAAB4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wL+//8JrAMAAAbIAwAAJFVuaXTDqSBkZSBjYWxjdWwgZHUgbW9udGFudCB1bml0YWlyZQE3/P//Av7//wmvAwAACZMBAAABNPz//wL+//8JsgMAAAmSAQAAB44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z//wL+//8JrAMAAAbRAwAAQE5vbSBkdSBncm91cGUgZGUgdmFsaWRhdGlvbnMgZGFucyBsYSBjb21wdGFiaWxpdMOpIHBvdXIgbGEgdGF4ZS4BLvz//wL+//8JrwMAAAmhAQAAASv8//8C/v//CbIDAAAJoAEAAAeQ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8//8C/v//CawDAAAG2gMAABxPcmlnaW5lIGRlIGNhbGN1bCBkZSBsYSB0YXhlASX8//8C/v//Ca8DAAAJrwEAAAEi/P//Av7//wmyAwAACa4BAAAHk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P//Av7//wmsAwAABuMDAABQSW5kaXF1ZSBzaSBsYSB0YXhlIGVzdCBjYWxjdWzDqWUgcG91ciBkZXMgbW9udGFudHMgZW50aWVycyBvdSBwb3VyIHVuIGludGVydmFsbGUBHPz//wL+//8JrwMAAAm9AQAAARn8//8C/v//CbIDAAAJvAEAAAe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8//8C/v//CawDAAAG7AMAABlCYXNlIGRlcyBsaW1pdGVzIGRlIHRheGUuARP8//8C/v//Ca8DAAAJywEAAAEQ/P//Av7//wmyAwAACcoBAAAHl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P//Av7//wmsAwAABvUDAAAnTGEgdGF4ZSBlc3QgYmFzw6llIHN1ciBjZXR0ZSBhdXRyZSB0YXhlAQr8//8C/v//Ca8DAAAJ2QEAAAEH/P//Av7//wmyAwAACdgBAAAEp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f0DAAABpwMAABIAAAAHq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vz//+3+//8G/wMAABZUYWJsZS5UYXhUYWJsZS5UYXhDb2RlCRUBAAAB//v//+3+//8GAgQAABZUYWJsZS5UYXhUYWJsZS5UYXhOYW1lCRgBAAAB/Pv//+3+//8GBQQAABhUYWJsZS5UYXhUYWJsZS5UYXhQZXJpb2QJGwEAAAH5+///7f7//wYIBAAAFlRhYmxlLlRheFRhYmxlLlRheFVuaXQJHgEAAAH2+///7f7//wYLBAAAHlRhYmxlLlRheFRhYmxlLlRheEFjY291bnRHcm91cAkhAQAAAfP7///t/v//Bg4EAAAWVGFibGUuVGF4VGFibGUuVGF4QmFzZQkkAQAAAfD7///t/v//BhEEAAAcVGFibGUuVGF4VGFibGUuVGF4Q2FsY01ldGhvZAknAQAAAe37///t/v//BhQEAAAbVGFibGUuVGF4VGFibGUuVGF4TGltaXRCYXNlCSoBAAAB6vv//+3+//8GFwQAABdUYWJsZS5UYXhUYWJsZS5UYXhPblRheAktAQAAAaoDAAB0AAAAB/0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v//wL+//8GGgQAAAVMYWJlbAmZAwAAAeT7//8C/v//Bh0EAAAEVHlwZQmYAwAACw==
    <Output>
      <OutputObject name="AtlasReport_3"/>
    </Output>
  </Query>
</Atlas>
</file>

<file path=customXml/item8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EAAAAB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RcAAAAMG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YAAAACAIAAAAGGQAAABVBdGxhc1JlcG9ydF8xX1RhYmxlXzEJG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AAAAAgICRs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cAAAACR0AAAAJHgAAAAYfAAAACFRheEdyb3VwBiAAAAAPU2FsZXMgdGF4IGdyb3VwBiEAAAAGU3RyaW5nBiIAAAAABiMAAAAkN2Y3NTA0NzctMTk1OS00NGQ5LWE1OTktYjM2M2IwZGFiNjczBdz///8tR2xvYmVTb2Z0d2FyZS5BdGxhczQwLkF0bGFzQ29tbW9uLkFnZ3JlZ2F0aW9uAQAAAAd2YWx1ZV9fAAgOAAAA/////wAAAAAF2////yxHbG9iZVNvZnR3YXJlLkF0bGFzNDAuQXRsYXNDb21tb24uQ29sdW1uVHlwZQEAAAAHdmFsdWVfXwAIDgAAAAAAAAAF2v///ytHbG9iZVNvZnR3YXJlLkF0bGFzNDAuQXRsYXNDb21tb24uU29ydE9yZGVyAQAAAAd2YWx1ZV9fAAgOAAAAAgAAAAAAAAAABdn///9AR2xvYmVTb2Z0d2FyZS5BdGxhczQwLkF0bGFzQ29tbW9uLlR5cGUuQ29sdW1uK0Nyb3NzVGFiQ29sdW1uVHlwZQEAAAAHdmFsdWVfXwAIDgAAAAAAAAAKAQAAAAAAAAAAAAAAAAAGKAAAACRiZTM2Y2FlMi0xNGU1LTRiNDAtYmYwZS1mNWYwZmVmNzQxM2QGKQAAABtUYWJsZS5UYXhHcm91cERhdGEuVGF4R3JvdXAKCgoKARUAAAAUAAAACSoAAAAJKwAAAAksAAAABi0AAAAHVGF4Q29kZQYuAAAADlNhbGVzIHRheCBjb2RlBi8AAAAGU3RyaW5nCSIAAAAGMQAAACQ4ZDIwNTk5ZC1kNTIxLTRiN2EtYTUxOS1hMDg0MjVhNmUxYmYBzv///9z/////////AQAAAAHN////2////wAAAAABzP///9r///8CAAAAAAAAAAABy////9n///8AAAAACgEAAAAAAAAAAAEAAAAABjYAAAAkZTY4MjEzZWUtYzMzOC00ZTQ3LTg2NDUtNjZlNTMyMDliYTY4BjcAAAAaVGFibGUuVGF4R3JvdXBEYXRhLlRheENvZGUKCgoKARYAAAAUAAAACTgAAAAJOQAAAAk6AAAABjsAAAAJRXhlbXB0VGF4BjwAAAAGRXhlbXB0Bj0AAAAERW51bQkiAAAABj8AAAAkNmY3YjkzOTYtNmVkNi00YjEyLTg5ZTgtMzE4YWZjMWJlZDM2AcD////c/////////wIAAAABv////9v///8AAAAAAb7////a////AgAAAAAAAAAAAb3////Z////AAAAAAoBAAAAAAAAAAACAAAAAAZEAAAAJDdhNjM3YjBkLTNmMzktNDU1YS05YzVhLWZkYmE1MzllZTE3ZAZFAAAAHFRhYmxlLlRheEdyb3VwRGF0YS5FeGVtcHRUYXgKCgoKARcAAAAUAAAACUYAAAAJRwAAAAlIAAAABkkAAAAHVGF4TmFtZQZKAAAABE5hbWUGSwAAAAZTdHJpbmcJIgAAAAZNAAAAJDFiODhjYTBhLWYwNGItNDE3OC05MTE2LTQ2MGI0NDExMjM0MQGy////3P////////8DAAAAAbH////b////AAAAAAGw////2v///wIAAAAAAAAAAAGv////2f///wAAAAAKAQAAAAAAAAAAAwAAAAAGUgAAACQ0MzM4ZjJhZC0yYzIxLTQ0ZjktODg2Yy01ZTM5ZDFiODU5ZjMGUwAAADFUYWJsZS5UYXhHcm91cERhdGEuVGF4Q29kZX5UYWJsZS5UYXhUYWJsZS5UYXhOYW1lCgoKCgUaAAAAOEdsb2JlU29mdHdhcmUuQXRsYXM0MC5BdGxhc0NvbW1vbkNsaWVudC5SZXBvcnQuUmVmZXJlbmNlAQAAAApfcmVmZXJlbmNlBwgYAAAACVQAAAAHGwAAAAABAAAABAAAAAQ8R2xvYmVTb2Z0d2FyZS5BdGxhczQwLkF0bGFzQ29tbW9uQ2xpZW50LkRhdGFTb3VyY2VGaWVsZFZhbHVlGAAAAAlVAAAADQMEH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VgAAAAEAAAABAAAABB0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lXAAAABwAAAAlYAAAABB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lZAAAABwAAAAlaAAAAASoAAAAcAAAACVsAAAABAAAAAQAAAAErAAAAHQAAABkAAAAJVwAAAAcAAAAJXQAAAAEsAAAAHgAAABUAAAAJWQAAAAcAAAAJXwAAAAE4AAAAHAAAAAlgAAAAAQAAAAEAAAABOQAAAB0AAAAZAAAACVcAAAAHAAAACWIAAAABOgAAAB4AAAAVAAAACVkAAAAHAAAACWQAAAABRgAAABwAAAAJZQAAAAEAAAABAAAAAUcAAAAdAAAAEQAAAAlmAAAABwAAAAlnAAAAAUgAAAAeAAAADgAAAAloAAAABwAAAAlpAAAAD1QAAAABAAAACAEAAAAFVQAAADxHbG9iZVNvZnR3YXJlLkF0bGFzNDAuQXRsYXNDb21tb25DbGllbnQuRGF0YVNvdXJjZUZpZWxkVmFsdWUEAAAAEl9pc0RyaWxsRG93bkZpbHRlcgZfZHNLZXkKX2ZpZWxkbmFtZQtfZmllbGRWYWx1ZQABAQEBGAAAAAAGagAAABJUYWJsZS5UYXhHcm91cERhdGEGawAAAApEYXRhQXJlYUlkCQYAAAAHVgAAAAABAAAABAAAAAQ3R2xvYmVTb2Z0d2FyZS5BdGxhczQwLkF0bGFzQ29tbW9uLlR5cGUuRmllbGRPdXRwdXRGaWVsZA4AAAAJbQAAAA0DBFc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1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S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ZH///8yR2xvYmVTb2Z0d2FyZS5BdGxhczQwLkF0bGFzQ29tbW9uLkNvbHVtbkF0dHJpYnV0ZXMBAAAAB3ZhbHVlX18ACA4AAAAGAAAABnAAAAAFVG90YWwBj////5L///8Bjv///5H///8QAAAABnMAAAAETm9uZQGM////kv///wGL////kf///wkAAAAJIgAAAAGJ////kv///wGI////kf///wsAAAAGeQAAAAEwAYb///+S////AYX///+R////BAAAAAZ8AAAAB0dlbmVyYWwBg////5L///8Bgv///5H///8CAAAABn8AAAABMQGA////kv///wF/////kf///wAAAAAGggAAAAUyNS4xNAFZAAAADAAAAAda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H3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hAAAAAhGb250Qm9sZAaFAAAABUZhbHNlAXr///99////BocAAAAKRm9udEl0YWxpYwmFAAAAAXf///99////BooAAAANRm9udFVuZGVybGluZQaLAAAABS00MTQyAXT///99////Bo0AAAAIRm9udE5hbWUGjgAAAAdDYWxpYnJpAXH///99////BpAAAAAJRm9udENvbG9yBpEAAAABMAFu////ff///waTAAAACEZvbnRTaXplBpQAAAACMTEBa////33///8GlgAAAAlGb250U3R5bGUGlwAAAAdSZWd1bGFyB1sAAAAAAQAAAAQAAAAEN0dsb2JlU29mdHdhcmUuQXRsYXM0MC5BdGxhc0NvbW1vbi5UeXBlLkZpZWxkT3V0cHV0RmllbGQOAAAACZgAAAANAwd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///5L///8BZv///5H///8QAAAACXMAAAABZP///5L///8BY////5H///8JAAAACSIAAAABYf///5L///8BYP///5H///8LAAAABqEAAAABMQFe////kv///wFd////kf///wQAAAAGpAAAAAdHZW5lcmFsAVv///+S////AVr///+R////AgAAAAanAAAAATEBWP///5L///8BV////5H///8AAAAABqoAAAAFMTUuMTQHX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///ff///wmEAAAACYUAAAABUv///33///8JhwAAAAmFAAAAAU////99////CYoAAAAGswAAAAUtNDE0MgFM////ff///wmNAAAABrYAAAAHQ2FsaWJyaQFJ////ff///wmQAAAABrkAAAABMAFG////ff///wmTAAAABrwAAAACMTEBQ////33///8JlgAAAAa/AAAAB1JlZ3VsYXIHYAAAAAABAAAABAAAAAQ3R2xvYmVTb2Z0d2FyZS5BdGxhczQwLkF0bGFzQ29tbW9uLlR5cGUuRmllbGRPdXRwdXRGaWVsZA4AAAAJwAAAAA0DB2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/////kv///wE+////kf///xAAAAAJcwAAAAE8////kv///wE7////kf///wkAAAAJIgAAAAE5////kv///wE4////kf///wsAAAAGyQAAAAEyATb///+S////ATX///+R////BAAAAAbMAAAAB0dlbmVyYWwBM////5L///8BMv///5H///8CAAAABs8AAAABMQEw////kv///wEv////kf///wAAAAAG0gAAAAQ5LjI5B2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///33///8JhAAAAAmFAAAAASr///99////CYcAAAAJhQAAAAEn////ff///wmKAAAABtsAAAAFLTQxNDIBJP///33///8JjQAAAAbeAAAAB0NhbGlicmkBIf///33///8JkAAAAAbhAAAAATABHv///33///8JkwAAAAbkAAAAAjExARv///99////CZYAAAAG5wAAAAdSZWd1bGFyB2UAAAAAAQAAAAQAAAAEN0dsb2JlU29mdHdhcmUuQXRsYXM0MC5BdGxhc0NvbW1vbi5UeXBlLkZpZWxkT3V0cHV0RmllbGQOAAAACegAAAANAwFmAAAAVwAAAAdn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5L///8BFv///5H///8JAAAACSIAAAABFP///5L///8BE////5H///8LAAAABu4AAAABMwER////kv///wEQ////kf///wQAAAAG8QAAAAdHZW5lcmFsAQ7///+S////AQ3///+R////AgAAAAb0AAAAATEBC////5L///8BCv///5H///8AAAAABvcAAAAFMjkuNTcBaAAAAAwAAAAHa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///ff///wb5AAAACEZvbnRCb2xkCYUAAAABBf///33///8G/AAAAApGb250SXRhbGljCYUAAAABAv///33///8G/wAAAA1Gb250VW5kZXJsaW5lBgABAAAFLTQxNDIB//7//33///8GAgEAAAhGb250TmFtZQYDAQAAB0NhbGlicmkB/P7//33///8GBQEAAAlGb250Q29sb3IGBgEAAAEwAfn+//99////BggBAAAIRm9udFNpemUGCQEAAAIxMQH2/v//ff///wYLAQAACUZvbnRTdHlsZQYMAQAAB1JlZ3VsYXIFb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8/7//9z/////////AAYOAQAABlN0cmluZwYPAQAAD1NhbGVzIHRheCBncm91cAkQAQAAAe/+///a////AgAAAAXu/v//OUdsb2JlU29mdHdhcmUuQXRsYXM0MC5BdGxhc0NvbW1vbi5OdW1iZXJTZXF1ZW5jZUNvbmRpdGlvbgEAAAAHdmFsdWVfXwAIDgAAAAEAAAAAAAYTAQAAElRhYmxlLlRheEdyb3VwRGF0YQkfAAAACSIAAAAK/////wkTAQAACgkfAAAACgoKCSIAAAAJGQEAAAkiAAAAAZgAAABtAAAAAeX+///c/////////wAGHAEAAAZTdHJpbmcGHQEAAA5TYWxlcyB0YXggY29kZQkQAQAAAeH+///a////AgAAAAHg/v//7v7//wEAAAAAAAkTAQAACS0AAAAJIgAAAAr/////CRMBAAAKCS0AAAAKCgoJIgAAAAknAQAACSIAAAABwAAAAG0AAAAB1/7//9z/////////AAYqAQAABEVudW0GKwEAAAZFeGVtcHQJEAEAAAHT/v//2v///wIAAAAB0v7//+7+//8BAAAAAAAJEwEAAAk7AAAACSIAAAAK/////wkTAQAACgk7AAAACgoKCSIAAAAJNQEAAAkiAAAAAegAAABtAAAAAcn+///c/////////wAGOAEAAAZTdHJpbmcGOQEAAAROYW1lCToBAAABxf7//9r///8CAAAAAcT+///u/v//AQAAAAAABj0BAAApVGFibGUuVGF4R3JvdXBEYXRhLlRheENvZGV+VGFibGUuVGF4VGFibGUJSQAAAAkiAAAACv////8JPQEAAAoJSQAAAAZCAQAAB1RheENvZGUGQwEAAAxUYXhHcm91cERhdGEKCSIAAAAJRQEAAAkiAAAABRA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4BAAAGRwEAAAxUYXhHcm91cERhdGEGSAEAAA9TYWxlcyB0YXggZ3JvdXAJIgAAAAkiAAAACSIAAAAFtv7//zBHbG9iZVNvZnR3YXJlLkF0bGFzNDAuQXRsYXNDb21tb24uRGF0YVNvdXJjZVR5cGUBAAAAB3ZhbHVlX18ACA4AAAAAAAAACUsBAAAJTAEAAASz/v//C1N5c3RlbS5HdWlkCwAAAAJfYQJfYgJfYwJfZAJfZQJfZgJfZwJfaAJfaQJfagJfawAAAAAAAAAAAAAACAcHAgICAgICAgKUjFP+MQJwQ71K9GXfEIspCSIAAAAJIgAAAAlPAQAACRMBAAAKCgoKCgEAAAAFr/7//zRHbG9iZVNvZnR3YXJlLkF0bGFzNDAuQXRsYXNDb21tb24uRGF0YVNvdXJjZUpvaW5Nb2RlAQAAAAd2YWx1ZV9fAAgOAAAAAAAAAAWu/v//NUdsb2JlU29mdHdhcmUuQXRsYXM0MC5BdGxhc0NvbW1vbi5EYXRhU291cmNlRmV0Y2hNb2RlAQAAAAd2YWx1ZV9fAAgOAAAAAAAAAAAJUwEAAAEZAQAAHgAAAA8AAAAJWQAAAAMAAAAJVQEAAAEnAQAAHgAAAA8AAAAJWQAAAAMAAAAJVwEAAAE1AQAAHgAAAA8AAAAJWQAAAAMAAAAJWQEAAAE6AQAAEAEAAP////8GWgEAAAhUYXhUYWJsZQZbAQAAD1NhbGVzIHRheCBjb2RlcwkiAAAACSIAAAAJIgAAAAGj/v//tv7//wAAAAAJXgEAAAlfAQAAAaD+//+z/v//xgJqU+rCikOZsvGVpPGeDQkiAAAACSIAAAAJYgEAAAk9AQAABmQBAAAMVGF4R3JvdXBEYXRhBmUBAAASVGFibGUuVGF4R3JvdXBEYXRhBmYBAAAaVGFibGUuVGF4R3JvdXBEYXRhLlRheENvZGUGZwEAAAdUYXhDb2RlBmgBAAAHVGF4Q29kZQEAAAABl/7//6/+//8AAAAAAZb+//+u/v//AAAAAAAJawEAAAFFAQAAHgAAAAYAAAAJaAAAAAMAAAAJbQEAAARL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luAQAABwAAAAlvAQAABEw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gEAAAAAAAAETw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4BAAAAAAAABFM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EBAAAAAAAAB1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7//33///8GcwEAAAhIZWxwVGV4dAZ0AQAAFk5vbSBkdSBncm91cGUgZGUgdGF4ZS4Bi/7//33///8GdgEAAAVMYWJlbAkPAQAAAYj+//99////BnkBAAAEVHlwZQkOAQAAB1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7//33///8JcwEAAAZ9AQAAGENvZGUgaWRlbnRpZmlhbnQgbGEgdGF4ZQGC/v//ff///wl2AQAACR0BAAABf/7//33///8JeQEAAAkcAQAAB1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7//33///8JcwEAAAaGAQAALUluZGlxdWUgcXUnaWwgZXN0IGludXRpbGUgZGUgY2FsY3VsZXIgbGEgdGF4ZQF5/v//ff///wl2AQAACSsBAAABdv7//33///8JeQEAAAkqAQAAAV4BAABLAQAAAQAAAAloAAAAAwAAAAmOAQAAAV8BAABMAQAAAAAAAAloAAAAAAAAAAFiAQAATwEAAAAAAAAJaAAAAAAAAAABawEAAFMBAAAAAAAACZABAAAAAAAAB20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33///8GkgEAAAVMYWJlbAk5AQAAAWz+//99////BpUBAAAEVHlwZQk4AQAAAW4BAAAMAAAAB28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Gn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pgBAAAbVGFibGUuVGF4R3JvdXBEYXRhLlRheEdyb3VwCW0AAAABZv7//2n+//8GmwEAABpUYWJsZS5UYXhHcm91cERhdGEuVGF4Q29kZQmYAAAAAWP+//9p/v//Bp4BAAAcVGFibGUuVGF4R3JvdXBEYXRhLkV4ZW1wdFRheAnAAAAAAWD+//9p/v//BqEBAAAZVGFibGUuVGF4R3JvdXBEYXRhLlVzZVRheAmiAQAABHE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eO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d/v//af7//wakAQAAMVRhYmxlLlRheEdyb3VwRGF0YS5UYXhDb2RlflRhYmxlLlRheFRhYmxlLlRheE5hbWUJ6AAAAAGQAQAAcQEAAAGiAQAAbQAAAAFa/v//3P////////8ABqcBAAAERW51bQaoAQAAB1VzZSB0YXgJEAEAAAFW/v//2v///wIAAAABVf7//+7+//8BAAAAAAAJEwEAAAatAQAABlVzZVRheAkiAAAACv////8JEwEAAAoJrQEAAAoKCgkiAAAACbIBAAAJIgAAAAGyAQAAHgAAAAkAAAAJWQAAAAMAAAAJtQEAAAe1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r+//99////CXMBAAAGuAEAADhUcmFpdGVyIGxhIHRheGUgY29tbWUgdGF4ZSBkJ3V0aWxpc2F0aW9uIGVuIGNhcyBkJ2FjaGF0LgFH/v//ff///wl2AQAACagBAAABRP7//33///8JeQEAAAmnAQAACw==</Report>
</Atlas>
</file>

<file path=customXml/item9.xml><?xml version="1.0" encoding="utf-8"?>
<Atlas>
  <Query type="ReportList" id="1d399b2a-45dd-4152-9ccf-1eb7c1d0fb5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VmVuZFRhYmxlBh4AAAAHVmVuZG9ycwkIAAAACQgAAAAJCAAAAAXg////MEdsb2JlU29mdHdhcmUuQXRsYXM0MC5BdGxhc0NvbW1vbi5EYXRhU291cmNlVHlwZQEAAAAHdmFsdWVfXwAIAgAAAAAAAAAJIQAAAAkiAAAABN3///8LU3lzdGVtLkd1aWQLAAAAAl9hAl9iAl9jAl9kAl9lAl9mAl9nAl9oAl9pAl9qAl9rAAAAAAAAAAAAAAAIBwcCAgICAgICAlwVCuB5yadBvCMCRRu9vfYJCAAAAAkIAAAACSUAAAAGJgAAAA9UYWJsZS5WZW5k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1BdGxhc1JlcG9ydF81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K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H////Pkdsb2JlU29mdHdhcmUuQXRsYXM0MC5BdGxhc0NvbW1vbi5UeXBlLkF0bGFzUXVlcnlBdHRyaWJ1dGVOYW1lAQAAAAd2YWx1ZV9fAAgCAAAAAgAAAAY6AAAAJDFkMzk5YjJhLTQ1ZGQtNDE1Mi05Y2NmLTFlYjdjMWQwZmI1ZAHF////yP///wHE////x////wAAAAAGPQAAAAR0cnVlAcL////I////AcH////H////CwAAAAZAAAAAB1ZlbmRvcnMBv////8j///8Bvv///8f///8bAAAABkMAAAAEVHJ1ZQG8////yP///wG7////x////wYAAAAGRgAAAAVGYWxzZQG5////yP///wG4////x////xwAAAAJQwAAAAG2////yP///wG1////x////x0AAAAJRgAAAAGz////yP///wGy////x////yoAAAAJQwAAAAGw////yP///wGv////x////wEAAAAGUgAAAAMzNzEBrf///8j///8BrP///8f///8nAAAABlUAAAALPURhdGFBcmVhSWQBqv///8j///8Bqf///8f///8ZAAAABlgAAAAPQ2VsbHNWZXJ0aWNhbGx5Aaf////I////Aab////H////CQAAAAoBpf///8j///8BpP///8f///8oAAAABl0AAAABNgGi////yP///wGh////x////ysAAAAGY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iAAAACVZlbm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YwAAAAcAAAAJZ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j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n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gAAAAJaQAAAAlqAAAABmsAAAAKQWNjb3VudE51bQZsAAAADlZlbmRvciBhY2NvdW50Bm0AAAAGU3RyaW5nCQgAAAAGbwAAACQ4MWM1MmE0Mi02NDM3LTRlYTAtYWUwZi01ZjI4NjZhNGQxOTc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GI1OWIxZTYxLTA1MjctNDUyMy1iZDUwLTA0M2JmZGVmNWY4NgZ1AAAAGlRhYmxlLlZlbmRUYWJsZS5BY2NvdW50TnVtCgoKCgEwAAAALwAAAAl2AAAACXcAAAAJeAAAAAZ5AAAABE5hbWUGegAAAAROYW1lBnsAAAAGU3RyaW5nCQgAAAAGfQAAACQ4NGI4MWJjMi0xYjJlLTQ2YmYtOGQwZC03NTczODQ0ZmQyNDkBgv///5D/////////AQAAAAGB////j////wAAAAABgP///47///8CAAAAAAAAAAABf////43///8AAAAACgEAAAAAAAAAAAEAAAAABoIAAAAkMGRkZTVhYjktN2YxYS00OGU1LTkzZDQtMmU5ODgxYTQ0NDY1BoMAAAAUVGFibGUuVmVuZFRhYmxlLk5hbWUKCgoKATEAAAAvAAAACYQAAAAJhQAAAAmGAAAABocAAAAHQWRkcmVzcwaIAAAAB0FkZHJlc3MGiQAAAAZTdHJpbmcJCAAAAAaLAAAAJDE2MmJhZWI2LTdiYzgtNDM4Mi04NWFlLWVkZTc0ODk5ZTA0OQF0////kP////////8CAAAAAXP///+P////AAAAAAFy////jv///wIAAAAAAAAAAAFx////jf///wAAAAAKAQAAAAAAAAAAAgAAAAAGkAAAACQyMjMzMmViNS1hYjY4LTRlNzUtYTY0Yy00ZjBjMjMyYTRkZTMGkQAAABdUYWJsZS5WZW5kVGFibGUuQWRkcmVzcwoKCgoBMgAAAC8AAAAJkgAAAAmTAAAACZQAAAAGlQAAAAhDdXJyZW5jeQaWAAAACEN1cnJlbmN5BpcAAAAGU3RyaW5nCQgAAAAGmQAAACQxOTJmMGNjZi05MGQ4LTRkMzItYjM4ZC0yMGIyNjUwMzg4YzABZv///5D/////////AwAAAAFl////j////wAAAAABZP///47///8CAAAAAAAAAAABY////43///8AAAAACgEAAAAAAAAAAAMAAAAABp4AAAAkMDlmMzY3ZDAtMjcyYi00ZDU0LTliMzktZGJhMmY4MDNkM2M4Bp8AAAAYVGFibGUuVmVuZFRhYmxlLkN1cnJlbmN5CgoKCgEzAAAALwAAAAmgAAAACaEAAAAJogAAAAajAAAACVZlbmRHcm91cAakAAAABUdyb3VwBqUAAAAGU3RyaW5nCQgAAAAGpwAAACQyYmQxYTIyMy1lYThhLTQ2OTUtOTM2Zi05ZTY3MTZiMTViYzMBWP///5D/////////BAAAAAFX////j////wAAAAABVv///47///8CAAAAAAAAAAABVf///43///8AAAAACgEAAAAAAAAAAAQAAAAABqwAAAAkNWEyYjU1NzEtNTZiZS00YjVlLWFiODgtNjcwNGM2NmIzZWE5Bq0AAAAZVGFibGUuVmVuZFRhYmxlLlZlbmRHcm91cAoKCgoBNAAAAC8AAAAJrgAAAAmvAAAACbAAAAAGsQAAAAhUYXhHcm91cAayAAAAD1NhbGVzIHRheCBncm91cAazAAAABlN0cmluZwkIAAAABrUAAAAkZTk3MWVkMDQtOGRlNC00OTZlLTg4ZGYtOTA1NDc3NWJjNWYzAUr///+Q/////////wUAAAABSf///4////8AAAAAAUj///+O////AgAAAAAAAAAAAUf///+N////AAAAAAoBAAAAAAAAAAAFAAAAAAa6AAAAJDFiYzA0YjA4LTJmZGItNDI3MS1iMjQ2LTNhMmVhYmRiMDI1ZAa7AAAAGFRhYmxlLlZlbmRUYWJsZS5UYXhHcm91cAoKCgoBYwAAABIAAAAHZ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R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vQAAABpUYWJsZS5WZW5kVGFibGUuQWNjb3VudE51bQm+AAAAAUH///9E////BsAAAAAUVGFibGUuVmVuZFRhYmxlLk5hbWUJwQAAAAE+////RP///wbDAAAAF1RhYmxlLlZlbmRUYWJsZS5BZGRyZXNzCcQAAAABO////0T///8GxgAAABhUYWJsZS5WZW5kVGFibGUuQ3VycmVuY3kJxwAAAAE4////RP///wbJAAAAGVRhYmxlLlZlbmRUYWJsZS5WZW5kR3JvdXAJygAAAAE1////RP///wbMAAAAGFRhYmxlLlZlbmRUYWJsZS5UYXhHcm91cA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dIAAAABdgAAAGgAAAAJ0wAAAAEAAAABAAAAAXcAAABpAAAAEg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XAAAAAYQAAABoAAAACdgAAAABAAAAAQAAAAGFAAAAaQAAABI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3AAAAAGSAAAAaAAAAAndAAAAAQAAAAEAAAABkwAAAGkAAAAS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eEAAAABoAAAAGgAAAAJ4gAAAAEAAAABAAAAAaEAAABpAAAAEg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mAAAAAa4AAABoAAAACecAAAABAAAAAQAAAAGvAAAAaQAAABE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OVmVuZG9yIGFjY291bnQJ7wAAAAEQ////jv///wIAAAAFD////zlHbG9iZVNvZnR3YXJlLkF0bGFzNDAuQXRsYXNDb21tb24uTnVtYmVyU2VxdWVuY2VDb25kaXRpb24BAAAAB3ZhbHVlX18ACAIAAAABAAAAAAAG8gAAAA9UYWJsZS5WZW5kVGFibGUJawAAAAkIAAAACv////8J8gAAAAoJawAAAAoKCgkIAAAACfgAAAAJCAAAAAHBAAAAvgAAAAEG////kP////////8ABvsAAAAGU3RyaW5nBvwAAAAETmFtZQnvAAAAAQL///+O////AgAAAAEB////D////wEAAAAAAAnyAAAACXkAAAAJCAAAAAr/////CfIAAAAKCXkAAAAKCgoJCAAAAAkGAQAACQgAAAABxAAAAL4AAAAB+P7//5D/////////AAYJAQAABlN0cmluZwYKAQAAB0FkZHJlc3MJ7wAAAAH0/v//jv///wIAAAAB8/7//w////8BAAAAAAAJ8gAAAAmHAAAACQgAAAAK/////wnyAAAACgmHAAAACgoKCQgAAAAJFAEAAAkIAAAAAccAAAC+AAAAAer+//+Q/////////wAGFwEAAAZTdHJpbmcGGAEAAAhDdXJyZW5jeQnvAAAAAeb+//+O////AgAAAAHl/v//D////wEAAAAAAAnyAAAACZUAAAAJCAAAAAr/////CfIAAAAKCZUAAAAKCgoJCAAAAAkiAQAACQgAAAABygAAAL4AAAAB3P7//5D/////////AAYlAQAABlN0cmluZwYmAQAABUdyb3VwCe8AAAAB2P7//47///8CAAAAAdf+//8P////AQAAAAAACfIAAAAJowAAAAkIAAAACv////8J8gAAAAoJowAAAAoKCgkIAAAACTABAAAJCAAAAAHNAAAAvgAAAAHO/v//kP////////8ABjMBAAAGU3RyaW5nBjQBAAAPU2FsZXMgdGF4IGdyb3VwCe8AAAAByv7//47///8CAAAAAcn+//8P////AQAAAAAACfIAAAAJsQAAAAkIAAAACv////8J8gAAAAoJsQAAAAoKCgkIAAAACT4BAAAJCAAAAAfOAAAAAAEAAAAEAAAABDdHbG9iZVNvZnR3YXJlLkF0bGFzNDAuQXRsYXNDb21tb24uVHlwZS5GaWVsZE91dHB1dEZpZWxkAgAAAAm+AAAADQMEz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0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/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v7//zJHbG9iZVNvZnR3YXJlLkF0bGFzNDAuQXRsYXNDb21tb24uQ29sdW1uQXR0cmlidXRlcwEAAAAHdmFsdWVfXwAIAgAAAAYAAAAGQwEAAAVUb3RhbAG8/v//v/7//wG7/v//vv7//xAAAAAGRgEAAAROb25lAbn+//+//v//Abj+//++/v//CQAAAAkIAAAAAbb+//+//v//AbX+//++/v//CwAAAAZMAQAAATABs/7//7/+//8Bsv7//77+//8EAAAABk8BAAAHR2VuZXJhbAGw/v//v/7//wGv/v//vv7//wIAAAAGUgEAAAExAa3+//+//v//Aaz+//++/v//AAAAAAZVAQAABTE2LjU3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XAQAACEZvbnRCb2xkBlgBAAAFRmFsc2UBp/7//6r+//8GWgEAAApGb250SXRhbGljCVgBAAABpP7//6r+//8GXQEAAA1Gb250VW5kZXJsaW5lBl4BAAAFLTQxNDIBof7//6r+//8GYAEAAAhGb250TmFtZQZhAQAAB0NhbGlicmkBnv7//6r+//8GYwEAAAlGb250Q29sb3IGZAEAAAEwAZv+//+q/v//BmYBAAAIRm9udFNpemUGZwEAAAIxMQGY/v//qv7//wZpAQAACUZvbnRTdHlsZQZqAQAAB1JlZ3VsYXIH0wAAAAABAAAABAAAAAQ3R2xvYmVTb2Z0d2FyZS5BdGxhczQwLkF0bGFzQ29tbW9uLlR5cGUuRmllbGRPdXRwdXRGaWVsZAIAAAAJwQAAAA0D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v//v/7//wGT/v//vv7//xAAAAAJRgEAAAGR/v//v/7//wGQ/v//vv7//wkAAAAJCAAAAAGO/v//v/7//wGN/v//vv7//wsAAAAGdAEAAAExAYv+//+//v//AYr+//++/v//BAAAAAZ3AQAAB0dlbmVyYWwBiP7//7/+//8Bh/7//77+//8CAAAABnoBAAABMQGF/v//v/7//wGE/v//vv7//wAAAAAGfQEAAAU0NC4xNA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q/v//CVcBAAAJWAEAAAF//v//qv7//wlaAQAACVgBAAABfP7//6r+//8JXQEAAAaGAQAABS00MTQyAXn+//+q/v//CWABAAAGiQEAAAdDYWxpYnJpAXb+//+q/v//CWMBAAAGjAEAAAEwAXP+//+q/v//CWYBAAAGjwEAAAIxMQFw/v//qv7//wlpAQAABpIBAAAHUmVndWxhcgfYAAAAAAEAAAAEAAAABDdHbG9iZVNvZnR3YXJlLkF0bGFzNDAuQXRsYXNDb21tb24uVHlwZS5GaWVsZE91dHB1dEZpZWxkAgAAAAnEAAAADQM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+//+//v//AWv+//++/v//EAAAAAlGAQAAAWn+//+//v//AWj+//++/v//CQAAAAkIAAAAAWb+//+//v//AWX+//++/v//CwAAAAacAQAAATIBY/7//7/+//8BYv7//77+//8EAAAABp8BAAAHR2VuZXJhbAFg/v//v/7//wFf/v//vv7//wIAAAAGogEAAAExAV3+//+//v//AVz+//++/v//AAAAAAalAQAABDkuNzE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qv7//wlXAQAACVgBAAABV/7//6r+//8JWgEAAAlYAQAAAVT+//+q/v//CV0BAAAGrgEAAAUtNDE0MgFR/v//qv7//wlgAQAABrEBAAAHQ2FsaWJyaQFO/v//qv7//wljAQAABrQBAAABMAFL/v//qv7//wlmAQAABrcBAAACMTEBSP7//6r+//8JaQEAAAa6AQAAB1JlZ3VsYXIH3QAAAAABAAAABAAAAAQ3R2xvYmVTb2Z0d2FyZS5BdGxhczQwLkF0bGFzQ29tbW9uLlR5cGUuRmllbGRPdXRwdXRGaWVsZAIAAAAJxwAAAA0DB98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v/7//wFD/v//vv7//xAAAAAJRgEAAAFB/v//v/7//wFA/v//vv7//wkAAAAJCAAAAAE+/v//v/7//wE9/v//vv7//wsAAAAGxAEAAAEzATv+//+//v//ATr+//++/v//BAAAAAbHAQAAB0dlbmVyYWwBOP7//7/+//8BN/7//77+//8CAAAABsoBAAABMQE1/v//v/7//wE0/v//vv7//wAAAAAGzQEAAAUxMC40Mw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+q/v//CVcBAAAJWAEAAAEv/v//qv7//wlaAQAACVgBAAABLP7//6r+//8JXQEAAAbWAQAABS00MTQyASn+//+q/v//CWABAAAG2QEAAAdDYWxpYnJpASb+//+q/v//CWMBAAAG3AEAAAEwASP+//+q/v//CWYBAAAG3wEAAAIxMQEg/v//qv7//wlpAQAABuIBAAAHUmVndWxhcgfiAAAAAAEAAAAEAAAABDdHbG9iZVNvZnR3YXJlLkF0bGFzNDAuQXRsYXNDb21tb24uVHlwZS5GaWVsZE91dHB1dEZpZWxkAgAAAAnKAAAADQMH5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+//+//v//ARv+//++/v//EAAAAAlGAQAAARn+//+//v//ARj+//++/v//CQAAAAkIAAAAARb+//+//v//ARX+//++/v//CwAAAAbsAQAAATQBE/7//7/+//8BEv7//77+//8EAAAABu8BAAAHR2VuZXJhbAEQ/v//v/7//wEP/v//vv7//wIAAAAG8gEAAAExAQ3+//+//v//AQz+//++/v//AAAAAAb1AQAABDguMTQ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v//qv7//wlXAQAACVgBAAABB/7//6r+//8JWgEAAAlYAQAAAQT+//+q/v//CV0BAAAG/gEAAAUtNDE0MgEB/v//qv7//wlgAQAABgECAAAHQ2FsaWJyaQH+/f//qv7//wljAQAABgQCAAABMAH7/f//qv7//wlmAQAABgcCAAACMTEB+P3//6r+//8JaQEAAAYKAgAAB1JlZ3VsYXIH5wAAAAABAAAABAAAAAQ3R2xvYmVTb2Z0d2FyZS5BdGxhczQwLkF0bGFzQ29tbW9uLlR5cGUuRmllbGRPdXRwdXRGaWVsZAIAAAAJzQAAAA0DB+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0/f//v/7//wHz/f//vv7//wkAAAAJCAAAAAHx/f//v/7//wHw/f//vv7//wsAAAAGEQIAAAE1Ae79//+//v//Ae39//++/v//BAAAAAYUAgAAB0dlbmVyYWwB6/3//7/+//8B6v3//77+//8CAAAABhcCAAABMQHo/f//v/7//wHn/f//vv7//wAAAAAGGgIAAAIxNg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9//+q/v//CVcBAAAJWAEAAAHi/f//qv7//wlaAQAACVgBAAAB3/3//6r+//8JXQEAAAYjAgAABS00MTQyAdz9//+q/v//CWABAAAGJgIAAAdDYWxpYnJpAdn9//+q/v//CWMBAAAGKQIAAAEwAdb9//+q/v//CWYBAAAGLAIAAAIxMQHT/f//qv7//wlpAQAABi8CAAAHUmVndWxhcgHvAAAADgAAAPkBAAAGMAIAAAlWZW5kVGFibGUGMQIAAAdWZW5kb3JzCQgAAAAJCAAAAAkIAAAAAc39///g////AAAAAAk0AgAACTUCAAAByv3//93///9AsHRXOkfKTpLb3AywLGFCCQgAAAAJCAAAAAk4AgAACfIAAAAKCgoKCgEAAAABxv3//9n///8AAAAAAcX9///Y////AAAAAAAJPA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Pg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QA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Qg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RA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Rg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EgAAAAMAAAAJSAIAAAE0AgAAIQAAAAwAAAAJSQIAABEAAAAJSgIAAAE1AgAAIgAAAAAAAAAJSQIAAAAAAAAEO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kCAAAAAAAAATwCAAApAAAAAAAAAAlMAgAAAAA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+q/v//Bk4CAAAISGVscFRleHQGTwIAABZWZW5kb3IgYWNjb3VudCBudW1iZXIuAbD9//+q/v//BlECAAAFTGFiZWwJ7gAAAAGt/f//qv7//wZUAgAABFR5cGUJ7QAAAAd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+q/v//CU4CAAAGWAIAABtWZW5kb3IgbmFtZSBvciBjb21wYW55IG5hbWUBp/3//6r+//8JUQIAAAn8AAAAAaT9//+q/v//CVQCAAAJ+wAAAAdC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9//+q/v//CU4CAAAGYQIAABBWZW5kb3IncyBhZGRyZXNzAZ79//+q/v//CVECAAAJCgEAAAGb/f//qv7//wlUAgAACQkBAAAHR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qv7//wlOAgAABmoCAAAuQ3VycmVuY3kgbm9ybWFsbHkgdXNlZCBieSB2ZW5kb3IgZm9yIGludm9pY2luZwGV/f//qv7//wlRAgAACRgBAAABkv3//6r+//8JVAIAAAkXAQAAB0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3//6r+//8JTgIAAAZzAgAALFZlbmRvciBncm91cCB0aGF0IHRoZSB2ZW5kb3IgaXMgYXR0YWNoZWQgdG8uAYz9//+q/v//CVECAAAJJgEAAAGJ/f//qv7//wlUAgAACSUBAAAHS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qv7//wlRAgAACTQBAAABg/3//6r+//8JVAIAAAkzAQAAAUkCAAASAAAAB0o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D9//9E////BoECAAAaVGFibGUuVmVuZFRhYmxlLkFjY291bnROdW0JvgAAAAF9/f//RP///waEAgAAFFRhYmxlLlZlbmRUYWJsZS5OYW1lCcEAAAABev3//0T///8GhwIAABdUYWJsZS5WZW5kVGFibGUuQWRkcmVzcwnEAAAAAXf9//9E////BooCAAAYVGFibGUuVmVuZFRhYmxlLkN1cnJlbmN5CccAAAABdP3//0T///8GjQIAABlUYWJsZS5WZW5kVGFibGUuVmVuZEdyb3VwCcoAAAABcf3//0T///8GkAIAABhUYWJsZS5WZW5kVGFibGUuVGF4R3JvdXAJzQAAAAFMAgAAZwAAAAs=
    <Output>
      <OutputObject name="AtlasReport_5"/>
    </Output>
  </Query>
</Atlas>
</file>

<file path=customXml/item10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J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MVGF4SXRlbUdyb3VwBh8AAAAUSXRlbSBzYWxlcyB0YXggZ3JvdXAGIAAAAAZTdHJpbmcGIQAAAAAGIgAAACRlZDNlODBkMC0yMjhhLTQ3NzAtOGI0Ni00ZTk2MjlkMzU0ZTAF3f///y1HbG9iZVNvZnR3YXJlLkF0bGFzNDAuQXRsYXNDb21tb24uQWdncmVnYXRpb24BAAAAB3ZhbHVlX18ACA4AAAD/////AAAAAAXc////LEdsb2JlU29mdHdhcmUuQXRsYXM0MC5BdGxhc0NvbW1vbi5Db2x1bW5UeXBlAQAAAAd2YWx1ZV9fAAgOAAAAAAAAAAXb////K0dsb2JlU29mdHdhcmUuQXRsYXM0MC5BdGxhc0NvbW1vbi5Tb3J0T3JkZXIBAAAAB3ZhbHVlX18ACA4AAAACAAAAAAAAAAAF2v///0BHbG9iZVNvZnR3YXJlLkF0bGFzNDAuQXRsYXNDb21tb24uVHlwZS5Db2x1bW4rQ3Jvc3NUYWJDb2x1bW5UeXBlAQAAAAd2YWx1ZV9fAAgOAAAAAAAAAAoBAAAAAAAAAAAAAAAAAAYnAAAAJDk2MWY0MWUxLTgzMDAtNDM1ZC04MmE5LTk0ODJlMGM3NTk4MwYoAAAAHFRhYmxlLlRheE9uSXRlbS5UYXhJdGVtR3JvdXAKCgoKARUAAAAUAAAACSkAAAAJKgAAAAkrAAAABiwAAAAHVGF4Q29kZQYtAAAADlNhbGVzIHRheCBjb2RlBi4AAAAGU3RyaW5nCSEAAAAGMAAAACQyYTlkODMzNC00NDdhLTQwYmUtYjkwMC1iOWFjYWJkYWI3ZWUBz////93/////////AQAAAAHO////3P///wAAAAABzf///9v///8CAAAAAAAAAAABzP///9r///8AAAAACgEAAAAAAAAAAAEAAAAABjUAAAAkNzYyYmNmOGMtMDFlNi00MDI1LTllNTktOGI3ODAwOTRkMWI2BjYAAAAXVGFibGUuVGF4T25JdGVtLlRheENvZGUKCgoKARYAAAAUAAAACTcAAAAJOAAAAAk5AAAABjoAAAAHVGF4TmFtZQY7AAAABE5hbWUGPAAAAAZTdHJpbmcJIQAAAAY+AAAAJDFhZmY1N2MyLTk2OGYtNDFmMi1hNTQwLTg0NWE3ZjNjNGZhZQHB////3f////////8CAAAAAcD////c////AAAAAAG/////2////wIAAAAAAAAAAAG+////2v///wAAAAAKAQAAAAAAAAAAAgAAAAAGQwAAACRiNmRkYzgxYy0xNTJmLTQyMjItOGRkMS0zZTE3MmYwNzk5YmYGRAAAAC5UYWJsZS5UYXhPbkl0ZW0uVGF4Q29kZX5UYWJsZS5UYXhUYWJsZS5UYXhOYW1lCgoKCgUZAAAAOEdsb2JlU29mdHdhcmUuQXRsYXM0MC5BdGxhc0NvbW1vbkNsaWVudC5SZXBvcnQuUmVmZXJlbmNlAQAAAApfcmVmZXJlbmNlBwgXAAAACUUAAAAHGgAAAAABAAAABAAAAAQ8R2xvYmVTb2Z0d2FyZS5BdGxhczQwLkF0bGFzQ29tbW9uQ2xpZW50LkRhdGFTb3VyY2VGaWVsZFZhbHVlFwAAAAlGAAAADQM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RwAAAAEAAAABAAAABBw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lIAAAABwAAAAlJAAAABB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lKAAAABwAAAAlLAAAAASkAAAAbAAAACUwAAAABAAAAAQAAAAEqAAAAHAAAABkAAAAJSAAAAAcAAAAJTgAAAAErAAAAHQAAABUAAAAJSgAAAAcAAAAJUAAAAAE3AAAAGwAAAAlRAAAAAQAAAAEAAAABOAAAABwAAAARAAAACUgAAAAHAAAACVMAAAABOQAAAB0AAAAOAAAACUoAAAAHAAAACVUAAAAPRQAAAAEAAAAIAQAAAAVGAAAAPEdsb2JlU29mdHdhcmUuQXRsYXM0MC5BdGxhc0NvbW1vbkNsaWVudC5EYXRhU291cmNlRmllbGRWYWx1ZQQAAAASX2lzRHJpbGxEb3duRmlsdGVyBl9kc0tleQpfZmllbGRuYW1lC19maWVsZFZhbHVlAAEBAQEXAAAAAAZWAAAAD1RhYmxlLlRheE9uSXRlbQZXAAAACkRhdGFBcmVhSWQJBgAAAAdHAAAAAAEAAAAEAAAABDdHbG9iZVNvZnR3YXJlLkF0bGFzNDAuQXRsYXNDb21tb24uVHlwZS5GaWVsZE91dHB1dEZpZWxkDgAAAAlZAAAADQMES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S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Gj////pv///wGi////pf///xAAAAAGXwAAAAROb25lAaD///+m////AZ////+l////CQAAAAkhAAAAAZ3///+m////AZz///+l////CwAAAAZlAAAAATABmv///6b///8Bmf///6X///8EAAAABmgAAAAHR2VuZXJhbAGX////pv///wGW////pf///wIAAAAGawAAAAExAZT///+m////AZP///+l////AAAAAAZuAAAAAjQzAUoAAAAMAAAAB0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wAAAACEZvbnRCb2xkBnEAAAAFRmFsc2UBjv///5H///8GcwAAAApGb250SXRhbGljCXEAAAABi////5H///8GdgAAAA1Gb250VW5kZXJsaW5lBncAAAAFLTQxNDIBiP///5H///8GeQAAAAhGb250TmFtZQZ6AAAAB0NhbGlicmkBhf///5H///8GfAAAAAlGb250Q29sb3IGfQAAAAEwAYL///+R////Bn8AAAAIRm9udFNpemUGgAAAAAIxMQF/////kf///waCAAAACUZvbnRTdHlsZQaDAAAAB1JlZ3VsYXIHTAAAAAABAAAABAAAAAQ3R2xvYmVTb2Z0d2FyZS5BdGxhczQwLkF0bGFzQ29tbW9uLlR5cGUuRmllbGRPdXRwdXRGaWVsZA4AAAAJhAAAAA0DB04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///pv///wF6////pf///xAAAAAJXwAAAAF4////pv///wF3////pf///wkAAAAJIQAAAAF1////pv///wF0////pf///wsAAAAGjQAAAAExAXL///+m////AXH///+l////BAAAAAaQAAAAB0dlbmVyYWwBb////6b///8Bbv///6X///8CAAAABpMAAAABMQFs////pv///wFr////pf///wAAAAAGlgAAAAUxNS4xNAd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///+R////CXAAAAAJcQAAAAFm////kf///wlzAAAACXEAAAABY////5H///8JdgAAAAafAAAABS00MTQyAWD///+R////CXkAAAAGogAAAAdDYWxpYnJpAV3///+R////CXwAAAAGpQAAAAEwAVr///+R////CX8AAAAGqAAAAAIxMQFX////kf///wmCAAAABqsAAAAHUmVndWxhcgdRAAAAAAEAAAAEAAAABDdHbG9iZVNvZnR3YXJlLkF0bGFzNDAuQXRsYXNDb21tb24uVHlwZS5GaWVsZE91dHB1dEZpZWxkDgAAAAmsAAAADQM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///+m////AVL///+l////CQAAAAkhAAAAAVD///+m////AU////+l////CwAAAAayAAAAATIBTf///6b///8BTP///6X///8EAAAABrUAAAAHR2VuZXJhbAFK////pv///wFJ////pf///wIAAAAGuAAAAAExAUf///+m////AUb///+l////AAAAAAa7AAAABTI5LjU3B1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///5H///8GvQAAAAhGb250Qm9sZAlxAAAAAUH///+R////BsAAAAAKRm9udEl0YWxpYwlxAAAAAT7///+R////BsMAAAANRm9udFVuZGVybGluZQbEAAAABS00MTQyATv///+R////BsYAAAAIRm9udE5hbWUGxwAAAAdDYWxpYnJpATj///+R////BskAAAAJRm9udENvbG9yBsoAAAABMAE1////kf///wbMAAAACEZvbnRTaXplBs0AAAACMTEBMv///5H///8GzwAAAAlGb250U3R5bGUG0AAAAAdSZWd1bGFyBV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S/////d/////////wAG0gAAAAZTdHJpbmcG0wAAABRJdGVtIHNhbGVzIHRheCBncm91cAnUAAAAASv////b////AgAAAAUq////OUdsb2JlU29mdHdhcmUuQXRsYXM0MC5BdGxhc0NvbW1vbi5OdW1iZXJTZXF1ZW5jZUNvbmRpdGlvbgEAAAAHdmFsdWVfXwAIDgAAAAEAAAAAAAbXAAAAD1RhYmxlLlRheE9uSXRlbQkeAAAACSEAAAAK/////wnXAAAACgkeAAAACgoKCSEAAAAJ3QAAAAkhAAAAAYQAAABZAAAAASH////d/////////wAG4AAAAAZTdHJpbmcG4QAAAA5TYWxlcyB0YXggY29kZQnUAAAAAR3////b////AgAAAAEc////Kv///wEAAAAAAAnXAAAACSwAAAAJIQAAAAr/////CdcAAAAKCSwAAAAKCgoJIQAAAAnrAAAACSEAAAABrAAAAFkAAAABE////93/////////AAbuAAAABlN0cmluZwbvAAAABE5hbWUJ8AAAAAEP////2////wIAAAABDv///yr///8BAAAAAAAG8wAAACZUYWJsZS5UYXhPbkl0ZW0uVGF4Q29kZX5UYWJsZS5UYXhUYWJsZQk6AAAACSEAAAAK/////wnzAAAACgk6AAAABvgAAAAHVGF4Q29kZQb5AAAACVRheE9uSXRlbQoJIQAAAAn7AAAACSEAAAAF1A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gEAAAb9AAAACVRheE9uSXRlbQb+AAAAGkl0ZW0gc2FsZXMgdGF4IGdyb3VwIHNldHVwCSEAAAAJIQAAAAkhAAAABQD///8wR2xvYmVTb2Z0d2FyZS5BdGxhczQwLkF0bGFzQ29tbW9uLkRhdGFTb3VyY2VUeXBlAQAAAAd2YWx1ZV9fAAgOAAAAAAAAAAkBAQAACQIBAAAE/f7//wtTeXN0ZW0uR3VpZAsAAAACX2ECX2ICX2MCX2QCX2UCX2YCX2cCX2gCX2kCX2oCX2sAAAAAAAAAAAAAAAgHBwICAgICAgICrjk3PmrMBUWOoxAsKjQAOwkhAAAACSEAAAAJBQEAAAnXAAAACgoKCgoBAAAABfn+//80R2xvYmVTb2Z0d2FyZS5BdGxhczQwLkF0bGFzQ29tbW9uLkRhdGFTb3VyY2VKb2luTW9kZQEAAAAHdmFsdWVfXwAIDgAAAAAAAAAF+P7//zVHbG9iZVNvZnR3YXJlLkF0bGFzNDAuQXRsYXNDb21tb24uRGF0YVNvdXJjZUZldGNoTW9kZQEAAAAHdmFsdWVfXwAIDgAAAAAAAAAACQkBAAAB3QAAAB0AAAAPAAAACUoAAAADAAAACQsBAAAB6wAAAB0AAAAPAAAACUoAAAADAAAACQ0BAAAB8AAAANQAAAD/////Bg4BAAAIVGF4VGFibGUGDwEAAA9TYWxlcyB0YXggY29kZXMJIQAAAAkhAAAACSEAAAAB7/7//wD///8AAAAACRIBAAAJEwEAAAHs/v///f7//4WeuFywxLtLujMpYtMAdU4JIQAAAAkhAAAACRYBAAAJ8wAAAAYYAQAACVRheE9uSXRlbQYZAQAAD1RhYmxlLlRheE9uSXRlbQYaAQAAF1RhYmxlLlRheE9uSXRlbS5UYXhDb2RlBhsBAAAHVGF4Q29kZQYcAQAAB1RheENvZGUBAAAAAeP+///5/v//AAAAAAHi/v//+P7//wAAAAAACR8BAAAB+wAAAB0AAAAGAAAACUoAAAADAAAACSEBAAAEA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IgEAAAMAAAAJIwEAAAQC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IBAAAAAAAABAU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iAQAAAAAAAAQJ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lAQAAAAAAAAcL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+//+R////BicBAAAISGVscFRleHQGKAEAADtHcm91cGUgZGUgY29kZXMgdGF4ZSBwb3V2YW50IMOqdHJlIGNhbGN1bMOpIHBvdXIgdW4gYXJ0aWNsZQHX/v//kf///wYqAQAABUxhYmVsCdMAAAAB1P7//5H///8GLQEAAARUeXBlCdIAAAAHD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kf///wknAQAABjEBAAAqQ29kZSB0YXhlIGRhbnMgbGUgZ3JvdXBlIGRlIHRheGUgZCdhcnRpY2xlAc7+//+R////CSoBAAAJ4QAAAAHL/v//kf///wktAQAACeAAAAABEgEAAAEBAAABAAAACUoAAAADAAAACTkBAAABEwEAAAIBAAAAAAAACUoAAAAAAAAAARYBAAAFAQAAAAAAAAlKAAAAAAAAAAEfAQAACQEAAAAAAAAJOwEAAAAAAAAHI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v//kf///wkqAQAACe8AAAABwf7//5H///8JLQEAAAnuAAAAASIBAAAMAAAAByM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L7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kMBAAAcVGFibGUuVGF4T25JdGVtLlRheEl0ZW1Hcm91cAlZAAAAAbv+//++/v//BkYBAAAXVGFibGUuVGF4T25JdGVtLlRheENvZGUJhAAAAAQl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O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7//77+//8GSQEAAC5UYWJsZS5UYXhPbkl0ZW0uVGF4Q29kZX5UYWJsZS5UYXhUYWJsZS5UYXhOYW1lCawAAAABOwEAACUBAAAL</Report>
</Atlas>
</file>

<file path=customXml/item11.xml><?xml version="1.0" encoding="utf-8"?>
<Atlas>
  <Query type="ReportList" id="c260e8a6-9e6f-415c-8b42-f6a278a6ccc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JQ3VzdFRhYmxlBh4AAAAJQ3VzdG9tZXJzCQgAAAAJCAAAAAkIAAAABeD///8wR2xvYmVTb2Z0d2FyZS5BdGxhczQwLkF0bGFzQ29tbW9uLkRhdGFTb3VyY2VUeXBlAQAAAAd2YWx1ZV9fAAgCAAAAAAAAAAkhAAAACSIAAAAE3f///wtTeXN0ZW0uR3VpZAsAAAACX2ECX2ICX2MCX2QCX2UCX2YCX2cCX2gCX2kCX2oCX2sAAAAAAAAAAAAAAAgHBwICAgICAgICj838hwevs0iIrkDkJC+EcQkIAAAACQgAAAAJJQAAAAYmAAAAD1RhYmxlLkN1c3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gAAAAELUdsb2JlU29mdHdhcmUuQXRsYXM0MC5BdGxhc0NvbW1vbi5UeXBlLkNvbHVtbgIAAAAJLwAAAAkwAAAACTEAAAAJMgAAAAkzAAAACTQAAAANAhEVAAAABAAAAAY1AAAADUF0bGFzUmVwb3J0Xz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r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I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f///8+R2xvYmVTb2Z0d2FyZS5BdGxhczQwLkF0bGFzQ29tbW9uLlR5cGUuQXRsYXNRdWVyeUF0dHJpYnV0ZU5hbWUBAAAAB3ZhbHVlX18ACAIAAAACAAAABjoAAAAkYzI2MGU4YTYtOWU2Zi00MTVjLThiNDItZjZhMjc4YTZjY2M3AcX////I////AcT////H////AAAAAAY9AAAABHRydWUBwv///8j///8Bwf///8f///8LAAAABkAAAAAJQ3VzdG9tZXJzAb/////I////Ab7////H////GwAAAAZDAAAABFRydWUBvP///8j///8Bu////8f///8GAAAABkYAAAAFRmFsc2UBuf///8j///8BuP///8f///8cAAAACUMAAAABtv///8j///8Btf///8f///8dAAAACUYAAAABs////8j///8Bsv///8f///8qAAAACUMAAAABsP///8j///8Br////8f///8BAAAABlIAAAADMzcxAa3////I////Aaz////H////JwAAAAZVAAAACz1EYXRhQXJlYUlkAar////I////Aan////H////GQAAAAZYAAAAD0NlbGxzVmVydGljYWxseQGn////yP///wGm////x////wkAAAAKAaX////I////AaT////H////KAAAAAZdAAAAATYBov///8j///8Bof///8f///8rAAAABmA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/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g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MAAAAHAAAACW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oAAAACWkAAAAJagAAAAZrAAAACkFjY291bnROdW0GbAAAABBDdXN0b21lciBhY2NvdW50Bm0AAAAGU3RyaW5nCQgAAAAGbwAAACQ4YTFmNzY1NC1jZmUwLTRkMDctOTJmNy1hZmFjOTBkMzI2NjE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Dg5OWRjYmMzLWZiNDQtNDRjNC04NTQ5LWVlNjg4MjNlM2NiOQZ1AAAAGlRhYmxlLkN1c3RUYWJsZS5BY2NvdW50TnVtCgoKCgEwAAAALwAAAAl2AAAACXcAAAAJeAAAAAZ5AAAABE5hbWUGegAAAAROYW1lBnsAAAAGU3RyaW5nCQgAAAAGfQAAACQ1OTJhMGRkMC1iYzllLTQyZjAtODJlNi0zZTNmOTEyMTU3NTEBgv///5D/////////AQAAAAGB////j////wAAAAABgP///47///8CAAAAAAAAAAABf////43///8AAAAACgEAAAAAAAAAAAEAAAAABoIAAAAkMDQzMTA3OTEtYzk4MC00MGQ5LWIxNWItMTYzZDVmMmI1ZWFiBoMAAAAUVGFibGUuQ3VzdFRhYmxlLk5hbWUKCgoKATEAAAAvAAAACYQAAAAJhQAAAAmGAAAABocAAAAHQWRkcmVzcwaIAAAAB0FkZHJlc3MGiQAAAAZTdHJpbmcJCAAAAAaLAAAAJGRjNzMyYWFlLTI2NjctNGEwNi05ZTllLTk0YmI1MTIyODJjZAF0////kP////////8CAAAAAXP///+P////AAAAAAFy////jv///wIAAAAAAAAAAAFx////jf///wAAAAAKAQAAAAAAAAAAAgAAAAAGkAAAACQ5YjExNjM3ZC03MTJkLTQ2OTctOWE5MS01MDI1YTRkZDQ2MTYGkQAAABdUYWJsZS5DdXN0VGFibGUuQWRkcmVzcwoKCgoBMgAAAC8AAAAJkgAAAAmTAAAACZQAAAAGlQAAAAhDdXJyZW5jeQaWAAAACEN1cnJlbmN5BpcAAAAGU3RyaW5nCQgAAAAGmQAAACRjZGE3MzZlMS1iYzQwLTQxMzQtYmRhMy1mMjhiM2Y5Y2M0ZDgBZv///5D/////////AwAAAAFl////j////wAAAAABZP///47///8CAAAAAAAAAAABY////43///8AAAAACgEAAAAAAAAAAAMAAAAABp4AAAAkMjg0YjFkYmQtMTNlYS00YjkwLWE5NWMtZTk1NTgxNDBkNTVmBp8AAAAYVGFibGUuQ3VzdFRhYmxlLkN1cnJlbmN5CgoKCgEzAAAALwAAAAmgAAAACaEAAAAJogAAAAajAAAACUN1c3RHcm91cAakAAAADkN1c3RvbWVyIGdyb3VwBqUAAAAGU3RyaW5nCQgAAAAGpwAAACQ5MDFiODk3My1lODMzLTQ0ZDEtODQxYy03ZDFkNzAyOTQxZDgBWP///5D/////////BAAAAAFX////j////wAAAAABVv///47///8CAAAAAAAAAAABVf///43///8AAAAACgEAAAAAAAAAAAQAAAAABqwAAAAkMjMzMTJmNzMtN2Y3Yi00Y2I1LWFkMTQtYWNhYTJjZGNiNzA3Bq0AAAAZVGFibGUuQ3VzdFRhYmxlLkN1c3RHcm91cAoKCgoBNAAAAC8AAAAJrgAAAAmvAAAACbAAAAAGsQAAAAhUYXhHcm91cAayAAAAD1NhbGVzIHRheCBncm91cAazAAAABlN0cmluZwkIAAAABrUAAAAkMTIyYjMzMmEtNDk5Ni00ZWUyLTg2YTctZjFkODVlNDEwZmZjAUr///+Q/////////wUAAAABSf///4////8AAAAAAUj///+O////AgAAAAAAAAAAAUf///+N////AAAAAAoBAAAAAAAAAAAFAAAAAAa6AAAAJGQzNjFiOThlLTY0ODEtNDEwMy05MjQ4LTI0YThlYWQzMTI0OQa7AAAAGFRhYmxlLkN1c3RUYWJsZS5UYXhHcm91cAoKCgoBYwAAABIAAAAHZA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R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vQAAABpUYWJsZS5DdXN0VGFibGUuQWNjb3VudE51bQm+AAAAAUH///9E////BsAAAAAUVGFibGUuQ3VzdFRhYmxlLk5hbWUJwQAAAAE+////RP///wbDAAAAF1RhYmxlLkN1c3RUYWJsZS5BZGRyZXNzCcQAAAABO////0T///8GxgAAABhUYWJsZS5DdXN0VGFibGUuQ3VycmVuY3kJxwAAAAE4////RP///wbJAAAAGVRhYmxlLkN1c3RUYWJsZS5DdXN0R3JvdXAJygAAAAE1////RP///wbMAAAAGFRhYmxlLkN1c3RUYWJsZS5UYXhHcm91cA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dIAAAABdgAAAGgAAAAJ0wAAAAEAAAABAAAAAXcAAABpAAAAEg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XAAAAAYQAAABoAAAACdgAAAABAAAAAQAAAAGFAAAAaQAAABI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3AAAAAGSAAAAaAAAAAndAAAAAQAAAAEAAAABkwAAAGkAAAAS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eEAAAABoAAAAGgAAAAJ4gAAAAEAAAABAAAAAaEAAABpAAAAEg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mAAAAAa4AAABoAAAACecAAAABAAAAAQAAAAGvAAAAaQAAABE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QQ3VzdG9tZXIgYWNjb3VudAnvAAAAARD///+O////AgAAAAUP////OUdsb2JlU29mdHdhcmUuQXRsYXM0MC5BdGxhc0NvbW1vbi5OdW1iZXJTZXF1ZW5jZUNvbmRpdGlvbgEAAAAHdmFsdWVfXwAIAgAAAAEAAAAAAAbyAAAAD1RhYmxlLkN1c3RUYWJsZQlrAAAACQgAAAAK/////wnyAAAACglrAAAACgoKCQgAAAAJ+AAAAAkIAAAAAcEAAAC+AAAAAQb///+Q/////////wAG+wAAAAZTdHJpbmcG/AAAAAROYW1lCe8AAAABAv///47///8CAAAAAQH///8P////AQAAAAAACfIAAAAJeQAAAAkIAAAACv////8J8gAAAAoJeQAAAAoKCgkIAAAACQYBAAAJCAAAAAHEAAAAvgAAAAH4/v//kP////////8ABgkBAAAGU3RyaW5nBgoBAAAHQWRkcmVzcwnvAAAAAfT+//+O////AgAAAAHz/v//D////wEAAAAAAAnyAAAACYcAAAAJCAAAAAr/////CfIAAAAKCYcAAAAKCgoJCAAAAAkUAQAACQgAAAABxwAAAL4AAAAB6v7//5D/////////AAYXAQAABlN0cmluZwYYAQAACEN1cnJlbmN5Ce8AAAAB5v7//47///8CAAAAAeX+//8P////AQAAAAAACfIAAAAJlQAAAAkIAAAACv////8J8gAAAAoJlQAAAAoKCgkIAAAACSIBAAAJCAAAAAHKAAAAvgAAAAHc/v//kP////////8ABiUBAAAGU3RyaW5nBiYBAAAOQ3VzdG9tZXIgZ3JvdXAJ7wAAAAHY/v//jv///wIAAAAB1/7//w////8BAAAAAAAJ8gAAAAmjAAAACQgAAAAK/////wnyAAAACgmjAAAACgoKCQgAAAAJMAEAAAkIAAAAAc0AAAC+AAAAAc7+//+Q/////////wAGMwEAAAZTdHJpbmcGNAEAAA9TYWxlcyB0YXggZ3JvdXAJ7wAAAAHK/v//jv///wIAAAAByf7//w////8BAAAAAAAJ8gAAAAmxAAAACQgAAAAK/////wnyAAAACgmxAAAACgoKCQgAAAAJPgEAAAkIAAAAB84AAAAAAQAAAAQAAAAEN0dsb2JlU29mdHdhcmUuQXRsYXM0MC5BdGxhc0NvbW1vbi5UeXBlLkZpZWxkT3V0cHV0RmllbGQCAAAACb4AAAANAwT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+/v//Mkdsb2JlU29mdHdhcmUuQXRsYXM0MC5BdGxhc0NvbW1vbi5Db2x1bW5BdHRyaWJ1dGVzAQAAAAd2YWx1ZV9fAAgCAAAABgAAAAZDAQAABVRvdGFsAbz+//+//v//Abv+//++/v//EAAAAAZGAQAABE5vbmUBuf7//7/+//8BuP7//77+//8JAAAACQgAAAABtv7//7/+//8Btf7//77+//8LAAAABkwBAAABMAGz/v//v/7//wGy/v//vv7//wQAAAAGTwEAAAdHZW5lcmFsAbD+//+//v//Aa/+//++/v//AgAAAAZSAQAAATEBrf7//7/+//8BrP7//77+//8AAAAABlUBAAAFMTguNTc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cBAAAIRm9udEJvbGQGWAEAAAVGYWxzZQGn/v//qv7//wZaAQAACkZvbnRJdGFsaWMJWAEAAAGk/v//qv7//wZdAQAADUZvbnRVbmRlcmxpbmUGXgEAAAUtNDE0MgGh/v//qv7//wZgAQAACEZvbnROYW1lBmEBAAAHQ2FsaWJyaQGe/v//qv7//wZjAQAACUZvbnRDb2xvcgZkAQAAATABm/7//6r+//8GZgEAAAhGb250U2l6ZQZnAQAAAjExAZj+//+q/v//BmkBAAAJRm9udFN0eWxlBmoBAAAHUmVndWxhcgfTAAAAAAEAAAAEAAAABDdHbG9iZVNvZnR3YXJlLkF0bGFzNDAuQXRsYXNDb21tb24uVHlwZS5GaWVsZE91dHB1dEZpZWxkAgAAAAnBAA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+//+//v//AZP+//++/v//EAAAAAlGAQAAAZH+//+//v//AZD+//++/v//CQAAAAkIAAAAAY7+//+//v//AY3+//++/v//CwAAAAZ0AQAAATEBi/7//7/+//8Biv7//77+//8EAAAABncBAAAHR2VuZXJhbAGI/v//v/7//wGH/v//vv7//wIAAAAGegEAAAExAYX+//+//v//AYT+//++/v//AAAAAAZ9AQAABTQ0LjE0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6r+//8JVwEAAAlYAQAAAX/+//+q/v//CVoBAAAJWAEAAAF8/v//qv7//wldAQAABoYBAAAFLTQxNDIBef7//6r+//8JYAEAAAaJAQAAB0NhbGlicmkBdv7//6r+//8JYwEAAAaMAQAAATABc/7//6r+//8JZgEAAAaPAQAAAjExAXD+//+q/v//CWkBAAAGkgEAAAdSZWd1bGFyB9gAAAAAAQAAAAQAAAAEN0dsb2JlU29mdHdhcmUuQXRsYXM0MC5BdGxhc0NvbW1vbi5UeXBlLkZpZWxkT3V0cHV0RmllbGQCAAAACcQA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7/+//8Ba/7//77+//8QAAAACUYBAAABaf7//7/+//8BaP7//77+//8JAAAACQgAAAABZv7//7/+//8BZf7//77+//8LAAAABpwBAAABMgFj/v//v/7//wFi/v//vv7//wQAAAAGnwEAAAdHZW5lcmFsAWD+//+//v//AV/+//++/v//AgAAAAaiAQAAATEBXf7//7/+//8BXP7//77+//8AAAAABqUBAAAEOS43MQ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+//+q/v//CVcBAAAJWAEAAAFX/v//qv7//wlaAQAACVgBAAABVP7//6r+//8JXQEAAAauAQAABS00MTQyAVH+//+q/v//CWABAAAGsQEAAAdDYWxpYnJpAU7+//+q/v//CWMBAAAGtAEAAAEwAUv+//+q/v//CWYBAAAGtwEAAAIxMQFI/v//qv7//wlpAQAABroBAAAHUmVndWxhcgfdAAAAAAEAAAAEAAAABDdHbG9iZVNvZnR3YXJlLkF0bGFzNDAuQXRsYXNDb21tb24uVHlwZS5GaWVsZE91dHB1dEZpZWxkAgAAAAnHAAAADQMH3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T+//+//v//AUP+//++/v//EAAAAAlGAQAAAUH+//+//v//AUD+//++/v//CQAAAAkIAAAAAT7+//+//v//AT3+//++/v//CwAAAAbEAQAAATMBO/7//7/+//8BOv7//77+//8EAAAABscBAAAHR2VuZXJhbAE4/v//v/7//wE3/v//vv7//wIAAAAGygEAAAExATX+//+//v//ATT+//++/v//AAAAAAbNAQAABTEwLjQz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7//6r+//8JVwEAAAlYAQAAAS/+//+q/v//CVoBAAAJWAEAAAEs/v//qv7//wldAQAABtYBAAAFLTQxNDIBKf7//6r+//8JYAEAAAbZAQAAB0NhbGlicmkBJv7//6r+//8JYwEAAAbcAQAAATABI/7//6r+//8JZgEAAAbfAQAAAjExASD+//+q/v//CWkBAAAG4gEAAAdSZWd1bGFyB+IAAAAAAQAAAAQAAAAEN0dsb2JlU29mdHdhcmUuQXRsYXM0MC5BdGxhc0NvbW1vbi5UeXBlLkZpZWxkT3V0cHV0RmllbGQCAAAACcoAAAANAwf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7//7/+//8BG/7//77+//8QAAAACUYBAAABGf7//7/+//8BGP7//77+//8JAAAACQgAAAABFv7//7/+//8BFf7//77+//8LAAAABuwBAAABNAET/v//v/7//wES/v//vv7//wQAAAAG7wEAAAdHZW5lcmFsARD+//+//v//AQ/+//++/v//AgAAAAbyAQAAATEBDf7//7/+//8BDP7//77+//8AAAAABvUBAAAFMTYuODY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v//qv7//wlXAQAACVgBAAABB/7//6r+//8JWgEAAAlYAQAAAQT+//+q/v//CV0BAAAG/gEAAAUtNDE0MgEB/v//qv7//wlgAQAABgECAAAHQ2FsaWJyaQH+/f//qv7//wljAQAABgQCAAABMAH7/f//qv7//wlmAQAABgcCAAACMTEB+P3//6r+//8JaQEAAAYKAgAAB1JlZ3VsYXIH5wAAAAABAAAABAAAAAQ3R2xvYmVTb2Z0d2FyZS5BdGxhczQwLkF0bGFzQ29tbW9uLlR5cGUuRmllbGRPdXRwdXRGaWVsZAIAAAAJzQAAAA0DB+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0/f//v/7//wHz/f//vv7//wkAAAAJCAAAAAHx/f//v/7//wHw/f//vv7//wsAAAAGEQIAAAE1Ae79//+//v//Ae39//++/v//BAAAAAYUAgAAB0dlbmVyYWwB6/3//7/+//8B6v3//77+//8CAAAABhcCAAABMQHo/f//v/7//wHn/f//vv7//wAAAAAGGgIAAAIxNg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9//+q/v//CVcBAAAJWAEAAAHi/f//qv7//wlaAQAACVgBAAAB3/3//6r+//8JXQEAAAYjAgAABS00MTQyAdz9//+q/v//CWABAAAGJgIAAAdDYWxpYnJpAdn9//+q/v//CWMBAAAGKQIAAAEwAdb9//+q/v//CWYBAAAGLAIAAAIxMQHT/f//qv7//wlpAQAABi8CAAAHUmVndWxhcgHvAAAADgAAAE0AAAAGMAIAAAlDdXN0VGFibGUGMQIAAAlDdXN0b21lcnMJCAAAAAkIAAAACQgAAAABzf3//+D///8AAAAACTQCAAAJNQIAAAHK/f//3f///4suaSjhqrZGu20DBcM2rMgJCAAAAAkIAAAACTgCAAAJ8gAAAAoKCgoKAQAAAAHG/f//2f///wAAAAABxf3//9j///8AAAAAAAk8AgAABP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k+AgAABA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lAAg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lCAgAABC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lEAgAABD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lGAgAABD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kSAAAAAwAAAAlIAgAAATQCAAAhAAAADAAAAAlJAgAAEQAAAAlKAgAAATUCAAAiAAAAAAAAAAlJAgAAAAAAAAQ4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SQIAAAAAAAABPAIAACkAAAAAAAAACUwCAAAAAA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3//6r+//8GTgIAAAhIZWxwVGV4dAZPAgAAGU51bcOpcm8gZGUgY29tcHRlIGNsaWVudC4BsP3//6r+//8GUQIAAAVMYWJlbAnuAAAAAa39//+q/v//BlQCAAAEVHlwZQntAA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6r+//8JTgIAAAZYAgAAHU5vbSBkZSBjbGllbnQgb3UgZGUgc29jacOpdMOpAaf9//+q/v//CVECAAAJ/AAAAAGk/f//qv7//wlUAgAACfsAAAAHQ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f//qv7//wlOAgAABmECAAARQWRyZXNzZSBkdSBjbGllbnQBnv3//6r+//8JUQIAAAkKAQAAAZv9//+q/v//CVQCAAAJCQEAAAd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9//+q/v//CU4CAAAGagIAACZEZXZpc2Ugw6AgdXRpbGlzZXIgcG91ciBsYSBmYWN0dXJhdGlvbgGV/f//qv7//wlRAgAACRgBAAABkv3//6r+//8JVAIAAAkXAQAAB0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3//6r+//8JTgIAAAZzAgAAMEdyb3VwZSBkZSBjbGllbnRzIGF1cXVlbCBsZSBjbGllbnQgZXN0IHJhdHRhY2jDqQGM/f//qv7//wlRAgAACSYBAAABif3//6r+//8JVAIAAAklAQAAB0g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6r+//8JUQIAAAk0AQAAAYP9//+q/v//CVQCAAAJMwEAAAFJAgAAEgAAAAdKAg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A/f//RP///waBAgAAGlRhYmxlLkN1c3RUYWJsZS5BY2NvdW50TnVtCb4AAAABff3//0T///8GhAIAABRUYWJsZS5DdXN0VGFibGUuTmFtZQnBAAAAAXr9//9E////BocCAAAXVGFibGUuQ3VzdFRhYmxlLkFkZHJlc3MJxAAAAAF3/f//RP///waKAgAAGFRhYmxlLkN1c3RUYWJsZS5DdXJyZW5jeQnHAAAAAXT9//9E////Bo0CAAAZVGFibGUuQ3VzdFRhYmxlLkN1c3RHcm91cAnKAAAAAXH9//9E////BpACAAAYVGFibGUuQ3VzdFRhYmxlLlRheEdyb3VwCc0AAAABTAIAAGcAAAAL
    <Output>
      <OutputObject name="AtlasReport_4"/>
    </Output>
  </Query>
</Atlas>
</file>

<file path=customXml/item12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81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CkFjY291bnROdW0GIgAAAA5WZW5kb3IgYWNjb3VudAYjAAAABlN0cmluZwYkAAAAAAYlAAAAJDgxYzUyYTQyLTY0MzctNGVhMC1hZTBmLTVmMjg2NmE0ZDE5NwXa////LUdsb2JlU29mdHdhcmUuQXRsYXM0MC5BdGxhc0NvbW1vbi5BZ2dyZWdhdGlvbgEAAAAHdmFsdWVfXwAIDgAAAP////8AAAAABdn///8sR2xvYmVTb2Z0d2FyZS5BdGxhczQwLkF0bGFzQ29tbW9uLkNvbHVtblR5cGUBAAAAB3ZhbHVlX18ACA4AAAAAAAAABdj///8rR2xvYmVTb2Z0d2FyZS5BdGxhczQwLkF0bGFzQ29tbW9uLlNvcnRPcmRlcgEAAAAHdmFsdWVfXwAIDgAAAAIAAAAAAAAAAAXX////QEdsb2JlU29mdHdhcmUuQXRsYXM0MC5BdGxhc0NvbW1vbi5UeXBlLkNvbHVtbitDcm9zc1RhYkNvbHVtblR5cGUBAAAAB3ZhbHVlX18ACA4AAAAAAAAACgEAAAAAAAAAAAAAAAAABioAAAAkYjU5YjFlNjEtMDUyNy00NTIzLWJkNTAtMDQzYmZkZWY1Zjg2BisAAAAaVGFibGUuVmVuZFRhYmxlLkFjY291bnROdW0KCgoKARUAAAAUAAAACSwAAAAJLQAAAAkuAAAABi8AAAAETmFtZQYwAAAABE5hbWUGMQAAAAZTdHJpbmcJJAAAAAYzAAAAJDg0YjgxYmMyLTFiMmUtNDZiZi04ZDBkLTc1NzM4NDRmZDI0OQHM////2v////////8BAAAAAcv////Z////AAAAAAHK////2P///wIAAAAAAAAAAAHJ////1////wAAAAAKAQAAAAAAAAAAAQAAAAAGOAAAACQwZGRlNWFiOS03ZjFhLTQ4ZTUtOTNkNC0yZTk4ODFhNDQ0NjUGOQAAABRUYWJsZS5WZW5kVGFibGUuTmFtZQoKCgoBFgAAABQAAAAJOgAAAAk7AAAACTwAAAAGPQAAAAdBZGRyZXNzBj4AAAAHQWRkcmVzcwY/AAAABlN0cmluZwkkAAAABkEAAAAkMTYyYmFlYjYtN2JjOC00MzgyLTg1YWUtZWRlNzQ4OTllMDQ5Ab7////a/////////wIAAAABvf///9n///8AAAAAAbz////Y////AgAAAAAAAAAAAbv////X////AAAAAAoBAAAAAAAAAAACAAAAAAZGAAAAJDIyMzMyZWI1LWFiNjgtNGU3NS1hNjRjLTRmMGMyMzJhNGRlMwZHAAAAF1RhYmxlLlZlbmRUYWJsZS5BZGRyZXNzCgoKCgEXAAAAFAAAAAlIAAAACUkAAAAJSgAAAAZLAAAACEN1cnJlbmN5BkwAAAAIQ3VycmVuY3kGTQAAAAZTdHJpbmcJJAAAAAZPAAAAJDE5MmYwY2NmLTkwZDgtNGQzMi1iMzhkLTIwYjI2NTAzODhjMAGw////2v////////8DAAAAAa/////Z////AAAAAAGu////2P///wIAAAAAAAAAAAGt////1////wAAAAAKAQAAAAAAAAAAAwAAAAAGVAAAACQwOWYzNjdkMC0yNzJiLTRkNTQtOWIzOS1kYmEyZjgwM2QzYzgGVQAAABhUYWJsZS5WZW5kVGFibGUuQ3VycmVuY3kKCgoKARgAAAAUAAAACVYAAAAJVwAAAAlYAAAABlkAAAAJVmVuZEdyb3VwBloAAAAFR3JvdXAGWwAAAAZTdHJpbmcJJAAAAAZdAAAAJDJiZDFhMjIzLWVhOGEtNDY5NS05MzZmLTllNjcxNmIxNWJjMwGi////2v////////8EAAAAAaH////Z////AAAAAAGg////2P///wIAAAAAAAAAAAGf////1////wAAAAAKAQAAAAAAAAAABAAAAAAGYgAAACQ1YTJiNTU3MS01NmJlLTRiNWUtYWI4OC02NzA0YzY2YjNlYTkGYwAAABlUYWJsZS5WZW5kVGFibGUuVmVuZEdyb3VwCgoKCgEZAAAAFAAAAAlkAAAACWUAAAAJZgAAAAZnAAAACFRheEdyb3VwBmgAAAAPU2FsZXMgdGF4IGdyb3VwBmkAAAAGU3RyaW5nCSQAAAAGawAAACRlOTcxZWQwNC04ZGU0LTQ5NmUtODhkZi05MDU0Nzc1YmM1ZjMBlP///9r/////////BQAAAAGT////2f///wAAAAABkv///9j///8CAAAAAAAAAAABkf///9f///8AAAAACgEAAAAAAAAAAAUAAAAABnAAAAAkMWJjMDRiMDgtMmZkYi00MjcxLWIyNDYtM2EyZWFiZGIwMjVkBnEAAAAYVGFibGUuVmVuZFRhYmxlLlRheEdyb3VwCgoKCgUcAAAAOEdsb2JlU29mdHdhcmUuQXRsYXM0MC5BdGxhc0NvbW1vbkNsaWVudC5SZXBvcnQuUmVmZXJlbmNlAQAAAApfcmVmZXJlbmNlBwgaAAAACXIAAAAHHQAAAAABAAAABAAAAAQ8R2xvYmVTb2Z0d2FyZS5BdGxhczQwLkF0bGFzQ29tbW9uQ2xpZW50LkRhdGFTb3VyY2VGaWVsZFZhbHVlGgAAAAlzAAAADQM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dAAAAAEAAAABAAAABB8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EwAAAAl1AAAABwAAAAl2AAAABC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l3AAAABwAAAAl4AAAAASwAAAAeAAAACXkAAAABAAAAAQAAAAEtAAAAHwAAABIAAAAJdQAAAAcAAAAJewAAAAEuAAAAIAAAAA4AAAAJdwAAAAcAAAAJfQAAAAE6AAAAHgAAAAl+AAAAAQAAAAEAAAABOwAAAB8AAAASAAAACXUAAAAHAAAACYAAAAABPAAAACAAAAAOAAAACXcAAAAHAAAACYIAAAABSAAAAB4AAAAJgwAAAAEAAAABAAAAAUkAAAAfAAAAEgAAAAl1AAAABwAAAAmFAAAAAUoAAAAgAAAADgAAAAl3AAAABwAAAAmHAAAAAVYAAAAeAAAACYgAAAABAAAAAQAAAAFXAAAAHwAAABIAAAAJdQAAAAcAAAAJigAAAAFYAAAAIAAAAA4AAAAJdwAAAAcAAAAJjAAAAAFkAAAAHgAAAAmNAAAAAQAAAAEAAAABZQAAAB8AAAARAAAACXUAAAAHAAAACY8AAAABZgAAACAAAAAOAAAACXcAAAAHAAAACZEAAAAPcgAAAAEAAAAIAQAAAAVzAAAAPEdsb2JlU29mdHdhcmUuQXRsYXM0MC5BdGxhc0NvbW1vbkNsaWVudC5EYXRhU291cmNlRmllbGRWYWx1ZQQAAAASX2lzRHJpbGxEb3duRmlsdGVyBl9kc0tleQpfZmllbGRuYW1lC19maWVsZFZhbHVlAAEBAQEaAAAAAAaSAAAAD1RhYmxlLlZlbmRUYWJsZQaTAAAACkRhdGFBcmVhSWQJBgAAAAd0AAAAAAEAAAAEAAAABDdHbG9iZVNvZnR3YXJlLkF0bGFzNDAuQXRsYXNDb21tb24uVHlwZS5GaWVsZE91dHB1dEZpZWxkDgAAAAmVAAAADQMEd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d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r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af///zJHbG9iZVNvZnR3YXJlLkF0bGFzNDAuQXRsYXNDb21tb24uQ29sdW1uQXR0cmlidXRlcwEAAAAHdmFsdWVfXwAIDgAAAAYAAAAGmAAAAAVUb3RhbAFn////av///wFm////af///xAAAAAGmwAAAAROb25lAWT///9q////AWP///9p////CQAAAAkkAAAAAWH///9q////AWD///9p////CwAAAAahAAAAATABXv///2r///8BXf///2n///8EAAAABqQAAAAHR2VuZXJhbAFb////av///wFa////af///wIAAAAGpwAAAAExAVj///9q////AVf///9p////AAAAAAaqAAAABTE2LjU3AXcAAAAMAAAAB3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V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sAAAACEZvbnRCb2xkBq0AAAAFRmFsc2UBUv///1X///8GrwAAAApGb250SXRhbGljCa0AAAABT////1X///8GsgAAAA1Gb250VW5kZXJsaW5lBrMAAAAFLTQxNDIBTP///1X///8GtQAAAAhGb250TmFtZQa2AAAAB0NhbGlicmkBSf///1X///8GuAAAAAlGb250Q29sb3IGuQAAAAEwAUb///9V////BrsAAAAIRm9udFNpemUGvAAAAAIxMQFD////Vf///wa+AAAACUZvbnRTdHlsZQa/AAAAB1JlZ3VsYXIHeQAAAAABAAAABAAAAAQ3R2xvYmVTb2Z0d2FyZS5BdGxhczQwLkF0bGFzQ29tbW9uLlR5cGUuRmllbGRPdXRwdXRGaWVsZA4AAAAJwAAAAA0DB3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/////av///wE+////af///xAAAAAJmwAAAAE8////av///wE7////af///wkAAAAJJAAAAAE5////av///wE4////af///wsAAAAGyQAAAAExATb///9q////ATX///9p////BAAAAAbMAAAAB0dlbmVyYWwBM////2r///8BMv///2n///8CAAAABs8AAAABMQEw////av///wEv////af///wAAAAAG0gAAAAU0NC4xNAd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///9V////CawAAAAJrQAAAAEq////Vf///wmvAAAACa0AAAABJ////1X///8JsgAAAAbbAAAABS00MTQyAST///9V////CbUAAAAG3gAAAAdDYWxpYnJpASH///9V////CbgAAAAG4QAAAAEwAR7///9V////CbsAAAAG5AAAAAIxMQEb////Vf///wm+AAAABucAAAAHUmVndWxhcgd+AAAAAAEAAAAEAAAABDdHbG9iZVNvZnR3YXJlLkF0bGFzNDAuQXRsYXNDb21tb24uVHlwZS5GaWVsZE91dHB1dEZpZWxkDgAAAAnoAAAADQMHg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f///9q////ARb///9p////EAAAAAmbAAAAART///9q////ARP///9p////CQAAAAkkAAAAARH///9q////ARD///9p////CwAAAAbxAAAAATIBDv///2r///8BDf///2n///8EAAAABvQAAAAHR2VuZXJhbAEL////av///wEK////af///wIAAAAG9wAAAAExAQj///9q////AQf///9p////AAAAAAb6AAAABDkuNzEHg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///Vf///wmsAAAACa0AAAABAv///1X///8JrwAAAAmtAAAAAf/+//9V////CbIAAAAGAwEAAAUtNDE0MgH8/v//Vf///wm1AAAABgYBAAAHQ2FsaWJyaQH5/v//Vf///wm4AAAABgkBAAABMAH2/v//Vf///wm7AAAABgwBAAACMTEB8/7//1X///8JvgAAAAYPAQAAB1JlZ3VsYXIHgwAAAAABAAAABAAAAAQ3R2xvYmVTb2Z0d2FyZS5BdGxhczQwLkF0bGFzQ29tbW9uLlR5cGUuRmllbGRPdXRwdXRGaWVsZA4AAAAJEAEAAA0DB4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av///wHu/v//af///xAAAAAJmwAAAAHs/v//av///wHr/v//af///wkAAAAJJAAAAAHp/v//av///wHo/v//af///wsAAAAGGQEAAAEzAeb+//9q////AeX+//9p////BAAAAAYcAQAAB0dlbmVyYWwB4/7//2r///8B4v7//2n///8CAAAABh8BAAABMQHg/v//av///wHf/v//af///wAAAAAGIgEAAAUxMC40Mw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9V////CawAAAAJrQAAAAHa/v//Vf///wmvAAAACa0AAAAB1/7//1X///8JsgAAAAYrAQAABS00MTQyAdT+//9V////CbUAAAAGLgEAAAdDYWxpYnJpAdH+//9V////CbgAAAAGMQEAAAEwAc7+//9V////CbsAAAAGNAEAAAIxMQHL/v//Vf///wm+AAAABjcBAAAHUmVndWxhcgeIAAAAAAEAAAAEAAAABDdHbG9iZVNvZnR3YXJlLkF0bGFzNDAuQXRsYXNDb21tb24uVHlwZS5GaWVsZE91dHB1dEZpZWxkDgAAAAk4AQ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9q////Acb+//9p////EAAAAAmbAAAAAcT+//9q////AcP+//9p////CQAAAAkkAAAAAcH+//9q////AcD+//9p////CwAAAAZBAQAAATQBvv7//2r///8Bvf7//2n///8EAAAABkQBAAAHR2VuZXJhbAG7/v//av///wG6/v//af///wIAAAAGRwEAAAExAbj+//9q////Abf+//9p////AAAAAAZKAQAABDguMTQ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1/v//Vf///wmsAAAACa0AAAABsv7//1X///8JrwAAAAmtAAAAAa/+//9V////CbIAAAAGUwEAAAUtNDE0MgGs/v//Vf///wm1AAAABlYBAAAHQ2FsaWJyaQGp/v//Vf///wm4AAAABlkBAAABMAGm/v//Vf///wm7AAAABlwBAAACMTEBo/7//1X///8JvgAAAAZfAQAAB1JlZ3VsYXIHjQAAAAABAAAABAAAAAQ3R2xvYmVTb2Z0d2FyZS5BdGxhczQwLkF0bGFzQ29tbW9uLlR5cGUuRmllbGRPdXRwdXRGaWVsZA4AAAAJYAEAAA0DB48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wkAAAAJJAAAAAGc/v//av///wGb/v//af///wsAAAAGZgEAAAE1AZn+//9q////AZj+//9p////BAAAAAZpAQAAB0dlbmVyYWwBlv7//2r///8Blf7//2n///8CAAAABmwBAAABMQGT/v//av///wGS/v//af///wAAAAAGbwEAAAIxNg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+//9V////CawAAAAJrQAAAAGN/v//Vf///wmvAAAACa0AAAABiv7//1X///8JsgAAAAZ4AQAABS00MTQyAYf+//9V////CbUAAAAGewEAAAdDYWxpYnJpAYT+//9V////CbgAAAAGfgEAAAEwAYH+//9V////CbsAAAAGgQEAAAIxMQF+/v//Vf///wm+AAAABoQ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7/v//2v////////8ABoYBAAAGU3RyaW5nBocBAAAOVmVuZG9yIGFjY291bnQJiAEAAAF3/v//2P///wIAAAAFdv7//zlHbG9iZVNvZnR3YXJlLkF0bGFzNDAuQXRsYXNDb21tb24uTnVtYmVyU2VxdWVuY2VDb25kaXRpb24BAAAAB3ZhbHVlX18ACA4AAAABAAAAAAAGiwEAAA9UYWJsZS5WZW5kVGFibGUJIQAAAAkkAAAACv////8JiwEAAAoJIQAAAAoKCgkkAAAACZEBAAAJJAAAAAHAAAAAlQAAAAFt/v//2v////////8ABpQBAAAGU3RyaW5nBpUBAAAETmFtZQmIAQAAAWn+///Y////AgAAAAFo/v//dv7//wEAAAAAAAmLAQAACS8AAAAJJAAAAAr/////CYsBAAAKCS8AAAAKCgoJJAAAAAmfAQAACSQAAAAB6AAAAJUAAAABX/7//9r/////////AAaiAQAABlN0cmluZwajAQAAB0FkZHJlc3MJiAEAAAFb/v//2P///wIAAAABWv7//3b+//8BAAAAAAAJiwEAAAk9AAAACSQAAAAK/////wmLAQAACgk9AAAACgoKCSQAAAAJrQEAAAkkAAAAARABAACVAAAAAVH+///a/////////wAGsAEAAAZTdHJpbmcGsQEAAAhDdXJyZW5jeQmIAQAAAU3+///Y////AgAAAAFM/v//dv7//wEAAAAAAAmLAQAACUsAAAAJJAAAAAr/////CYsBAAAKCUsAAAAKCgoJJAAAAAm7AQAACSQAAAABOAEAAJUAAAABQ/7//9r/////////AAa+AQAABlN0cmluZwa/AQAABUdyb3VwCYgBAAABP/7//9j///8CAAAAAT7+//92/v//AQAAAAAACYsBAAAJWQAAAAkkAAAACv////8JiwEAAAoJWQAAAAoKCgkkAAAACckBAAAJJAAAAAFgAQAAlQAAAAE1/v//2v////////8ABswBAAAGU3RyaW5nBs0BAAAPU2FsZXMgdGF4IGdyb3VwCYgBAAABMf7//9j///8CAAAAATD+//92/v//AQAAAAAACYsBAAAJZwAAAAkkAAAACv////8JiwEAAAoJZwAAAAoKCgkkAAAACdcBAAAJJAAAAAWI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5AQAABtkBAAAJVmVuZFRhYmxlBtoBAAAHVmVuZG9ycwkkAAAACSQAAAAJJAAAAAUk/v//MEdsb2JlU29mdHdhcmUuQXRsYXM0MC5BdGxhc0NvbW1vbi5EYXRhU291cmNlVHlwZQEAAAAHdmFsdWVfXwAIDgAAAAAAAAAJ3QEAAAneAQAABCH+//8LU3lzdGVtLkd1aWQLAAAAAl9hAl9iAl9jAl9kAl9lAl9mAl9nAl9oAl9pAl9qAl9rAAAAAAAAAAAAAAAIBwcCAgICAgICAkCwdFc6R8pOktvcDLAsYUIJJAAAAAkkAAAACeEBAAAJiwEAAAoKCgoKAQAAAAUd/v//NEdsb2JlU29mdHdhcmUuQXRsYXM0MC5BdGxhc0NvbW1vbi5EYXRhU291cmNlSm9pbk1vZGUBAAAAB3ZhbHVlX18ACA4AAAAAAAAABRz+//81R2xvYmVTb2Z0d2FyZS5BdGxhczQwLkF0bGFzQ29tbW9uLkRhdGFTb3VyY2VGZXRjaE1vZGUBAAAAB3ZhbHVlX18ACA4AAAAAAAAAAAnlAQAAAZEBAAAgAAAACQAAAAl3AAAAAwAAAAnnAQAAAZ8BAAAgAAAACQAAAAl3AAAAAwAAAAnpAQAAAa0BAAAgAAAACQAAAAl3AAAAAwAAAAnrAQAAAbsBAAAgAAAACQAAAAl3AAAAAwAAAAntAQAAAckBAAAgAAAACQAAAAl3AAAAAwAAAAnvAQAAAdcBAAAgAAAABgAAAAl3AAAAAwAAAAnxAQAABN0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MAAAACfIBAAARAAAACfMBAAAE3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yAQAAAAAAAATh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gEAAAAAAAAE5Q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9QEAAAAAAAAH5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v//Vf///wb3AQAACEhlbHBUZXh0BvgBAAAWVmVuZG9yIGFjY291bnQgbnVtYmVyLgEH/v//Vf///wb6AQAABUxhYmVsCYcBAAABBP7//1X///8G/QEAAARUeXBlCYYBAAAH6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v//Vf///wn3AQAABgECAAAbVmVuZG9yIG5hbWUgb3IgY29tcGFueSBuYW1lAf79//9V////CfoBAAAJlQEAAAH7/f//Vf///wn9AQAACZQBAAAH6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Vf///wn3AQAABgoCAAAQVmVuZG9yJ3MgYWRkcmVzcwH1/f//Vf///wn6AQAACaMBAAAB8v3//1X///8J/QEAAAmiAQAAB+0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1X///8J9wEAAAYTAgAALkN1cnJlbmN5IG5vcm1hbGx5IHVzZWQgYnkgdmVuZG9yIGZvciBpbnZvaWNpbmcB7P3//1X///8J+gEAAAmxAQAAAen9//9V////Cf0BAAAJsAEAAAf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b9//9V////CfcBAAAGHAIAACxWZW5kb3IgZ3JvdXAgdGhhdCB0aGUgdmVuZG9yIGlzIGF0dGFjaGVkIHRvLgHj/f//Vf///wn6AQAACb8BAAAB4P3//1X///8J/QEAAAm+AQAAB/E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3//1X///8J+gEAAAnNAQAAAdr9//9V////Cf0BAAAJzAEAAAHyAQAADAAAAAfzAQ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X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qAgAAGlRhYmxlLlZlbmRUYWJsZS5BY2NvdW50TnVtCZUAAAAB1P3//9f9//8GLQIAABRUYWJsZS5WZW5kVGFibGUuTmFtZQnAAAAAAdH9///X/f//BjACAAAXVGFibGUuVmVuZFRhYmxlLkFkZHJlc3MJ6AAAAAHO/f//1/3//wYzAgAAGFRhYmxlLlZlbmRUYWJsZS5DdXJyZW5jeQkQAQAAAcv9///X/f//BjYCAAAZVGFibGUuVmVuZFRhYmxlLlZlbmRHcm91cAk4AQAAAcj9///X/f//BjkCAAAYVGFibGUuVmVuZFRhYmxlLlRheEdyb3VwCWABAAAE9Q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Props1.xml><?xml version="1.0" encoding="utf-8"?>
<ds:datastoreItem xmlns:ds="http://schemas.openxmlformats.org/officeDocument/2006/customXml" ds:itemID="{EF15904C-1BB4-4FBE-AD06-ED419FD81C13}">
  <ds:schemaRefs/>
</ds:datastoreItem>
</file>

<file path=customXml/itemProps2.xml><?xml version="1.0" encoding="utf-8"?>
<ds:datastoreItem xmlns:ds="http://schemas.openxmlformats.org/officeDocument/2006/customXml" ds:itemID="{393D5818-0E2F-400D-BE08-3241D7F09A73}">
  <ds:schemaRefs/>
</ds:datastoreItem>
</file>

<file path=customXml/itemProps3.xml><?xml version="1.0" encoding="utf-8"?>
<ds:datastoreItem xmlns:ds="http://schemas.openxmlformats.org/officeDocument/2006/customXml" ds:itemID="{3F7581E3-B6C8-4B27-996E-D528FA7D08BD}">
  <ds:schemaRefs/>
</ds:datastoreItem>
</file>

<file path=customXml/itemProps4.xml><?xml version="1.0" encoding="utf-8"?>
<ds:datastoreItem xmlns:ds="http://schemas.openxmlformats.org/officeDocument/2006/customXml" ds:itemID="{75E345EB-9067-495B-A924-AF2668CA8F4D}">
  <ds:schemaRefs/>
</ds:datastoreItem>
</file>

<file path=customXml/itemProps5.xml><?xml version="1.0" encoding="utf-8"?>
<ds:datastoreItem xmlns:ds="http://schemas.openxmlformats.org/officeDocument/2006/customXml" ds:itemID="{85BCDE2C-BA91-4F2D-9346-E0895C684C48}">
  <ds:schemaRefs/>
</ds:datastoreItem>
</file>

<file path=customXml/itemProps6.xml><?xml version="1.0" encoding="utf-8"?>
<ds:datastoreItem xmlns:ds="http://schemas.openxmlformats.org/officeDocument/2006/customXml" ds:itemID="{B5B21E13-44B7-432E-A4E3-05502CF6B8FC}">
  <ds:schemaRefs/>
</ds:datastoreItem>
</file>

<file path=customXml/itemProps7.xml><?xml version="1.0" encoding="utf-8"?>
<ds:datastoreItem xmlns:ds="http://schemas.openxmlformats.org/officeDocument/2006/customXml" ds:itemID="{B8F1B114-4A90-4D82-A1A4-B50C4140F16E}">
  <ds:schemaRefs/>
</ds:datastoreItem>
</file>

<file path=customXml/itemProps8.xml><?xml version="1.0" encoding="utf-8"?>
<ds:datastoreItem xmlns:ds="http://schemas.openxmlformats.org/officeDocument/2006/customXml" ds:itemID="{567B7C2F-E8DD-451B-8979-6CBF4036177E}">
  <ds:schemaRefs/>
</ds:datastoreItem>
</file>

<file path=customXml/itemProps9.xml><?xml version="1.0" encoding="utf-8"?>
<ds:datastoreItem xmlns:ds="http://schemas.openxmlformats.org/officeDocument/2006/customXml" ds:itemID="{2BD4FCCF-747D-4D1E-9D15-F11A863C823A}">
  <ds:schemaRefs/>
</ds:datastoreItem>
</file>

<file path=customXml/itemProps10.xml><?xml version="1.0" encoding="utf-8"?>
<ds:datastoreItem xmlns:ds="http://schemas.openxmlformats.org/officeDocument/2006/customXml" ds:itemID="{14205E62-4E13-4F36-B48C-7DF81E048023}">
  <ds:schemaRefs/>
</ds:datastoreItem>
</file>

<file path=customXml/itemProps11.xml><?xml version="1.0" encoding="utf-8"?>
<ds:datastoreItem xmlns:ds="http://schemas.openxmlformats.org/officeDocument/2006/customXml" ds:itemID="{CBE95992-8DDF-4C4D-A0B8-80AC35672E8A}">
  <ds:schemaRefs/>
</ds:datastoreItem>
</file>

<file path=customXml/itemProps12.xml><?xml version="1.0" encoding="utf-8"?>
<ds:datastoreItem xmlns:ds="http://schemas.openxmlformats.org/officeDocument/2006/customXml" ds:itemID="{8CD6BB86-8BED-447A-8B2C-C7107303C17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General</vt:lpstr>
      <vt:lpstr>Item master</vt:lpstr>
      <vt:lpstr>Customer master</vt:lpstr>
      <vt:lpstr>Vendor master</vt:lpstr>
      <vt:lpstr>Sales tax</vt:lpstr>
      <vt:lpstr>Item sales tax</vt:lpstr>
      <vt:lpstr>Tax code</vt:lpstr>
      <vt:lpstr>'Sales tax'!AtlasReport_1</vt:lpstr>
      <vt:lpstr>'Item sales tax'!AtlasReport_2</vt:lpstr>
      <vt:lpstr>'Tax code'!AtlasReport_3</vt:lpstr>
      <vt:lpstr>'Customer master'!AtlasReport_4</vt:lpstr>
      <vt:lpstr>'Vendor master'!AtlasReport_5</vt:lpstr>
      <vt:lpstr>'Item master'!AtlasReport_6</vt:lpstr>
      <vt:lpstr>DataAreaId</vt:lpstr>
    </vt:vector>
  </TitlesOfParts>
  <Company>Simpson Manufacturing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2017-01-15T21:01:19Z</dcterms:created>
  <dcterms:modified xsi:type="dcterms:W3CDTF">2017-12-22T05:38:18Z</dcterms:modified>
</cp:coreProperties>
</file>