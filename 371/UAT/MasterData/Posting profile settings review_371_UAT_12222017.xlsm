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05" windowWidth="11685" windowHeight="7080" firstSheet="9" activeTab="14"/>
  </bookViews>
  <sheets>
    <sheet name="Parameter" sheetId="6" r:id="rId1"/>
    <sheet name="Full list" sheetId="15" r:id="rId2"/>
    <sheet name="Chart of accounts list" sheetId="1" r:id="rId3"/>
    <sheet name="GL_System accounts" sheetId="2" r:id="rId4"/>
    <sheet name="GL_Sales tax" sheetId="7" r:id="rId5"/>
    <sheet name="AR_Posting profile" sheetId="8" r:id="rId6"/>
    <sheet name="AP_Posting profile" sheetId="10" r:id="rId7"/>
    <sheet name="ARAP_Cash discount" sheetId="9" r:id="rId8"/>
    <sheet name="ARAP_Misc charge" sheetId="3" r:id="rId9"/>
    <sheet name="IM_Posting profile" sheetId="5" r:id="rId10"/>
    <sheet name="FA_Posting profile" sheetId="11" r:id="rId11"/>
    <sheet name="FA_Disposal profile" sheetId="14" r:id="rId12"/>
    <sheet name="IM_Journal name" sheetId="12" r:id="rId13"/>
    <sheet name="PT_Posting profile" sheetId="13" r:id="rId14"/>
    <sheet name="Prod_CostCategory" sheetId="16" r:id="rId15"/>
  </sheets>
  <definedNames>
    <definedName name="_xlnm._FilterDatabase" localSheetId="9" hidden="1">'IM_Posting profile'!#REF!</definedName>
    <definedName name="AtlasReport_1" localSheetId="2">'Chart of accounts list'!$A$3:$O$375</definedName>
    <definedName name="AtlasReport_10" localSheetId="4">'GL_Sales tax'!$A$1:$G$7</definedName>
    <definedName name="AtlasReport_11" localSheetId="10">'FA_Posting profile'!$A$1:$F$36</definedName>
    <definedName name="AtlasReport_12" localSheetId="10">'FA_Posting profile'!#REF!</definedName>
    <definedName name="AtlasReport_13" localSheetId="12">'IM_Journal name'!$A$1:$C$5</definedName>
    <definedName name="AtlasReport_14" localSheetId="13">'PT_Posting profile'!$A$1:$C$3</definedName>
    <definedName name="AtlasReport_15" localSheetId="11">'FA_Disposal profile'!$A$1:$I$133</definedName>
    <definedName name="AtlasReport_16" localSheetId="14">Prod_CostCategory!$A$1:$F$3</definedName>
    <definedName name="AtlasReport_2" localSheetId="3">'GL_System accounts'!$A$1:$F$13</definedName>
    <definedName name="AtlasReport_3" localSheetId="3">'GL_System accounts'!#REF!</definedName>
    <definedName name="AtlasReport_4" localSheetId="4">'GL_Sales tax'!#REF!</definedName>
    <definedName name="AtlasReport_5" localSheetId="5">'AR_Posting profile'!$A$1:$I$23</definedName>
    <definedName name="AtlasReport_6" localSheetId="7">'ARAP_Cash discount'!$A$1:$J$20</definedName>
    <definedName name="AtlasReport_7" localSheetId="8">'ARAP_Misc charge'!$A$1:$M$20</definedName>
    <definedName name="AtlasReport_8" localSheetId="6">'AP_Posting profile'!$A$1:$H$14</definedName>
    <definedName name="AtlasReport_9" localSheetId="9">'IM_Posting profile'!$A$1:$N$7</definedName>
    <definedName name="DataAreaId">Parameter!$C$2</definedName>
  </definedNames>
  <calcPr calcId="145621"/>
</workbook>
</file>

<file path=xl/calcChain.xml><?xml version="1.0" encoding="utf-8"?>
<calcChain xmlns="http://schemas.openxmlformats.org/spreadsheetml/2006/main">
  <c r="H3" i="8" l="1"/>
  <c r="H7" i="8"/>
  <c r="H11" i="8"/>
  <c r="H15" i="8"/>
  <c r="H19" i="8"/>
  <c r="H23" i="8"/>
  <c r="F6" i="8"/>
  <c r="F10" i="8"/>
  <c r="F14" i="8"/>
  <c r="F18" i="8"/>
  <c r="F22" i="8"/>
  <c r="D5" i="8"/>
  <c r="D9" i="8"/>
  <c r="D17" i="8"/>
  <c r="D21" i="8"/>
  <c r="D22" i="8"/>
  <c r="H4" i="8"/>
  <c r="H8" i="8"/>
  <c r="H12" i="8"/>
  <c r="H16" i="8"/>
  <c r="H20" i="8"/>
  <c r="F3" i="8"/>
  <c r="F7" i="8"/>
  <c r="F11" i="8"/>
  <c r="F15" i="8"/>
  <c r="F19" i="8"/>
  <c r="F23" i="8"/>
  <c r="D6" i="8"/>
  <c r="D10" i="8"/>
  <c r="D18" i="8"/>
  <c r="D23" i="8"/>
  <c r="H5" i="8"/>
  <c r="H9" i="8"/>
  <c r="H13" i="8"/>
  <c r="H17" i="8"/>
  <c r="H21" i="8"/>
  <c r="F4" i="8"/>
  <c r="F8" i="8"/>
  <c r="F12" i="8"/>
  <c r="F16" i="8"/>
  <c r="F20" i="8"/>
  <c r="D3" i="8"/>
  <c r="D7" i="8"/>
  <c r="D11" i="8"/>
  <c r="D15" i="8"/>
  <c r="D19" i="8"/>
  <c r="H6" i="8"/>
  <c r="H10" i="8"/>
  <c r="H14" i="8"/>
  <c r="H18" i="8"/>
  <c r="H22" i="8"/>
  <c r="F5" i="8"/>
  <c r="F9" i="8"/>
  <c r="F13" i="8"/>
  <c r="F17" i="8"/>
  <c r="F21" i="8"/>
  <c r="D4" i="8"/>
  <c r="D8" i="8"/>
  <c r="D12" i="8"/>
  <c r="D16" i="8"/>
  <c r="D20" i="8"/>
  <c r="F11" i="2"/>
  <c r="F7" i="2"/>
  <c r="F3" i="2"/>
  <c r="F10" i="2"/>
  <c r="F6" i="2"/>
  <c r="F13" i="2"/>
  <c r="F9" i="2"/>
  <c r="F5" i="2"/>
  <c r="F12" i="2"/>
  <c r="F8" i="2"/>
  <c r="F4" i="2"/>
  <c r="N188" i="5"/>
  <c r="N184" i="5"/>
  <c r="N180" i="5"/>
  <c r="N176" i="5"/>
  <c r="N172" i="5"/>
  <c r="N168" i="5"/>
  <c r="N164" i="5"/>
  <c r="N160" i="5"/>
  <c r="N156" i="5"/>
  <c r="N152" i="5"/>
  <c r="N148" i="5"/>
  <c r="N144" i="5"/>
  <c r="N140" i="5"/>
  <c r="N136" i="5"/>
  <c r="N132" i="5"/>
  <c r="N128" i="5"/>
  <c r="N124" i="5"/>
  <c r="N120" i="5"/>
  <c r="N116" i="5"/>
  <c r="N112" i="5"/>
  <c r="N108" i="5"/>
  <c r="N104" i="5"/>
  <c r="N100" i="5"/>
  <c r="N96" i="5"/>
  <c r="N92" i="5"/>
  <c r="N88" i="5"/>
  <c r="N84" i="5"/>
  <c r="N80" i="5"/>
  <c r="N76" i="5"/>
  <c r="N72" i="5"/>
  <c r="N68" i="5"/>
  <c r="N64" i="5"/>
  <c r="N60" i="5"/>
  <c r="N56" i="5"/>
  <c r="N52" i="5"/>
  <c r="N48" i="5"/>
  <c r="N44" i="5"/>
  <c r="N40" i="5"/>
  <c r="N36" i="5"/>
  <c r="N32" i="5"/>
  <c r="N28" i="5"/>
  <c r="N24" i="5"/>
  <c r="N20" i="5"/>
  <c r="N16" i="5"/>
  <c r="N12" i="5"/>
  <c r="N8" i="5"/>
  <c r="N4" i="5"/>
  <c r="N187" i="5"/>
  <c r="N183" i="5"/>
  <c r="N179" i="5"/>
  <c r="N175" i="5"/>
  <c r="N171" i="5"/>
  <c r="N167" i="5"/>
  <c r="N163" i="5"/>
  <c r="N159" i="5"/>
  <c r="N155" i="5"/>
  <c r="N151" i="5"/>
  <c r="N147" i="5"/>
  <c r="N143" i="5"/>
  <c r="N139" i="5"/>
  <c r="N135" i="5"/>
  <c r="N131" i="5"/>
  <c r="N127" i="5"/>
  <c r="N123" i="5"/>
  <c r="N119" i="5"/>
  <c r="N115" i="5"/>
  <c r="N111" i="5"/>
  <c r="N107" i="5"/>
  <c r="N103" i="5"/>
  <c r="N99" i="5"/>
  <c r="N95" i="5"/>
  <c r="N91" i="5"/>
  <c r="N87" i="5"/>
  <c r="N83" i="5"/>
  <c r="N79" i="5"/>
  <c r="N75" i="5"/>
  <c r="N71" i="5"/>
  <c r="N67" i="5"/>
  <c r="N63" i="5"/>
  <c r="N59" i="5"/>
  <c r="N55" i="5"/>
  <c r="N51" i="5"/>
  <c r="N47" i="5"/>
  <c r="N43" i="5"/>
  <c r="N39" i="5"/>
  <c r="N35" i="5"/>
  <c r="N31" i="5"/>
  <c r="N27" i="5"/>
  <c r="N23" i="5"/>
  <c r="N19" i="5"/>
  <c r="N15" i="5"/>
  <c r="N11" i="5"/>
  <c r="N7" i="5"/>
  <c r="N186" i="5"/>
  <c r="N182" i="5"/>
  <c r="N178" i="5"/>
  <c r="N174" i="5"/>
  <c r="N170" i="5"/>
  <c r="N166" i="5"/>
  <c r="N162" i="5"/>
  <c r="N158" i="5"/>
  <c r="N154" i="5"/>
  <c r="N150" i="5"/>
  <c r="N146" i="5"/>
  <c r="N142" i="5"/>
  <c r="N138" i="5"/>
  <c r="N134" i="5"/>
  <c r="N130" i="5"/>
  <c r="N126" i="5"/>
  <c r="N122" i="5"/>
  <c r="N118" i="5"/>
  <c r="N114" i="5"/>
  <c r="N110" i="5"/>
  <c r="N106" i="5"/>
  <c r="N102" i="5"/>
  <c r="N98" i="5"/>
  <c r="N94" i="5"/>
  <c r="N90" i="5"/>
  <c r="N86" i="5"/>
  <c r="N82" i="5"/>
  <c r="N78" i="5"/>
  <c r="N74" i="5"/>
  <c r="N70" i="5"/>
  <c r="N66" i="5"/>
  <c r="N62" i="5"/>
  <c r="N58" i="5"/>
  <c r="N54" i="5"/>
  <c r="N185" i="5"/>
  <c r="N169" i="5"/>
  <c r="N153" i="5"/>
  <c r="N137" i="5"/>
  <c r="N121" i="5"/>
  <c r="N105" i="5"/>
  <c r="N89" i="5"/>
  <c r="N73" i="5"/>
  <c r="N57" i="5"/>
  <c r="N46" i="5"/>
  <c r="N38" i="5"/>
  <c r="N30" i="5"/>
  <c r="N22" i="5"/>
  <c r="N14" i="5"/>
  <c r="N6" i="5"/>
  <c r="N181" i="5"/>
  <c r="N165" i="5"/>
  <c r="N149" i="5"/>
  <c r="N133" i="5"/>
  <c r="N117" i="5"/>
  <c r="N101" i="5"/>
  <c r="N85" i="5"/>
  <c r="N69" i="5"/>
  <c r="N53" i="5"/>
  <c r="N45" i="5"/>
  <c r="N37" i="5"/>
  <c r="N29" i="5"/>
  <c r="N21" i="5"/>
  <c r="N13" i="5"/>
  <c r="N5" i="5"/>
  <c r="N177" i="5"/>
  <c r="N161" i="5"/>
  <c r="N145" i="5"/>
  <c r="N129" i="5"/>
  <c r="N113" i="5"/>
  <c r="N97" i="5"/>
  <c r="N81" i="5"/>
  <c r="N65" i="5"/>
  <c r="N50" i="5"/>
  <c r="N42" i="5"/>
  <c r="N34" i="5"/>
  <c r="N26" i="5"/>
  <c r="N18" i="5"/>
  <c r="N10" i="5"/>
  <c r="N173" i="5"/>
  <c r="N157" i="5"/>
  <c r="N141" i="5"/>
  <c r="N125" i="5"/>
  <c r="N109" i="5"/>
  <c r="N93" i="5"/>
  <c r="N77" i="5"/>
  <c r="N61" i="5"/>
  <c r="N49" i="5"/>
  <c r="N41" i="5"/>
  <c r="N33" i="5"/>
  <c r="N25" i="5"/>
  <c r="N17" i="5"/>
  <c r="N9" i="5"/>
  <c r="N3" i="5"/>
  <c r="K188" i="5"/>
  <c r="K184" i="5"/>
  <c r="K180" i="5"/>
  <c r="K176" i="5"/>
  <c r="K172" i="5"/>
  <c r="K168" i="5"/>
  <c r="K164" i="5"/>
  <c r="K160" i="5"/>
  <c r="K156" i="5"/>
  <c r="K152" i="5"/>
  <c r="K148" i="5"/>
  <c r="K144" i="5"/>
  <c r="K140" i="5"/>
  <c r="K136" i="5"/>
  <c r="K132" i="5"/>
  <c r="K128" i="5"/>
  <c r="K124" i="5"/>
  <c r="K120" i="5"/>
  <c r="K116" i="5"/>
  <c r="K112" i="5"/>
  <c r="K108" i="5"/>
  <c r="K104" i="5"/>
  <c r="K100" i="5"/>
  <c r="K96" i="5"/>
  <c r="K92" i="5"/>
  <c r="K88" i="5"/>
  <c r="K84" i="5"/>
  <c r="K80" i="5"/>
  <c r="K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16" i="5"/>
  <c r="K12" i="5"/>
  <c r="K8" i="5"/>
  <c r="K4" i="5"/>
  <c r="K187" i="5"/>
  <c r="K183" i="5"/>
  <c r="K179" i="5"/>
  <c r="K175" i="5"/>
  <c r="K171" i="5"/>
  <c r="K167" i="5"/>
  <c r="K163" i="5"/>
  <c r="K155" i="5"/>
  <c r="K151" i="5"/>
  <c r="K143" i="5"/>
  <c r="K131" i="5"/>
  <c r="K123" i="5"/>
  <c r="K115" i="5"/>
  <c r="K107" i="5"/>
  <c r="K99" i="5"/>
  <c r="K91" i="5"/>
  <c r="K79" i="5"/>
  <c r="K71" i="5"/>
  <c r="K63" i="5"/>
  <c r="K55" i="5"/>
  <c r="K47" i="5"/>
  <c r="K39" i="5"/>
  <c r="K31" i="5"/>
  <c r="K19" i="5"/>
  <c r="K11" i="5"/>
  <c r="K186" i="5"/>
  <c r="K182" i="5"/>
  <c r="K178" i="5"/>
  <c r="K174" i="5"/>
  <c r="K170" i="5"/>
  <c r="K166" i="5"/>
  <c r="K162" i="5"/>
  <c r="K158" i="5"/>
  <c r="K154" i="5"/>
  <c r="K150" i="5"/>
  <c r="K146" i="5"/>
  <c r="K142" i="5"/>
  <c r="K138" i="5"/>
  <c r="K134" i="5"/>
  <c r="K130" i="5"/>
  <c r="K126" i="5"/>
  <c r="K122" i="5"/>
  <c r="K118" i="5"/>
  <c r="K114" i="5"/>
  <c r="K110" i="5"/>
  <c r="K106" i="5"/>
  <c r="K102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14" i="5"/>
  <c r="K10" i="5"/>
  <c r="K6" i="5"/>
  <c r="K185" i="5"/>
  <c r="K181" i="5"/>
  <c r="K177" i="5"/>
  <c r="K173" i="5"/>
  <c r="K169" i="5"/>
  <c r="K165" i="5"/>
  <c r="K161" i="5"/>
  <c r="K157" i="5"/>
  <c r="K153" i="5"/>
  <c r="K149" i="5"/>
  <c r="K145" i="5"/>
  <c r="K141" i="5"/>
  <c r="K137" i="5"/>
  <c r="K133" i="5"/>
  <c r="K129" i="5"/>
  <c r="K125" i="5"/>
  <c r="K121" i="5"/>
  <c r="K117" i="5"/>
  <c r="K113" i="5"/>
  <c r="K109" i="5"/>
  <c r="K105" i="5"/>
  <c r="K101" i="5"/>
  <c r="K97" i="5"/>
  <c r="K93" i="5"/>
  <c r="K89" i="5"/>
  <c r="K85" i="5"/>
  <c r="K81" i="5"/>
  <c r="K77" i="5"/>
  <c r="K73" i="5"/>
  <c r="K69" i="5"/>
  <c r="K65" i="5"/>
  <c r="K61" i="5"/>
  <c r="K57" i="5"/>
  <c r="K53" i="5"/>
  <c r="K49" i="5"/>
  <c r="K45" i="5"/>
  <c r="K41" i="5"/>
  <c r="K37" i="5"/>
  <c r="K33" i="5"/>
  <c r="K29" i="5"/>
  <c r="K25" i="5"/>
  <c r="K21" i="5"/>
  <c r="K17" i="5"/>
  <c r="K13" i="5"/>
  <c r="K9" i="5"/>
  <c r="K5" i="5"/>
  <c r="K159" i="5"/>
  <c r="K147" i="5"/>
  <c r="K139" i="5"/>
  <c r="K135" i="5"/>
  <c r="K127" i="5"/>
  <c r="K119" i="5"/>
  <c r="K111" i="5"/>
  <c r="K103" i="5"/>
  <c r="K95" i="5"/>
  <c r="K87" i="5"/>
  <c r="K83" i="5"/>
  <c r="K75" i="5"/>
  <c r="K67" i="5"/>
  <c r="K59" i="5"/>
  <c r="K51" i="5"/>
  <c r="K43" i="5"/>
  <c r="K35" i="5"/>
  <c r="K27" i="5"/>
  <c r="K23" i="5"/>
  <c r="K15" i="5"/>
  <c r="K7" i="5"/>
  <c r="K3" i="5"/>
  <c r="F188" i="5"/>
  <c r="F184" i="5"/>
  <c r="F180" i="5"/>
  <c r="F176" i="5"/>
  <c r="F172" i="5"/>
  <c r="F168" i="5"/>
  <c r="F164" i="5"/>
  <c r="F160" i="5"/>
  <c r="F156" i="5"/>
  <c r="F152" i="5"/>
  <c r="F148" i="5"/>
  <c r="F144" i="5"/>
  <c r="F140" i="5"/>
  <c r="F136" i="5"/>
  <c r="F132" i="5"/>
  <c r="F128" i="5"/>
  <c r="F124" i="5"/>
  <c r="F120" i="5"/>
  <c r="F116" i="5"/>
  <c r="F112" i="5"/>
  <c r="F108" i="5"/>
  <c r="F104" i="5"/>
  <c r="F100" i="5"/>
  <c r="F96" i="5"/>
  <c r="F92" i="5"/>
  <c r="F88" i="5"/>
  <c r="F84" i="5"/>
  <c r="F80" i="5"/>
  <c r="F76" i="5"/>
  <c r="F72" i="5"/>
  <c r="F68" i="5"/>
  <c r="F64" i="5"/>
  <c r="F60" i="5"/>
  <c r="F56" i="5"/>
  <c r="F52" i="5"/>
  <c r="F48" i="5"/>
  <c r="F44" i="5"/>
  <c r="F40" i="5"/>
  <c r="F36" i="5"/>
  <c r="F32" i="5"/>
  <c r="F28" i="5"/>
  <c r="F24" i="5"/>
  <c r="F20" i="5"/>
  <c r="F16" i="5"/>
  <c r="F12" i="5"/>
  <c r="F8" i="5"/>
  <c r="F4" i="5"/>
  <c r="F187" i="5"/>
  <c r="F183" i="5"/>
  <c r="F179" i="5"/>
  <c r="F175" i="5"/>
  <c r="F171" i="5"/>
  <c r="F167" i="5"/>
  <c r="F163" i="5"/>
  <c r="F159" i="5"/>
  <c r="F155" i="5"/>
  <c r="F151" i="5"/>
  <c r="F147" i="5"/>
  <c r="F143" i="5"/>
  <c r="F139" i="5"/>
  <c r="F135" i="5"/>
  <c r="F131" i="5"/>
  <c r="F127" i="5"/>
  <c r="F123" i="5"/>
  <c r="F119" i="5"/>
  <c r="F115" i="5"/>
  <c r="F111" i="5"/>
  <c r="F107" i="5"/>
  <c r="F103" i="5"/>
  <c r="F99" i="5"/>
  <c r="F95" i="5"/>
  <c r="F91" i="5"/>
  <c r="F87" i="5"/>
  <c r="F83" i="5"/>
  <c r="F79" i="5"/>
  <c r="F75" i="5"/>
  <c r="F71" i="5"/>
  <c r="F67" i="5"/>
  <c r="F63" i="5"/>
  <c r="F59" i="5"/>
  <c r="F55" i="5"/>
  <c r="F51" i="5"/>
  <c r="F47" i="5"/>
  <c r="F43" i="5"/>
  <c r="F39" i="5"/>
  <c r="F35" i="5"/>
  <c r="F31" i="5"/>
  <c r="F27" i="5"/>
  <c r="F23" i="5"/>
  <c r="F19" i="5"/>
  <c r="F15" i="5"/>
  <c r="F11" i="5"/>
  <c r="F7" i="5"/>
  <c r="F186" i="5"/>
  <c r="F182" i="5"/>
  <c r="F178" i="5"/>
  <c r="F174" i="5"/>
  <c r="F170" i="5"/>
  <c r="F166" i="5"/>
  <c r="F162" i="5"/>
  <c r="F158" i="5"/>
  <c r="F154" i="5"/>
  <c r="F150" i="5"/>
  <c r="F146" i="5"/>
  <c r="F142" i="5"/>
  <c r="F138" i="5"/>
  <c r="F134" i="5"/>
  <c r="F130" i="5"/>
  <c r="F126" i="5"/>
  <c r="F122" i="5"/>
  <c r="F118" i="5"/>
  <c r="F114" i="5"/>
  <c r="F110" i="5"/>
  <c r="F106" i="5"/>
  <c r="F102" i="5"/>
  <c r="F98" i="5"/>
  <c r="F94" i="5"/>
  <c r="F90" i="5"/>
  <c r="F86" i="5"/>
  <c r="F82" i="5"/>
  <c r="F78" i="5"/>
  <c r="F74" i="5"/>
  <c r="F70" i="5"/>
  <c r="F66" i="5"/>
  <c r="F62" i="5"/>
  <c r="F58" i="5"/>
  <c r="F54" i="5"/>
  <c r="F185" i="5"/>
  <c r="F169" i="5"/>
  <c r="F153" i="5"/>
  <c r="F137" i="5"/>
  <c r="F121" i="5"/>
  <c r="F105" i="5"/>
  <c r="F89" i="5"/>
  <c r="F73" i="5"/>
  <c r="F57" i="5"/>
  <c r="F46" i="5"/>
  <c r="F38" i="5"/>
  <c r="F30" i="5"/>
  <c r="F22" i="5"/>
  <c r="F14" i="5"/>
  <c r="F6" i="5"/>
  <c r="F181" i="5"/>
  <c r="F165" i="5"/>
  <c r="F149" i="5"/>
  <c r="F133" i="5"/>
  <c r="F117" i="5"/>
  <c r="F101" i="5"/>
  <c r="F85" i="5"/>
  <c r="F69" i="5"/>
  <c r="F53" i="5"/>
  <c r="F45" i="5"/>
  <c r="F37" i="5"/>
  <c r="F29" i="5"/>
  <c r="F21" i="5"/>
  <c r="F13" i="5"/>
  <c r="F5" i="5"/>
  <c r="F177" i="5"/>
  <c r="F161" i="5"/>
  <c r="F145" i="5"/>
  <c r="F129" i="5"/>
  <c r="F113" i="5"/>
  <c r="F97" i="5"/>
  <c r="F81" i="5"/>
  <c r="F65" i="5"/>
  <c r="F50" i="5"/>
  <c r="F42" i="5"/>
  <c r="F34" i="5"/>
  <c r="F26" i="5"/>
  <c r="F18" i="5"/>
  <c r="F10" i="5"/>
  <c r="F173" i="5"/>
  <c r="F157" i="5"/>
  <c r="F141" i="5"/>
  <c r="F125" i="5"/>
  <c r="F109" i="5"/>
  <c r="F93" i="5"/>
  <c r="F77" i="5"/>
  <c r="F61" i="5"/>
  <c r="F49" i="5"/>
  <c r="F41" i="5"/>
  <c r="F33" i="5"/>
  <c r="F25" i="5"/>
  <c r="F17" i="5"/>
  <c r="F9" i="5"/>
  <c r="F3" i="5"/>
  <c r="E5" i="5"/>
  <c r="E9" i="5"/>
  <c r="E13" i="5"/>
  <c r="E17" i="5"/>
  <c r="E21" i="5"/>
  <c r="E25" i="5"/>
  <c r="E29" i="5"/>
  <c r="E33" i="5"/>
  <c r="E37" i="5"/>
  <c r="E41" i="5"/>
  <c r="E45" i="5"/>
  <c r="E49" i="5"/>
  <c r="E53" i="5"/>
  <c r="E57" i="5"/>
  <c r="E61" i="5"/>
  <c r="E65" i="5"/>
  <c r="E69" i="5"/>
  <c r="E73" i="5"/>
  <c r="E77" i="5"/>
  <c r="E81" i="5"/>
  <c r="E85" i="5"/>
  <c r="E89" i="5"/>
  <c r="E93" i="5"/>
  <c r="E97" i="5"/>
  <c r="E101" i="5"/>
  <c r="E105" i="5"/>
  <c r="E109" i="5"/>
  <c r="E113" i="5"/>
  <c r="E117" i="5"/>
  <c r="E121" i="5"/>
  <c r="E125" i="5"/>
  <c r="E129" i="5"/>
  <c r="E133" i="5"/>
  <c r="E137" i="5"/>
  <c r="E141" i="5"/>
  <c r="E145" i="5"/>
  <c r="E149" i="5"/>
  <c r="E153" i="5"/>
  <c r="E157" i="5"/>
  <c r="E161" i="5"/>
  <c r="E165" i="5"/>
  <c r="E169" i="5"/>
  <c r="E173" i="5"/>
  <c r="E177" i="5"/>
  <c r="E181" i="5"/>
  <c r="E185" i="5"/>
  <c r="E6" i="5"/>
  <c r="E10" i="5"/>
  <c r="E14" i="5"/>
  <c r="E18" i="5"/>
  <c r="E22" i="5"/>
  <c r="E26" i="5"/>
  <c r="E30" i="5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98" i="5"/>
  <c r="E102" i="5"/>
  <c r="E106" i="5"/>
  <c r="E110" i="5"/>
  <c r="E114" i="5"/>
  <c r="E118" i="5"/>
  <c r="E122" i="5"/>
  <c r="E126" i="5"/>
  <c r="E130" i="5"/>
  <c r="E134" i="5"/>
  <c r="E138" i="5"/>
  <c r="E142" i="5"/>
  <c r="E146" i="5"/>
  <c r="E150" i="5"/>
  <c r="E154" i="5"/>
  <c r="E158" i="5"/>
  <c r="E162" i="5"/>
  <c r="E166" i="5"/>
  <c r="E170" i="5"/>
  <c r="E174" i="5"/>
  <c r="E178" i="5"/>
  <c r="E182" i="5"/>
  <c r="E186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115" i="5"/>
  <c r="E119" i="5"/>
  <c r="E123" i="5"/>
  <c r="E127" i="5"/>
  <c r="E131" i="5"/>
  <c r="E135" i="5"/>
  <c r="E139" i="5"/>
  <c r="E16" i="5"/>
  <c r="E32" i="5"/>
  <c r="E48" i="5"/>
  <c r="E64" i="5"/>
  <c r="E80" i="5"/>
  <c r="E96" i="5"/>
  <c r="E112" i="5"/>
  <c r="E128" i="5"/>
  <c r="E143" i="5"/>
  <c r="E151" i="5"/>
  <c r="E159" i="5"/>
  <c r="E167" i="5"/>
  <c r="E175" i="5"/>
  <c r="E183" i="5"/>
  <c r="E4" i="5"/>
  <c r="E20" i="5"/>
  <c r="E36" i="5"/>
  <c r="E52" i="5"/>
  <c r="E68" i="5"/>
  <c r="E84" i="5"/>
  <c r="E100" i="5"/>
  <c r="E116" i="5"/>
  <c r="E132" i="5"/>
  <c r="E144" i="5"/>
  <c r="E152" i="5"/>
  <c r="E160" i="5"/>
  <c r="E168" i="5"/>
  <c r="E176" i="5"/>
  <c r="E184" i="5"/>
  <c r="E8" i="5"/>
  <c r="E24" i="5"/>
  <c r="E40" i="5"/>
  <c r="E56" i="5"/>
  <c r="E72" i="5"/>
  <c r="E88" i="5"/>
  <c r="E104" i="5"/>
  <c r="E120" i="5"/>
  <c r="E136" i="5"/>
  <c r="E147" i="5"/>
  <c r="E155" i="5"/>
  <c r="E163" i="5"/>
  <c r="E171" i="5"/>
  <c r="E179" i="5"/>
  <c r="E187" i="5"/>
  <c r="E12" i="5"/>
  <c r="E28" i="5"/>
  <c r="E44" i="5"/>
  <c r="E60" i="5"/>
  <c r="E76" i="5"/>
  <c r="E92" i="5"/>
  <c r="E108" i="5"/>
  <c r="E124" i="5"/>
  <c r="E140" i="5"/>
  <c r="E148" i="5"/>
  <c r="E156" i="5"/>
  <c r="E164" i="5"/>
  <c r="E172" i="5"/>
  <c r="E180" i="5"/>
  <c r="E188" i="5"/>
  <c r="M15" i="3"/>
  <c r="M3" i="3"/>
  <c r="M6" i="3"/>
  <c r="M10" i="3"/>
  <c r="M17" i="3"/>
  <c r="M8" i="3"/>
  <c r="M19" i="3"/>
  <c r="M7" i="3"/>
  <c r="M11" i="3"/>
  <c r="M14" i="3"/>
  <c r="M5" i="3"/>
  <c r="M12" i="3"/>
  <c r="M16" i="3"/>
  <c r="M4" i="3"/>
  <c r="M18" i="3"/>
  <c r="M9" i="3"/>
  <c r="M13" i="3"/>
  <c r="M20" i="3"/>
  <c r="I3" i="3"/>
  <c r="I6" i="3"/>
  <c r="I10" i="3"/>
  <c r="I20" i="3"/>
  <c r="I8" i="3"/>
  <c r="I19" i="3"/>
  <c r="I7" i="3"/>
  <c r="I17" i="3"/>
  <c r="I5" i="3"/>
  <c r="I12" i="3"/>
  <c r="I16" i="3"/>
  <c r="I11" i="3"/>
  <c r="I14" i="3"/>
  <c r="I18" i="3"/>
  <c r="I9" i="3"/>
  <c r="I13" i="3"/>
  <c r="I4" i="3"/>
  <c r="I15" i="3"/>
  <c r="J3" i="9"/>
  <c r="J7" i="9"/>
  <c r="J11" i="9"/>
  <c r="J15" i="9"/>
  <c r="J19" i="9"/>
  <c r="H5" i="9"/>
  <c r="H9" i="9"/>
  <c r="H13" i="9"/>
  <c r="H17" i="9"/>
  <c r="J9" i="9"/>
  <c r="H3" i="9"/>
  <c r="H15" i="9"/>
  <c r="J4" i="9"/>
  <c r="J8" i="9"/>
  <c r="J12" i="9"/>
  <c r="J16" i="9"/>
  <c r="J20" i="9"/>
  <c r="H6" i="9"/>
  <c r="H10" i="9"/>
  <c r="H14" i="9"/>
  <c r="H18" i="9"/>
  <c r="J5" i="9"/>
  <c r="J17" i="9"/>
  <c r="H7" i="9"/>
  <c r="H19" i="9"/>
  <c r="J6" i="9"/>
  <c r="J10" i="9"/>
  <c r="J14" i="9"/>
  <c r="J18" i="9"/>
  <c r="H4" i="9"/>
  <c r="H8" i="9"/>
  <c r="H12" i="9"/>
  <c r="H16" i="9"/>
  <c r="H20" i="9"/>
  <c r="J13" i="9"/>
  <c r="H11" i="9"/>
  <c r="F3" i="10"/>
  <c r="F7" i="10"/>
  <c r="F11" i="10"/>
  <c r="D3" i="10"/>
  <c r="D7" i="10"/>
  <c r="D11" i="10"/>
  <c r="F4" i="10"/>
  <c r="F8" i="10"/>
  <c r="F12" i="10"/>
  <c r="D4" i="10"/>
  <c r="D8" i="10"/>
  <c r="D12" i="10"/>
  <c r="F5" i="10"/>
  <c r="F9" i="10"/>
  <c r="F13" i="10"/>
  <c r="D5" i="10"/>
  <c r="D9" i="10"/>
  <c r="D13" i="10"/>
  <c r="F6" i="10"/>
  <c r="F10" i="10"/>
  <c r="F14" i="10"/>
  <c r="D6" i="10"/>
  <c r="D10" i="10"/>
  <c r="D14" i="10"/>
  <c r="D14" i="8"/>
  <c r="D13" i="8"/>
</calcChain>
</file>

<file path=xl/comments1.xml><?xml version="1.0" encoding="utf-8"?>
<comments xmlns="http://schemas.openxmlformats.org/spreadsheetml/2006/main">
  <authors>
    <author>Spenser Wang</author>
  </authors>
  <commentList>
    <comment ref="B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L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J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2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2" author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J3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3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4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59" author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J6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6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7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8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9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0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1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2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3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4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5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6" author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J16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6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8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79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0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1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2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3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4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5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6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J187" author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sharedStrings.xml><?xml version="1.0" encoding="utf-8"?>
<sst xmlns="http://schemas.openxmlformats.org/spreadsheetml/2006/main" count="9104" uniqueCount="1637">
  <si>
    <t>Ledger account</t>
  </si>
  <si>
    <t>Account name</t>
  </si>
  <si>
    <t>Account type</t>
  </si>
  <si>
    <t>Locked in journal</t>
  </si>
  <si>
    <t>No</t>
  </si>
  <si>
    <t>120000</t>
  </si>
  <si>
    <t>Yes</t>
  </si>
  <si>
    <t>120001</t>
  </si>
  <si>
    <t>120010</t>
  </si>
  <si>
    <t>Automobiles</t>
  </si>
  <si>
    <t>210000</t>
  </si>
  <si>
    <t>271600</t>
  </si>
  <si>
    <t>271620</t>
  </si>
  <si>
    <t>271630</t>
  </si>
  <si>
    <t>271640</t>
  </si>
  <si>
    <t>271650</t>
  </si>
  <si>
    <t>271660</t>
  </si>
  <si>
    <t>271680</t>
  </si>
  <si>
    <t>321000</t>
  </si>
  <si>
    <t>FX G/L consolidation - System</t>
  </si>
  <si>
    <t>390000</t>
  </si>
  <si>
    <t>Retained Earnings - System</t>
  </si>
  <si>
    <t>401999</t>
  </si>
  <si>
    <t>Sales - Order rounding System account</t>
  </si>
  <si>
    <t>405000</t>
  </si>
  <si>
    <t>Prompt pay discount</t>
  </si>
  <si>
    <t>Travel</t>
  </si>
  <si>
    <t>Phone - office</t>
  </si>
  <si>
    <t>Postage</t>
  </si>
  <si>
    <t>Prof svc - audit</t>
  </si>
  <si>
    <t>Prof svc - tax</t>
  </si>
  <si>
    <t>Prof svc - other</t>
  </si>
  <si>
    <t>Legal - other</t>
  </si>
  <si>
    <t>Rent</t>
  </si>
  <si>
    <t>Services - other</t>
  </si>
  <si>
    <t>899991</t>
  </si>
  <si>
    <t>System Account- Penny Differences</t>
  </si>
  <si>
    <t>906000</t>
  </si>
  <si>
    <t>Foreign exchange - gain</t>
  </si>
  <si>
    <t>Posting type</t>
  </si>
  <si>
    <t>Penny difference in secondary currency</t>
  </si>
  <si>
    <t>Error account</t>
  </si>
  <si>
    <t>Penny difference in default currency</t>
  </si>
  <si>
    <t>Year-end result</t>
  </si>
  <si>
    <t>Balance account for consolidation differences</t>
  </si>
  <si>
    <t>Profit &amp; loss account for consolidation differences</t>
  </si>
  <si>
    <t>Customer cash discount</t>
  </si>
  <si>
    <t>Vendor cash discount</t>
  </si>
  <si>
    <t>Order invoice rounding</t>
  </si>
  <si>
    <t>Purchase invoice rounding-off</t>
  </si>
  <si>
    <t>Account code</t>
  </si>
  <si>
    <t>Account/Group number</t>
  </si>
  <si>
    <t>Summary account</t>
  </si>
  <si>
    <t>Settle account</t>
  </si>
  <si>
    <t>Table</t>
  </si>
  <si>
    <t>Group</t>
  </si>
  <si>
    <t>All</t>
  </si>
  <si>
    <t>Cash discount</t>
  </si>
  <si>
    <t>Description</t>
  </si>
  <si>
    <t>Account allowed</t>
  </si>
  <si>
    <t>Account received</t>
  </si>
  <si>
    <t>Customer posting profile</t>
  </si>
  <si>
    <t>Path: AR-&gt;setup-&gt;Payment-&gt;cash discount</t>
  </si>
  <si>
    <t>Misc. charges code</t>
  </si>
  <si>
    <t>TPP</t>
  </si>
  <si>
    <t>Debit type</t>
  </si>
  <si>
    <t>Debit posting</t>
  </si>
  <si>
    <t>Debit account</t>
  </si>
  <si>
    <t>Credit type</t>
  </si>
  <si>
    <t>Credit posting</t>
  </si>
  <si>
    <t>Credit account</t>
  </si>
  <si>
    <t>Compare purchase order and invoice values</t>
  </si>
  <si>
    <t>Custom</t>
  </si>
  <si>
    <t>Customs and Duties</t>
  </si>
  <si>
    <t>Customer/Vendor</t>
  </si>
  <si>
    <t>Order fee</t>
  </si>
  <si>
    <t>Freight</t>
  </si>
  <si>
    <t>Freight, H/T chg etc</t>
  </si>
  <si>
    <t>Order, freight</t>
  </si>
  <si>
    <t>Others</t>
  </si>
  <si>
    <t>Transfer Price Premium</t>
  </si>
  <si>
    <t>Path: AR -&gt; Setup -&gt; Misc. charge -&gt; Misc. charge code</t>
  </si>
  <si>
    <t>System accounts</t>
  </si>
  <si>
    <t>Gen</t>
  </si>
  <si>
    <t>Posting profile</t>
  </si>
  <si>
    <t>3 pty Oths</t>
  </si>
  <si>
    <t>3rd party Others</t>
  </si>
  <si>
    <t>Item</t>
  </si>
  <si>
    <t>Purchase, charge</t>
  </si>
  <si>
    <t>Purchase misc. charges duty</t>
  </si>
  <si>
    <t>Set up Chg</t>
  </si>
  <si>
    <t>Set up Charges</t>
  </si>
  <si>
    <t>VenOthAdj</t>
  </si>
  <si>
    <t>Vendor Other Adj</t>
  </si>
  <si>
    <t>Path: AP -&gt; Setup -&gt; Misc. charge -&gt; Misc. charge code</t>
  </si>
  <si>
    <t>Code approvals</t>
  </si>
  <si>
    <t>Purchase, packing slip</t>
  </si>
  <si>
    <t>Dues - other</t>
  </si>
  <si>
    <t>Legal - labor</t>
  </si>
  <si>
    <t>Services - security</t>
  </si>
  <si>
    <t>Taxes - property</t>
  </si>
  <si>
    <t>Warehousing</t>
  </si>
  <si>
    <t>Purchase, receipt</t>
  </si>
  <si>
    <t>Pallets</t>
  </si>
  <si>
    <t>Strapping &amp; clips</t>
  </si>
  <si>
    <t>Stretch wrap</t>
  </si>
  <si>
    <t>Supplies - other</t>
  </si>
  <si>
    <t>Supplies - tooling</t>
  </si>
  <si>
    <t>Sales order, revenue</t>
  </si>
  <si>
    <t>Module</t>
  </si>
  <si>
    <t>Purchase order</t>
  </si>
  <si>
    <t>Inventory</t>
  </si>
  <si>
    <t>Company ID</t>
  </si>
  <si>
    <t>Local Account #</t>
  </si>
  <si>
    <t>Local Account name</t>
  </si>
  <si>
    <t>Where used</t>
  </si>
  <si>
    <t/>
  </si>
  <si>
    <t>Balance</t>
  </si>
  <si>
    <t>Cash - EUR</t>
  </si>
  <si>
    <t>Cash - DKK</t>
  </si>
  <si>
    <t>Petty cash</t>
  </si>
  <si>
    <t>Accounts receivable</t>
  </si>
  <si>
    <t>Accounts receivable 2</t>
  </si>
  <si>
    <t>Accounts receivable - Clearing</t>
  </si>
  <si>
    <t>Raw materials</t>
  </si>
  <si>
    <t>Components</t>
  </si>
  <si>
    <t>Finished goods</t>
  </si>
  <si>
    <t>Misc receivables</t>
  </si>
  <si>
    <t>Misc receivables 2</t>
  </si>
  <si>
    <t>Prepaid Miscellaneous</t>
  </si>
  <si>
    <t>Prepaid Misccellaneous 4</t>
  </si>
  <si>
    <t>Factory equipment</t>
  </si>
  <si>
    <t>Office equipment</t>
  </si>
  <si>
    <t>Office equipment 3</t>
  </si>
  <si>
    <t>Accum dep - site improvements</t>
  </si>
  <si>
    <t>Accum dep - factory equipment</t>
  </si>
  <si>
    <t>Accum dep - automobiles</t>
  </si>
  <si>
    <t>Accum dep - office equipment</t>
  </si>
  <si>
    <t>Accum dep - office equipment 2</t>
  </si>
  <si>
    <t>Accum dep - office equipment 3</t>
  </si>
  <si>
    <t>Goodwill - S&amp;P</t>
  </si>
  <si>
    <t>Deferred income taxes - long term</t>
  </si>
  <si>
    <t>Other assets</t>
  </si>
  <si>
    <t>Accounts payable - trade</t>
  </si>
  <si>
    <t>210003</t>
  </si>
  <si>
    <t>Accounts payable - accrued liabilities</t>
  </si>
  <si>
    <t>Other accrued liabilities 2</t>
  </si>
  <si>
    <t>Income taxes payable</t>
  </si>
  <si>
    <t>Accrued buybacks</t>
  </si>
  <si>
    <t>268130</t>
  </si>
  <si>
    <t>VAT - non-EEC - paid</t>
  </si>
  <si>
    <t>I/C System AP  Br 160</t>
  </si>
  <si>
    <t>I/C System AP  Br 161</t>
  </si>
  <si>
    <t>I/C System AP  Br 162</t>
  </si>
  <si>
    <t>I/C System AP  Br 163</t>
  </si>
  <si>
    <t>I/C System AP  Br 164</t>
  </si>
  <si>
    <t>I/C System AP  Br 165</t>
  </si>
  <si>
    <t>I/C System AP  Br 166</t>
  </si>
  <si>
    <t>I/C System AP  Br 168</t>
  </si>
  <si>
    <t>Intercompany - Due from 300</t>
  </si>
  <si>
    <t>Intercompany - Due from 301</t>
  </si>
  <si>
    <t>Intercompany - Due from 321</t>
  </si>
  <si>
    <t>Intercompany - Due from 322</t>
  </si>
  <si>
    <t>Intercompany - Due from 323</t>
  </si>
  <si>
    <t>Intercompany - Due from 324</t>
  </si>
  <si>
    <t>Intercompany - Due from 328</t>
  </si>
  <si>
    <t>Intercompany - Due from 329</t>
  </si>
  <si>
    <t>Intercompany - Due from 336</t>
  </si>
  <si>
    <t>Intercompany - Due from 337</t>
  </si>
  <si>
    <t>Intercompany - Due from 340</t>
  </si>
  <si>
    <t>Intercompany - Due from 342</t>
  </si>
  <si>
    <t>Intercompany - Due from 346</t>
  </si>
  <si>
    <t>Intercompany - Due from 347</t>
  </si>
  <si>
    <t>Intercompany - Due from 348</t>
  </si>
  <si>
    <t>Intercompany - Due from 359</t>
  </si>
  <si>
    <t>Intercompany - Due from 374</t>
  </si>
  <si>
    <t>Intercompany - Due from 379</t>
  </si>
  <si>
    <t>Intercompany - Due from 395</t>
  </si>
  <si>
    <t>Retained earnings</t>
  </si>
  <si>
    <t>Foreign exchange gain</t>
  </si>
  <si>
    <t>Gross sales</t>
  </si>
  <si>
    <t>Profit and loss</t>
  </si>
  <si>
    <t>403000</t>
  </si>
  <si>
    <t>Non-product revenues</t>
  </si>
  <si>
    <t>403030</t>
  </si>
  <si>
    <t>Warehouse transfers - out</t>
  </si>
  <si>
    <t>Warehouse Transfers to Asia</t>
  </si>
  <si>
    <t>Warehouse transfers - in</t>
  </si>
  <si>
    <t>Salaries</t>
  </si>
  <si>
    <t>Cash profit sharing - salary</t>
  </si>
  <si>
    <t>Commissions - employee</t>
  </si>
  <si>
    <t>Other</t>
  </si>
  <si>
    <t>Warehouse transfers freight - AP</t>
  </si>
  <si>
    <t>Warehouse transfers freight - In</t>
  </si>
  <si>
    <t>Warehouse transfers freight - Out</t>
  </si>
  <si>
    <t>Inventory change - finished goods</t>
  </si>
  <si>
    <t>Adv - Trade Media</t>
  </si>
  <si>
    <t>Meals &amp; entertainment</t>
  </si>
  <si>
    <t>Bad debts - write-offs</t>
  </si>
  <si>
    <t>Depreciation</t>
  </si>
  <si>
    <t>Depreciation 2</t>
  </si>
  <si>
    <t>Depreciation 3</t>
  </si>
  <si>
    <t>Leases - autos</t>
  </si>
  <si>
    <t>Freight - customer shipments</t>
  </si>
  <si>
    <t>Insurances</t>
  </si>
  <si>
    <t>Insurances 2</t>
  </si>
  <si>
    <t>Home Office Allocations - In</t>
  </si>
  <si>
    <t>Prov svc - product testing</t>
  </si>
  <si>
    <t>Rent 2</t>
  </si>
  <si>
    <t>Subscriptions - periodicals</t>
  </si>
  <si>
    <t>Supplies - office and computer</t>
  </si>
  <si>
    <t>Supplies - cleaning</t>
  </si>
  <si>
    <t>Taxes - fees and permits</t>
  </si>
  <si>
    <t>Utilities - electricity</t>
  </si>
  <si>
    <t>Utilities - natural gas</t>
  </si>
  <si>
    <t>Utilities - water</t>
  </si>
  <si>
    <t>Maintenance - equipment</t>
  </si>
  <si>
    <t>Maintenance - vehicles</t>
  </si>
  <si>
    <t>Maintenance - facilities and grounds</t>
  </si>
  <si>
    <t>Misc expense</t>
  </si>
  <si>
    <t>Fixed asset disposal - gain</t>
  </si>
  <si>
    <t>Foreign exchange gain/loss (unrealized)</t>
  </si>
  <si>
    <t>Foreign exchange - loss</t>
  </si>
  <si>
    <t>907000</t>
  </si>
  <si>
    <t>Transfer price premium - income</t>
  </si>
  <si>
    <t>Transfer price premium - income 2</t>
  </si>
  <si>
    <t>907010</t>
  </si>
  <si>
    <t>Transfer price premium - charge</t>
  </si>
  <si>
    <t>Transfer price premium - charge 2</t>
  </si>
  <si>
    <t>Bank fees</t>
  </si>
  <si>
    <t>Interest expense</t>
  </si>
  <si>
    <t>Interest income</t>
  </si>
  <si>
    <t>Income taxes</t>
  </si>
  <si>
    <t>Path: GL -&gt; Setup -&gt; Posting -&gt; System accounts</t>
  </si>
  <si>
    <t>Ledger posting group</t>
  </si>
  <si>
    <t>Sales tax payable</t>
  </si>
  <si>
    <t>Sales tax receivable</t>
  </si>
  <si>
    <t>Use tax expense</t>
  </si>
  <si>
    <t>Use tax payable</t>
  </si>
  <si>
    <t>Settlement account</t>
  </si>
  <si>
    <t>Path: GL -&gt; Setup -&gt; Sales tax -&gt; Ledger posting groups</t>
  </si>
  <si>
    <t>Customer ledger accounts</t>
  </si>
  <si>
    <t>Collection letter sequence</t>
  </si>
  <si>
    <t>Locked in journal2</t>
  </si>
  <si>
    <t>Path: AR-&gt;Setup-&gt;Posting profile</t>
  </si>
  <si>
    <t>Net/Current</t>
  </si>
  <si>
    <t>Discount pct.</t>
  </si>
  <si>
    <t>Months</t>
  </si>
  <si>
    <t>Days</t>
  </si>
  <si>
    <t>Net</t>
  </si>
  <si>
    <t>Misc. charges codes</t>
  </si>
  <si>
    <t>Item sales tax group</t>
  </si>
  <si>
    <t>Customer</t>
  </si>
  <si>
    <t>Vendor</t>
  </si>
  <si>
    <t>3rd party Freight</t>
  </si>
  <si>
    <t>Purchase freight</t>
  </si>
  <si>
    <t>210002</t>
  </si>
  <si>
    <t>210004</t>
  </si>
  <si>
    <t>Vendor ledger accounts</t>
  </si>
  <si>
    <t>AP</t>
  </si>
  <si>
    <t>Inventory, Ledger posting</t>
  </si>
  <si>
    <t>Item code</t>
  </si>
  <si>
    <t>Item relation</t>
  </si>
  <si>
    <t>Account relation</t>
  </si>
  <si>
    <t>Account number</t>
  </si>
  <si>
    <t>Local account</t>
  </si>
  <si>
    <t>Local acct name</t>
  </si>
  <si>
    <t>Setup</t>
  </si>
  <si>
    <t>General journal</t>
  </si>
  <si>
    <t>Accounts Receivable</t>
  </si>
  <si>
    <t>Accounts Payable</t>
  </si>
  <si>
    <t>AP/AR</t>
  </si>
  <si>
    <t>Inventory management</t>
  </si>
  <si>
    <t>Sales tax codes</t>
  </si>
  <si>
    <t>Vendor posting profile</t>
  </si>
  <si>
    <t>Misc. charge codes</t>
  </si>
  <si>
    <t>Item posting profile</t>
  </si>
  <si>
    <t>Customer name</t>
  </si>
  <si>
    <t>Vender name</t>
  </si>
  <si>
    <t>Closed</t>
  </si>
  <si>
    <t>Branch</t>
  </si>
  <si>
    <t>Department</t>
  </si>
  <si>
    <t>Department(Range)</t>
  </si>
  <si>
    <t>Department Descr.</t>
  </si>
  <si>
    <t>Hierarchy</t>
  </si>
  <si>
    <t>Hierarchy Descr.</t>
  </si>
  <si>
    <t>Descr.</t>
  </si>
  <si>
    <t>Intercompany - Due from 360</t>
  </si>
  <si>
    <t>Intercompany - Due from 362</t>
  </si>
  <si>
    <t>Intercompany - Due from 363</t>
  </si>
  <si>
    <t>Intercompany - Due from 364</t>
  </si>
  <si>
    <t>Intercompany - Due from 365</t>
  </si>
  <si>
    <t>Intercompany - Due from 366</t>
  </si>
  <si>
    <t>Intercompany - Due from 368</t>
  </si>
  <si>
    <t>719000</t>
  </si>
  <si>
    <t>821000</t>
  </si>
  <si>
    <t>823000</t>
  </si>
  <si>
    <t>822000</t>
  </si>
  <si>
    <t>681000</t>
  </si>
  <si>
    <t>709000</t>
  </si>
  <si>
    <t>703000</t>
  </si>
  <si>
    <t>730000</t>
  </si>
  <si>
    <t>801000</t>
  </si>
  <si>
    <t>802000</t>
  </si>
  <si>
    <t>804000</t>
  </si>
  <si>
    <t>131000</t>
  </si>
  <si>
    <t>130000</t>
  </si>
  <si>
    <t>132000</t>
  </si>
  <si>
    <t>671000</t>
  </si>
  <si>
    <t>172300</t>
  </si>
  <si>
    <t>542000</t>
  </si>
  <si>
    <t>172400</t>
  </si>
  <si>
    <t>776000</t>
  </si>
  <si>
    <t>773000</t>
  </si>
  <si>
    <t>541000</t>
  </si>
  <si>
    <t>495010</t>
  </si>
  <si>
    <t>495030</t>
  </si>
  <si>
    <t>492002</t>
  </si>
  <si>
    <t>410010</t>
  </si>
  <si>
    <t>401000</t>
  </si>
  <si>
    <t>100400</t>
  </si>
  <si>
    <t>100600</t>
  </si>
  <si>
    <t>104000</t>
  </si>
  <si>
    <t>140000</t>
  </si>
  <si>
    <t>140001</t>
  </si>
  <si>
    <t>140700</t>
  </si>
  <si>
    <t>140703</t>
  </si>
  <si>
    <t>172000</t>
  </si>
  <si>
    <t>172402</t>
  </si>
  <si>
    <t>173000</t>
  </si>
  <si>
    <t>174000</t>
  </si>
  <si>
    <t>174300</t>
  </si>
  <si>
    <t>174400</t>
  </si>
  <si>
    <t>174401</t>
  </si>
  <si>
    <t>174402</t>
  </si>
  <si>
    <t>180170</t>
  </si>
  <si>
    <t>199300</t>
  </si>
  <si>
    <t>199500</t>
  </si>
  <si>
    <t>210030</t>
  </si>
  <si>
    <t>210031</t>
  </si>
  <si>
    <t>210060</t>
  </si>
  <si>
    <t>220000</t>
  </si>
  <si>
    <t>260000</t>
  </si>
  <si>
    <t>271610</t>
  </si>
  <si>
    <t>273000</t>
  </si>
  <si>
    <t>273010</t>
  </si>
  <si>
    <t>273210</t>
  </si>
  <si>
    <t>273220</t>
  </si>
  <si>
    <t>273230</t>
  </si>
  <si>
    <t>273240</t>
  </si>
  <si>
    <t>273280</t>
  </si>
  <si>
    <t>273290</t>
  </si>
  <si>
    <t>273360</t>
  </si>
  <si>
    <t>273370</t>
  </si>
  <si>
    <t>273400</t>
  </si>
  <si>
    <t>273420</t>
  </si>
  <si>
    <t>273430</t>
  </si>
  <si>
    <t>273450</t>
  </si>
  <si>
    <t>273460</t>
  </si>
  <si>
    <t>273470</t>
  </si>
  <si>
    <t>273480</t>
  </si>
  <si>
    <t>273590</t>
  </si>
  <si>
    <t>273600</t>
  </si>
  <si>
    <t>273620</t>
  </si>
  <si>
    <t>273630</t>
  </si>
  <si>
    <t>273640</t>
  </si>
  <si>
    <t>273650</t>
  </si>
  <si>
    <t>273660</t>
  </si>
  <si>
    <t>273680</t>
  </si>
  <si>
    <t>273740</t>
  </si>
  <si>
    <t>273790</t>
  </si>
  <si>
    <t>273950</t>
  </si>
  <si>
    <t>310000</t>
  </si>
  <si>
    <t>320000</t>
  </si>
  <si>
    <t>410016</t>
  </si>
  <si>
    <t>410020</t>
  </si>
  <si>
    <t>427000</t>
  </si>
  <si>
    <t>427040</t>
  </si>
  <si>
    <t>459000</t>
  </si>
  <si>
    <t>492000</t>
  </si>
  <si>
    <t>492001</t>
  </si>
  <si>
    <t>511300</t>
  </si>
  <si>
    <t>551000</t>
  </si>
  <si>
    <t>590000</t>
  </si>
  <si>
    <t>590001</t>
  </si>
  <si>
    <t>590002</t>
  </si>
  <si>
    <t>622000</t>
  </si>
  <si>
    <t>641000</t>
  </si>
  <si>
    <t>661000</t>
  </si>
  <si>
    <t>661001</t>
  </si>
  <si>
    <t>730001</t>
  </si>
  <si>
    <t>761000</t>
  </si>
  <si>
    <t>782000</t>
  </si>
  <si>
    <t>899990</t>
  </si>
  <si>
    <t>902000</t>
  </si>
  <si>
    <t>906010</t>
  </si>
  <si>
    <t>906500</t>
  </si>
  <si>
    <t>907001</t>
  </si>
  <si>
    <t>907011</t>
  </si>
  <si>
    <t>911000</t>
  </si>
  <si>
    <t>913000</t>
  </si>
  <si>
    <t>914000</t>
  </si>
  <si>
    <t>921000</t>
  </si>
  <si>
    <t>132200</t>
  </si>
  <si>
    <t>Inventory - in-transit</t>
  </si>
  <si>
    <t>132300</t>
  </si>
  <si>
    <t>Obsolescence reserve</t>
  </si>
  <si>
    <t>140701</t>
  </si>
  <si>
    <t>Prepaid Miscellaneous 2</t>
  </si>
  <si>
    <t>Accounts Payable - Popay</t>
  </si>
  <si>
    <t>250000</t>
  </si>
  <si>
    <t>Cash profit sharing</t>
  </si>
  <si>
    <t>266070</t>
  </si>
  <si>
    <t>Payroll taxes - withheld</t>
  </si>
  <si>
    <t>496030</t>
  </si>
  <si>
    <t>OSMI reserve adj - finished goods</t>
  </si>
  <si>
    <t>542020</t>
  </si>
  <si>
    <t>Vehicle fuels</t>
  </si>
  <si>
    <t>671003</t>
  </si>
  <si>
    <t>Intercompany charges (below line) - In</t>
  </si>
  <si>
    <t>907020</t>
  </si>
  <si>
    <t>Interbranch service fee - charge</t>
  </si>
  <si>
    <t>599001</t>
  </si>
  <si>
    <t>Production lot size variance - System</t>
  </si>
  <si>
    <t>599003</t>
  </si>
  <si>
    <t>Production price variance - System</t>
  </si>
  <si>
    <t>599004</t>
  </si>
  <si>
    <t>Production quantity variance - System</t>
  </si>
  <si>
    <t>599005</t>
  </si>
  <si>
    <t>Production substitution variance - System</t>
  </si>
  <si>
    <t>599008</t>
  </si>
  <si>
    <t>Cost Change Variance - System</t>
  </si>
  <si>
    <t>599009</t>
  </si>
  <si>
    <t>Production clearing - System</t>
  </si>
  <si>
    <t>779000</t>
  </si>
  <si>
    <t>410025</t>
  </si>
  <si>
    <t>Warehouse Transfers to AX Location</t>
  </si>
  <si>
    <t>496015</t>
  </si>
  <si>
    <t>OSMI - scrapped R/M</t>
  </si>
  <si>
    <t>496025</t>
  </si>
  <si>
    <t>OSMI - scrapped comp/WIP</t>
  </si>
  <si>
    <t>496035</t>
  </si>
  <si>
    <t>OSMI - scrapped F/G</t>
  </si>
  <si>
    <t>753000</t>
  </si>
  <si>
    <t>131100</t>
  </si>
  <si>
    <t>Work in process</t>
  </si>
  <si>
    <t>131200</t>
  </si>
  <si>
    <t>WIP not costed (System)</t>
  </si>
  <si>
    <t>172401</t>
  </si>
  <si>
    <t>Office equipment 2</t>
  </si>
  <si>
    <t>210010</t>
  </si>
  <si>
    <t>Accounts payable - clearing</t>
  </si>
  <si>
    <t>494010</t>
  </si>
  <si>
    <t>Book-to-physical adj - materials</t>
  </si>
  <si>
    <t>590003</t>
  </si>
  <si>
    <t>Depreciation 4</t>
  </si>
  <si>
    <t>599000</t>
  </si>
  <si>
    <t>Inventory cost variance - System</t>
  </si>
  <si>
    <t>Cash</t>
  </si>
  <si>
    <t>DEPACC</t>
  </si>
  <si>
    <t>Fixed Departments</t>
  </si>
  <si>
    <t>LOCK</t>
  </si>
  <si>
    <t>UNLOCK</t>
  </si>
  <si>
    <t>140702</t>
  </si>
  <si>
    <t>Prepaid Misccellaneous 3</t>
  </si>
  <si>
    <t>210061</t>
  </si>
  <si>
    <t>Accounts payable - trade (Manual) 2</t>
  </si>
  <si>
    <t>210062</t>
  </si>
  <si>
    <t>Accounts payable - trade (Manual) 3</t>
  </si>
  <si>
    <t>251000</t>
  </si>
  <si>
    <t>268050</t>
  </si>
  <si>
    <t>VAT - EEC - paid</t>
  </si>
  <si>
    <t>482000</t>
  </si>
  <si>
    <t>553000</t>
  </si>
  <si>
    <t>Bad debts - recoveries</t>
  </si>
  <si>
    <t>590004</t>
  </si>
  <si>
    <t>Depreciation 5</t>
  </si>
  <si>
    <t>590005</t>
  </si>
  <si>
    <t>671002</t>
  </si>
  <si>
    <t>Intra-Company Charges - In</t>
  </si>
  <si>
    <t>Account</t>
  </si>
  <si>
    <t>Steps</t>
  </si>
  <si>
    <t>Maintain:</t>
  </si>
  <si>
    <t>1. if there is any new posting profile needs to be review, create a new sheet with Atlas report. There has to be "_" in the sheet name</t>
  </si>
  <si>
    <t>Result:</t>
  </si>
  <si>
    <t>1. if in any sheet the account is marked as yellow, the account is missing in local account list</t>
  </si>
  <si>
    <t>2. the missing accounts are listed in column K and L</t>
  </si>
  <si>
    <t>792000</t>
  </si>
  <si>
    <t>619000</t>
  </si>
  <si>
    <t>521000</t>
  </si>
  <si>
    <t>631000</t>
  </si>
  <si>
    <t>791000</t>
  </si>
  <si>
    <t>712000</t>
  </si>
  <si>
    <t>824000</t>
  </si>
  <si>
    <t>511710</t>
  </si>
  <si>
    <t>690000</t>
  </si>
  <si>
    <t>701000</t>
  </si>
  <si>
    <t>704000</t>
  </si>
  <si>
    <t>702000</t>
  </si>
  <si>
    <t>721000</t>
  </si>
  <si>
    <t>751000</t>
  </si>
  <si>
    <t>759000</t>
  </si>
  <si>
    <t>469000</t>
  </si>
  <si>
    <t>762000</t>
  </si>
  <si>
    <t>771000</t>
  </si>
  <si>
    <t>772000</t>
  </si>
  <si>
    <t>775000</t>
  </si>
  <si>
    <t>777000</t>
  </si>
  <si>
    <t>778000</t>
  </si>
  <si>
    <t>774000</t>
  </si>
  <si>
    <t>781000</t>
  </si>
  <si>
    <t>841000</t>
  </si>
  <si>
    <t>840000</t>
  </si>
  <si>
    <t>512200</t>
  </si>
  <si>
    <t>512900</t>
  </si>
  <si>
    <t>731000</t>
  </si>
  <si>
    <t>806000</t>
  </si>
  <si>
    <t>511000</t>
  </si>
  <si>
    <t>511200</t>
  </si>
  <si>
    <t>511700</t>
  </si>
  <si>
    <t>811000</t>
  </si>
  <si>
    <t>581000</t>
  </si>
  <si>
    <t>589000</t>
  </si>
  <si>
    <t>582000</t>
  </si>
  <si>
    <t>503000</t>
  </si>
  <si>
    <t>501000</t>
  </si>
  <si>
    <t>507000</t>
  </si>
  <si>
    <t>506000</t>
  </si>
  <si>
    <t>494020</t>
  </si>
  <si>
    <t>494030</t>
  </si>
  <si>
    <t>410030</t>
  </si>
  <si>
    <t>499990</t>
  </si>
  <si>
    <t>495020</t>
  </si>
  <si>
    <t>671012</t>
  </si>
  <si>
    <t>671010</t>
  </si>
  <si>
    <t>Accounts payable - trade 3</t>
  </si>
  <si>
    <t>Accounts payable - trade 4</t>
  </si>
  <si>
    <t>Accounts payable - trade 5</t>
  </si>
  <si>
    <t>Prepay and Charge Freight</t>
  </si>
  <si>
    <t>Inventory change - labor</t>
  </si>
  <si>
    <t>Pkg - other</t>
  </si>
  <si>
    <t>Book-to-physical adj - components</t>
  </si>
  <si>
    <t>Book-to-physical adj - finished goods</t>
  </si>
  <si>
    <t>Inventory change - materials</t>
  </si>
  <si>
    <t>Inventory change - components/wip</t>
  </si>
  <si>
    <t>Material accrual</t>
  </si>
  <si>
    <t>Staples and stitching wire</t>
  </si>
  <si>
    <t>Adv - catalogs &amp; price lists</t>
  </si>
  <si>
    <t>Adv - consumer literature</t>
  </si>
  <si>
    <t>Adv - sales promotions</t>
  </si>
  <si>
    <t>Adv - samples</t>
  </si>
  <si>
    <t>Tradeshows - booth costs</t>
  </si>
  <si>
    <t>Tradeshows - other</t>
  </si>
  <si>
    <t>EE develop - tuition re-imbursement</t>
  </si>
  <si>
    <t>Computers - hardware</t>
  </si>
  <si>
    <t>Computers - other</t>
  </si>
  <si>
    <t>Fines and penalties</t>
  </si>
  <si>
    <t>Home Office Allocations - Out</t>
  </si>
  <si>
    <t>Intra-Company Charges - out</t>
  </si>
  <si>
    <t>Prof svc - employment agents</t>
  </si>
  <si>
    <t>Relocations - employee</t>
  </si>
  <si>
    <t>Services - janitorial</t>
  </si>
  <si>
    <t>Subscriptions - employment ads</t>
  </si>
  <si>
    <t>Supplies - consumables</t>
  </si>
  <si>
    <t>Supplies - health and safety</t>
  </si>
  <si>
    <t>Supplies - jigs and fixtures</t>
  </si>
  <si>
    <t>Supplies - lubricants</t>
  </si>
  <si>
    <t>Supplies - maintenance</t>
  </si>
  <si>
    <t>Hand tools - small &lt;=$500</t>
  </si>
  <si>
    <t>Hand tools - large &gt;$500</t>
  </si>
  <si>
    <t>Waste disposal</t>
  </si>
  <si>
    <t>Maintenance - Office Equipment</t>
  </si>
  <si>
    <t>Outside tooling - new tooling manufacture</t>
  </si>
  <si>
    <t>Outside tooling - maintenance</t>
  </si>
  <si>
    <t>Ledger posting groups</t>
  </si>
  <si>
    <t>Fixed asset ledger accounts</t>
  </si>
  <si>
    <t>Groupings</t>
  </si>
  <si>
    <t>Offset account</t>
  </si>
  <si>
    <t>Transaction type</t>
  </si>
  <si>
    <t>Acquisition</t>
  </si>
  <si>
    <t>Disposal parameters</t>
  </si>
  <si>
    <t>Valid for</t>
  </si>
  <si>
    <t>Sale or scrap</t>
  </si>
  <si>
    <t>Post value</t>
  </si>
  <si>
    <t>Fixed asset relation</t>
  </si>
  <si>
    <t>Sales value type</t>
  </si>
  <si>
    <t>Fixed assets</t>
  </si>
  <si>
    <t>Fixed Asset posting profile</t>
  </si>
  <si>
    <t>140003</t>
  </si>
  <si>
    <t>140002</t>
  </si>
  <si>
    <t>Pre</t>
  </si>
  <si>
    <t>210050</t>
  </si>
  <si>
    <t>121000</t>
  </si>
  <si>
    <t>Allowance for doubtful accounts</t>
  </si>
  <si>
    <t>Health, welfare</t>
  </si>
  <si>
    <t>Inventory journal names</t>
  </si>
  <si>
    <t>Name</t>
  </si>
  <si>
    <t>Statistical Code</t>
  </si>
  <si>
    <t>Path: Basic-&gt;Setup-&gt;Portuguese Localization -&gt; Parameter -&gt; Statistics -&gt; Posting profile</t>
  </si>
  <si>
    <t>Misc receivables 3</t>
  </si>
  <si>
    <t>Misc receivables 4</t>
  </si>
  <si>
    <t>1. Be sure you are in correct Atlas environment, settings in Atlas client</t>
  </si>
  <si>
    <t>2. Change company in cell C2</t>
  </si>
  <si>
    <t>3. Refresh the Atlas report</t>
  </si>
  <si>
    <t>4. click "Refresh" button</t>
  </si>
  <si>
    <t>179001</t>
  </si>
  <si>
    <t>Path: GL/Setup/Fixed assets/Posting profile</t>
  </si>
  <si>
    <t>Value model</t>
  </si>
  <si>
    <t>Path: GL/Setup/Fixed assets/Posting profile/Disposal</t>
  </si>
  <si>
    <t>Sales order</t>
  </si>
  <si>
    <t>AP_Posting profile</t>
  </si>
  <si>
    <t>ARAP_Cash discount</t>
  </si>
  <si>
    <t>IM_Posting profile</t>
  </si>
  <si>
    <t>FA_Posting profile</t>
  </si>
  <si>
    <t>AR_Posting profile</t>
  </si>
  <si>
    <t>ARAP_Misc charge</t>
  </si>
  <si>
    <t>GL_Sales tax</t>
  </si>
  <si>
    <t>GL_System accounts</t>
  </si>
  <si>
    <t>IM_Journal name</t>
  </si>
  <si>
    <t>Reference</t>
  </si>
  <si>
    <t>4,5</t>
  </si>
  <si>
    <t>5,5</t>
  </si>
  <si>
    <t>6,5</t>
  </si>
  <si>
    <t>12,5</t>
  </si>
  <si>
    <t>12,7</t>
  </si>
  <si>
    <t>3,7</t>
  </si>
  <si>
    <t>4,7</t>
  </si>
  <si>
    <t>5,7</t>
  </si>
  <si>
    <t>6,7</t>
  </si>
  <si>
    <t>7,7</t>
  </si>
  <si>
    <t>8,5</t>
  </si>
  <si>
    <t>9,5</t>
  </si>
  <si>
    <t>11,5</t>
  </si>
  <si>
    <t>10,5</t>
  </si>
  <si>
    <t>14,5</t>
  </si>
  <si>
    <t>13,5</t>
  </si>
  <si>
    <t>5,4</t>
  </si>
  <si>
    <t>3,4</t>
  </si>
  <si>
    <t>10,4</t>
  </si>
  <si>
    <t>7,4</t>
  </si>
  <si>
    <t>8,4</t>
  </si>
  <si>
    <t>9,4</t>
  </si>
  <si>
    <t>13,4</t>
  </si>
  <si>
    <t>11,4</t>
  </si>
  <si>
    <t>20,8</t>
  </si>
  <si>
    <t>7,5</t>
  </si>
  <si>
    <t>12,12</t>
  </si>
  <si>
    <t>14,12</t>
  </si>
  <si>
    <t>15,12</t>
  </si>
  <si>
    <t>6,4</t>
  </si>
  <si>
    <t>12,4</t>
  </si>
  <si>
    <t>14,4</t>
  </si>
  <si>
    <t>8,7</t>
  </si>
  <si>
    <t>9,7</t>
  </si>
  <si>
    <t>10,7</t>
  </si>
  <si>
    <t>11,7</t>
  </si>
  <si>
    <t>3,5</t>
  </si>
  <si>
    <t>3,2</t>
  </si>
  <si>
    <t>7,2</t>
  </si>
  <si>
    <t>6,2</t>
  </si>
  <si>
    <t>11,2</t>
  </si>
  <si>
    <t>5,12</t>
  </si>
  <si>
    <t>9,12</t>
  </si>
  <si>
    <t>3,12</t>
  </si>
  <si>
    <t>4,12</t>
  </si>
  <si>
    <t>8,12</t>
  </si>
  <si>
    <t>9,2</t>
  </si>
  <si>
    <t>4,2</t>
  </si>
  <si>
    <t>5,2</t>
  </si>
  <si>
    <t>10,2</t>
  </si>
  <si>
    <t>12,2</t>
  </si>
  <si>
    <t>4,9</t>
  </si>
  <si>
    <t>6,9</t>
  </si>
  <si>
    <t>8,9</t>
  </si>
  <si>
    <t>10,9</t>
  </si>
  <si>
    <t>12,9</t>
  </si>
  <si>
    <t>14,9</t>
  </si>
  <si>
    <t>16,9</t>
  </si>
  <si>
    <t>8,2</t>
  </si>
  <si>
    <t>6,12</t>
  </si>
  <si>
    <t>429200</t>
  </si>
  <si>
    <t>754000</t>
  </si>
  <si>
    <t>172100</t>
  </si>
  <si>
    <t>171200</t>
  </si>
  <si>
    <t>172200</t>
  </si>
  <si>
    <t>120002</t>
  </si>
  <si>
    <t>Accounts receivable 3</t>
  </si>
  <si>
    <t>Leasehold improvements</t>
  </si>
  <si>
    <t>Leased equipment</t>
  </si>
  <si>
    <t>Trucks, trailers, forklifts</t>
  </si>
  <si>
    <t>199100</t>
  </si>
  <si>
    <t>Deposits</t>
  </si>
  <si>
    <t>Accounts payable - prof svcs</t>
  </si>
  <si>
    <t>Services - uniforms, mats, etc.</t>
  </si>
  <si>
    <t>3,9</t>
  </si>
  <si>
    <t>5,9</t>
  </si>
  <si>
    <t>7,9</t>
  </si>
  <si>
    <t>9,9</t>
  </si>
  <si>
    <t>11,9</t>
  </si>
  <si>
    <t>13,9</t>
  </si>
  <si>
    <t>15,9</t>
  </si>
  <si>
    <t>Sales tax group</t>
  </si>
  <si>
    <t>10,8</t>
  </si>
  <si>
    <t>271700</t>
  </si>
  <si>
    <t>I/C System AP Br 170</t>
  </si>
  <si>
    <t>170</t>
  </si>
  <si>
    <t>899901</t>
  </si>
  <si>
    <t>Misc expense 2</t>
  </si>
  <si>
    <t>Versions：</t>
  </si>
  <si>
    <t>Cost categories</t>
  </si>
  <si>
    <t>Category</t>
  </si>
  <si>
    <t>Cost group</t>
  </si>
  <si>
    <t>WIP issue</t>
  </si>
  <si>
    <t>WIP account</t>
  </si>
  <si>
    <t>Work center issues</t>
  </si>
  <si>
    <t>Work center issues, offset account</t>
  </si>
  <si>
    <t>no data</t>
  </si>
  <si>
    <t>Path: Production -&gt; Setup -&gt; Routes -&gt; Cost categories</t>
  </si>
  <si>
    <t>Sales tax</t>
  </si>
  <si>
    <t>171100</t>
  </si>
  <si>
    <t>173100</t>
  </si>
  <si>
    <t>590006</t>
  </si>
  <si>
    <t>174200</t>
  </si>
  <si>
    <t>QA</t>
  </si>
  <si>
    <t>Quality &amp; Testing</t>
  </si>
  <si>
    <t>SampleIn</t>
  </si>
  <si>
    <t>Sample in</t>
  </si>
  <si>
    <t>904000</t>
  </si>
  <si>
    <t>SampleOut</t>
  </si>
  <si>
    <t>Samples to customers</t>
  </si>
  <si>
    <t>Sales order discount</t>
  </si>
  <si>
    <t>402020</t>
  </si>
  <si>
    <t>3rdFreight</t>
  </si>
  <si>
    <t>Steel lami</t>
  </si>
  <si>
    <t>Subcontracting Steel Laminate</t>
  </si>
  <si>
    <t>499011</t>
  </si>
  <si>
    <t>100604</t>
  </si>
  <si>
    <t>Cash - DKK 5</t>
  </si>
  <si>
    <t>132202</t>
  </si>
  <si>
    <t>Inventory in transit (on the water)</t>
  </si>
  <si>
    <t>170000</t>
  </si>
  <si>
    <t>Land</t>
  </si>
  <si>
    <t>Buildings</t>
  </si>
  <si>
    <t>Accum dep - buildings</t>
  </si>
  <si>
    <t>Accum dep - trucks, forklifts</t>
  </si>
  <si>
    <t>266030</t>
  </si>
  <si>
    <t>PAYE taxes payable</t>
  </si>
  <si>
    <t>270450</t>
  </si>
  <si>
    <t>I/C System AP br 045</t>
  </si>
  <si>
    <t>Other customer discounts</t>
  </si>
  <si>
    <t>421000</t>
  </si>
  <si>
    <t>Hourly Wages</t>
  </si>
  <si>
    <t>492010</t>
  </si>
  <si>
    <t>Materials - freight</t>
  </si>
  <si>
    <t>497001</t>
  </si>
  <si>
    <t>Inventory Chg- TPP</t>
  </si>
  <si>
    <t>Discounts taken 2</t>
  </si>
  <si>
    <t>522000</t>
  </si>
  <si>
    <t>EE develop - outside seminars</t>
  </si>
  <si>
    <t>552000</t>
  </si>
  <si>
    <t>Bad debts - reserve adjustments</t>
  </si>
  <si>
    <t>570000</t>
  </si>
  <si>
    <t>Commissions - non-employee</t>
  </si>
  <si>
    <t>Depreciation 7</t>
  </si>
  <si>
    <t>705003</t>
  </si>
  <si>
    <t>Professional services - technology</t>
  </si>
  <si>
    <t>Rental Income</t>
  </si>
  <si>
    <t>789000</t>
  </si>
  <si>
    <t>Taxes - other</t>
  </si>
  <si>
    <t>789001</t>
  </si>
  <si>
    <t>Taxes - Other 2</t>
  </si>
  <si>
    <t>803000</t>
  </si>
  <si>
    <t>Utilties - heating oil</t>
  </si>
  <si>
    <t>Misc - gain</t>
  </si>
  <si>
    <t>912000</t>
  </si>
  <si>
    <t>Interest - intercompany</t>
  </si>
  <si>
    <t>4,4</t>
  </si>
  <si>
    <t>4,3</t>
  </si>
  <si>
    <t>5,3</t>
  </si>
  <si>
    <t>13,2</t>
  </si>
  <si>
    <t>Item name</t>
  </si>
  <si>
    <t>401110</t>
  </si>
  <si>
    <t>495032</t>
  </si>
  <si>
    <t>17,9</t>
  </si>
  <si>
    <t>18,9</t>
  </si>
  <si>
    <t>V3: add sheets to fetch accounts for Route (Cost category)</t>
  </si>
  <si>
    <t>V4: show item name and account name in tab IM posting profile</t>
  </si>
  <si>
    <t>EE Tuition</t>
  </si>
  <si>
    <t>Fines &amp; Penalties</t>
  </si>
  <si>
    <t>Hand tools - large</t>
  </si>
  <si>
    <t>Hand tools - small</t>
  </si>
  <si>
    <t>Svc - mats, etc</t>
  </si>
  <si>
    <t>Component</t>
  </si>
  <si>
    <t>Material</t>
  </si>
  <si>
    <t>Product</t>
  </si>
  <si>
    <t>Services</t>
  </si>
  <si>
    <t>Supplies</t>
  </si>
  <si>
    <t>Purchase, packing slip offset</t>
  </si>
  <si>
    <t>Adv - cat</t>
  </si>
  <si>
    <t>Adv - lit</t>
  </si>
  <si>
    <t>Adv - sls prom</t>
  </si>
  <si>
    <t>Comp - hardware</t>
  </si>
  <si>
    <t>Comp - other</t>
  </si>
  <si>
    <t>Comp - software</t>
  </si>
  <si>
    <t>Factory Equipment</t>
  </si>
  <si>
    <t>Leased Equipment</t>
  </si>
  <si>
    <t>Leasehold Imp</t>
  </si>
  <si>
    <t>Office Equipment</t>
  </si>
  <si>
    <t>Staples, wire</t>
  </si>
  <si>
    <t>Truck-Forklifts</t>
  </si>
  <si>
    <t>Purchase, consumption</t>
  </si>
  <si>
    <t>Inventory, issue</t>
  </si>
  <si>
    <t>Inventory, loss</t>
  </si>
  <si>
    <t>Inventory, receipt</t>
  </si>
  <si>
    <t>Inventory, profit</t>
  </si>
  <si>
    <t>Production, picking list</t>
  </si>
  <si>
    <t>Production, picking list offset</t>
  </si>
  <si>
    <t>Production, report as finished</t>
  </si>
  <si>
    <t>Production, report as finished offset</t>
  </si>
  <si>
    <t>Production, issue</t>
  </si>
  <si>
    <t>Production, issue offset</t>
  </si>
  <si>
    <t>Production, receipt</t>
  </si>
  <si>
    <t>Production, receipt offset</t>
  </si>
  <si>
    <t>Order, packing slip</t>
  </si>
  <si>
    <t>Sales, packing slip offset</t>
  </si>
  <si>
    <t>Sales order, issue</t>
  </si>
  <si>
    <t>Sales order, consumption</t>
  </si>
  <si>
    <t>Packing slip revenue</t>
  </si>
  <si>
    <t>Packing slip revenue - offset</t>
  </si>
  <si>
    <t>Purchase, packing slip purchase offset</t>
  </si>
  <si>
    <t>Purchase, packing slip purchase</t>
  </si>
  <si>
    <t>Inventory cost revaluation</t>
  </si>
  <si>
    <t>Physical purchase price variance</t>
  </si>
  <si>
    <t>Production price variance</t>
  </si>
  <si>
    <t>Inventory inter-unit payable</t>
  </si>
  <si>
    <t>Inventory inter-unit receivable</t>
  </si>
  <si>
    <t>Cost change variance</t>
  </si>
  <si>
    <t>Production lot size variance</t>
  </si>
  <si>
    <t>Production quantity variance</t>
  </si>
  <si>
    <t>Production substitution variance</t>
  </si>
  <si>
    <t>Rounding variance</t>
  </si>
  <si>
    <t>Production</t>
  </si>
  <si>
    <t>Standard cost variance</t>
  </si>
  <si>
    <t>37,9</t>
  </si>
  <si>
    <t>19,9</t>
  </si>
  <si>
    <t>20,9</t>
  </si>
  <si>
    <t>25,9</t>
  </si>
  <si>
    <t>26,9</t>
  </si>
  <si>
    <t>27,9</t>
  </si>
  <si>
    <t>28,9</t>
  </si>
  <si>
    <t>41,9</t>
  </si>
  <si>
    <t>42,9</t>
  </si>
  <si>
    <t>43,9</t>
  </si>
  <si>
    <t>44,9</t>
  </si>
  <si>
    <t>45,9</t>
  </si>
  <si>
    <t>46,9</t>
  </si>
  <si>
    <t>47,9</t>
  </si>
  <si>
    <t>48,9</t>
  </si>
  <si>
    <t>49,9</t>
  </si>
  <si>
    <t>50,9</t>
  </si>
  <si>
    <t>51,9</t>
  </si>
  <si>
    <t>24,9</t>
  </si>
  <si>
    <t>23,9</t>
  </si>
  <si>
    <t>29,9</t>
  </si>
  <si>
    <t>39,9</t>
  </si>
  <si>
    <t>40,9</t>
  </si>
  <si>
    <t>21,9</t>
  </si>
  <si>
    <t>22,9</t>
  </si>
  <si>
    <t>36,9</t>
  </si>
  <si>
    <t>30,9</t>
  </si>
  <si>
    <t>31,9</t>
  </si>
  <si>
    <t>32,9</t>
  </si>
  <si>
    <t>33,9</t>
  </si>
  <si>
    <t>34,9</t>
  </si>
  <si>
    <t>35,9</t>
  </si>
  <si>
    <t>38,9</t>
  </si>
  <si>
    <t>UNI Item name</t>
  </si>
  <si>
    <t>100110</t>
  </si>
  <si>
    <t>Cash - payroll clearing</t>
  </si>
  <si>
    <t>100606</t>
  </si>
  <si>
    <t>Cash - DKK 7</t>
  </si>
  <si>
    <t>121001</t>
  </si>
  <si>
    <t>Allowance for Doubtful accounts 2</t>
  </si>
  <si>
    <t>132600</t>
  </si>
  <si>
    <t>TPP in Inventory</t>
  </si>
  <si>
    <t>172403</t>
  </si>
  <si>
    <t>Office equipment 4</t>
  </si>
  <si>
    <t>172404</t>
  </si>
  <si>
    <t>Office Equipment 5</t>
  </si>
  <si>
    <t>174403</t>
  </si>
  <si>
    <t>Accum dep - office equipment 4</t>
  </si>
  <si>
    <t>174404</t>
  </si>
  <si>
    <t>Accum dep - office equipment 5</t>
  </si>
  <si>
    <t>179000</t>
  </si>
  <si>
    <t>Capital projects-in-process</t>
  </si>
  <si>
    <t>199200</t>
  </si>
  <si>
    <t>Notes receivable</t>
  </si>
  <si>
    <t>199310</t>
  </si>
  <si>
    <t>Income taxes receivable</t>
  </si>
  <si>
    <t>199515</t>
  </si>
  <si>
    <t>Other Tax Assets</t>
  </si>
  <si>
    <t>210005</t>
  </si>
  <si>
    <t>Accounts payable - trade 6</t>
  </si>
  <si>
    <t>210029</t>
  </si>
  <si>
    <t>Accounts Payable - HO Popay</t>
  </si>
  <si>
    <t>210069</t>
  </si>
  <si>
    <t>Accounts Payable Trade (HO manual)</t>
  </si>
  <si>
    <t>210080</t>
  </si>
  <si>
    <t>A/R Credit Balances</t>
  </si>
  <si>
    <t>429000</t>
  </si>
  <si>
    <t>265010</t>
  </si>
  <si>
    <t>Labor accrual</t>
  </si>
  <si>
    <t>265011</t>
  </si>
  <si>
    <t>Labor accrual 2</t>
  </si>
  <si>
    <t>265012</t>
  </si>
  <si>
    <t>Labor accrual 3</t>
  </si>
  <si>
    <t>265020</t>
  </si>
  <si>
    <t>Vacation/holiday liability - 2</t>
  </si>
  <si>
    <t>268010</t>
  </si>
  <si>
    <t>GST - collected</t>
  </si>
  <si>
    <t>268011</t>
  </si>
  <si>
    <t>GST - collected 2</t>
  </si>
  <si>
    <t>268020</t>
  </si>
  <si>
    <t>GST - paid</t>
  </si>
  <si>
    <t>268025</t>
  </si>
  <si>
    <t>GST - paid 6</t>
  </si>
  <si>
    <t>268140</t>
  </si>
  <si>
    <t>VAT - paid in advance</t>
  </si>
  <si>
    <t>268200</t>
  </si>
  <si>
    <t>Withholding Tax Payable</t>
  </si>
  <si>
    <t>270082</t>
  </si>
  <si>
    <t>I/C System AR Br 008</t>
  </si>
  <si>
    <t>270112</t>
  </si>
  <si>
    <t>I/C System AR Br 011</t>
  </si>
  <si>
    <t>270182</t>
  </si>
  <si>
    <t>I/C System AR Br 018</t>
  </si>
  <si>
    <t>270190</t>
  </si>
  <si>
    <t>I/C System AP - Br 019</t>
  </si>
  <si>
    <t>270232</t>
  </si>
  <si>
    <t>I/C System AR Br 023</t>
  </si>
  <si>
    <t>270292</t>
  </si>
  <si>
    <t>I/C System AR Br 029</t>
  </si>
  <si>
    <t>270400</t>
  </si>
  <si>
    <t>I/C System AP2 Br  040</t>
  </si>
  <si>
    <t>270402</t>
  </si>
  <si>
    <t>I/C System AR Br 040</t>
  </si>
  <si>
    <t>270462</t>
  </si>
  <si>
    <t>I/C System AR Br 046</t>
  </si>
  <si>
    <t>270470</t>
  </si>
  <si>
    <t>I/C System AP br 047</t>
  </si>
  <si>
    <t>270472</t>
  </si>
  <si>
    <t>271602</t>
  </si>
  <si>
    <t>I/C System AR Br 160</t>
  </si>
  <si>
    <t>271622</t>
  </si>
  <si>
    <t>I/C System AR Br 162</t>
  </si>
  <si>
    <t>271642</t>
  </si>
  <si>
    <t>I/C System AR Br 164</t>
  </si>
  <si>
    <t>271652</t>
  </si>
  <si>
    <t>I/C System AR Br 165</t>
  </si>
  <si>
    <t>271662</t>
  </si>
  <si>
    <t>I/C System AR Br 166</t>
  </si>
  <si>
    <t>271682</t>
  </si>
  <si>
    <t>I/C System AR Br 168</t>
  </si>
  <si>
    <t>271690</t>
  </si>
  <si>
    <t>I/C System AP  Br 169</t>
  </si>
  <si>
    <t>271692</t>
  </si>
  <si>
    <t>I/C System AR Br 169</t>
  </si>
  <si>
    <t>283012</t>
  </si>
  <si>
    <t>Other long-term liabilities_1</t>
  </si>
  <si>
    <t>299010</t>
  </si>
  <si>
    <t>Long-term intercompany loan</t>
  </si>
  <si>
    <t>310001</t>
  </si>
  <si>
    <t>Retained earnings 2</t>
  </si>
  <si>
    <t>401020</t>
  </si>
  <si>
    <t>Sales - Software product </t>
  </si>
  <si>
    <t>Sales revenue accrual</t>
  </si>
  <si>
    <t>405002</t>
  </si>
  <si>
    <t>Prompt pay discount 3</t>
  </si>
  <si>
    <t>406000</t>
  </si>
  <si>
    <t>423000</t>
  </si>
  <si>
    <t>Contract labor</t>
  </si>
  <si>
    <t>611000</t>
  </si>
  <si>
    <t>425010</t>
  </si>
  <si>
    <t>Vacation</t>
  </si>
  <si>
    <t>426010</t>
  </si>
  <si>
    <t>Bonus - performance</t>
  </si>
  <si>
    <t>427007</t>
  </si>
  <si>
    <t>Salaries 8</t>
  </si>
  <si>
    <t>427008</t>
  </si>
  <si>
    <t>Salaries 9</t>
  </si>
  <si>
    <t>427050</t>
  </si>
  <si>
    <t>427060</t>
  </si>
  <si>
    <t>Stock bonus</t>
  </si>
  <si>
    <t>428900</t>
  </si>
  <si>
    <t>Other pay - misc other</t>
  </si>
  <si>
    <t>Payroll taxes</t>
  </si>
  <si>
    <t>429001</t>
  </si>
  <si>
    <t>Payroll taxes 2</t>
  </si>
  <si>
    <t>429002</t>
  </si>
  <si>
    <t>Payroll taxes 3</t>
  </si>
  <si>
    <t>429003</t>
  </si>
  <si>
    <t>Payroll taxes 4</t>
  </si>
  <si>
    <t>429004</t>
  </si>
  <si>
    <t>Payroll taxes 5</t>
  </si>
  <si>
    <t>429005</t>
  </si>
  <si>
    <t>Payroll taxes 6</t>
  </si>
  <si>
    <t>429006</t>
  </si>
  <si>
    <t>Payroll taxes 7</t>
  </si>
  <si>
    <t>429300</t>
  </si>
  <si>
    <t>Retirement programs</t>
  </si>
  <si>
    <t>429400</t>
  </si>
  <si>
    <t>Workers comp</t>
  </si>
  <si>
    <t>601000</t>
  </si>
  <si>
    <t>455000</t>
  </si>
  <si>
    <t>Chemicals</t>
  </si>
  <si>
    <t>Invent change accrual</t>
  </si>
  <si>
    <t>495035</t>
  </si>
  <si>
    <t>PO Credit Differences</t>
  </si>
  <si>
    <t>499010</t>
  </si>
  <si>
    <t>Discounts taken</t>
  </si>
  <si>
    <t>539000</t>
  </si>
  <si>
    <t>EE relations - other</t>
  </si>
  <si>
    <t>544200</t>
  </si>
  <si>
    <t>Consumer Literature</t>
  </si>
  <si>
    <t>571800</t>
  </si>
  <si>
    <t>Customer Events</t>
  </si>
  <si>
    <t>Computers – Software Subscriptions</t>
  </si>
  <si>
    <t>Donations - cash</t>
  </si>
  <si>
    <t>Dues - professional organizations</t>
  </si>
  <si>
    <t>612000</t>
  </si>
  <si>
    <t>Dues - industry organizations</t>
  </si>
  <si>
    <t>683000</t>
  </si>
  <si>
    <t>Phone - mobile</t>
  </si>
  <si>
    <t>684000</t>
  </si>
  <si>
    <t>Phones – equipment</t>
  </si>
  <si>
    <t>685000</t>
  </si>
  <si>
    <t>Phones – licenses</t>
  </si>
  <si>
    <t>689000</t>
  </si>
  <si>
    <t>Phone - other</t>
  </si>
  <si>
    <t>705000</t>
  </si>
  <si>
    <t>Prof svc - consultants</t>
  </si>
  <si>
    <t>709001</t>
  </si>
  <si>
    <t>Prof svc - other 2</t>
  </si>
  <si>
    <t>769000</t>
  </si>
  <si>
    <t>Subscriptions - other</t>
  </si>
  <si>
    <t>899902</t>
  </si>
  <si>
    <t>Misc expense 3</t>
  </si>
  <si>
    <t>902500</t>
  </si>
  <si>
    <t>Fixed asset disposal - loss</t>
  </si>
  <si>
    <t>903500</t>
  </si>
  <si>
    <t>Sale of investments - loss</t>
  </si>
  <si>
    <t>907030</t>
  </si>
  <si>
    <t>Interbranch service fee - income</t>
  </si>
  <si>
    <t>912001</t>
  </si>
  <si>
    <t>Interest - intercompany 2</t>
  </si>
  <si>
    <t>Blank</t>
  </si>
  <si>
    <t>Item_All</t>
  </si>
  <si>
    <t>Intercompany Freight</t>
  </si>
  <si>
    <t>IC Freight</t>
  </si>
  <si>
    <t>Sales Discount</t>
  </si>
  <si>
    <t>Sales Disc</t>
  </si>
  <si>
    <t>Imported VAT</t>
  </si>
  <si>
    <t>Allocation</t>
  </si>
  <si>
    <t>Imp_VAT</t>
  </si>
  <si>
    <t>Imported VAT Invoice</t>
  </si>
  <si>
    <t>Imp_VAT_I</t>
  </si>
  <si>
    <t>GEN</t>
  </si>
  <si>
    <t>Disposal - sale</t>
  </si>
  <si>
    <t>Disposal - scrap</t>
  </si>
  <si>
    <t>Sold</t>
  </si>
  <si>
    <t>Loss</t>
  </si>
  <si>
    <t>Linear</t>
  </si>
  <si>
    <t>Depreciation (prior years)</t>
  </si>
  <si>
    <t>Gain</t>
  </si>
  <si>
    <t>Depreciation (this year)</t>
  </si>
  <si>
    <t>Acquisition value</t>
  </si>
  <si>
    <t>Net book value</t>
  </si>
  <si>
    <t>Sales value</t>
  </si>
  <si>
    <t>Scrap</t>
  </si>
  <si>
    <t>46,10</t>
  </si>
  <si>
    <t>123,10</t>
  </si>
  <si>
    <t>45,10</t>
  </si>
  <si>
    <t>122,10</t>
  </si>
  <si>
    <t>47,10</t>
  </si>
  <si>
    <t>124,10</t>
  </si>
  <si>
    <t>72,10</t>
  </si>
  <si>
    <t>143,10</t>
  </si>
  <si>
    <t>FA_Disposal profile</t>
  </si>
  <si>
    <t>15,8</t>
  </si>
  <si>
    <t>16,8</t>
  </si>
  <si>
    <t>47,8</t>
  </si>
  <si>
    <t>66,10</t>
  </si>
  <si>
    <t>137,10</t>
  </si>
  <si>
    <t>17,8</t>
  </si>
  <si>
    <t>18,8</t>
  </si>
  <si>
    <t>48,8</t>
  </si>
  <si>
    <t>71,10</t>
  </si>
  <si>
    <t>142,10</t>
  </si>
  <si>
    <t>115,10</t>
  </si>
  <si>
    <t>186,10</t>
  </si>
  <si>
    <t>57,10</t>
  </si>
  <si>
    <t>130,10</t>
  </si>
  <si>
    <t>81,10</t>
  </si>
  <si>
    <t>152,10</t>
  </si>
  <si>
    <t>19,8</t>
  </si>
  <si>
    <t>37,8</t>
  </si>
  <si>
    <t>38,8</t>
  </si>
  <si>
    <t>51,8</t>
  </si>
  <si>
    <t>3,8</t>
  </si>
  <si>
    <t>4,8</t>
  </si>
  <si>
    <t>9,8</t>
  </si>
  <si>
    <t>43,8</t>
  </si>
  <si>
    <t>45,8</t>
  </si>
  <si>
    <t>5,8</t>
  </si>
  <si>
    <t>6,8</t>
  </si>
  <si>
    <t>11,8</t>
  </si>
  <si>
    <t>12,8</t>
  </si>
  <si>
    <t>44,8</t>
  </si>
  <si>
    <t>46,8</t>
  </si>
  <si>
    <t>7,8</t>
  </si>
  <si>
    <t>8,8</t>
  </si>
  <si>
    <t>13,8</t>
  </si>
  <si>
    <t>14,8</t>
  </si>
  <si>
    <t>33,8</t>
  </si>
  <si>
    <t>34,8</t>
  </si>
  <si>
    <t>35,8</t>
  </si>
  <si>
    <t>36,8</t>
  </si>
  <si>
    <t>49,8</t>
  </si>
  <si>
    <t>50,8</t>
  </si>
  <si>
    <t>8,10</t>
  </si>
  <si>
    <t>18,12</t>
  </si>
  <si>
    <t>10,12</t>
  </si>
  <si>
    <t>4,10</t>
  </si>
  <si>
    <t>5,10</t>
  </si>
  <si>
    <t>62,10</t>
  </si>
  <si>
    <t>63,10</t>
  </si>
  <si>
    <t>10,10</t>
  </si>
  <si>
    <t>70,10</t>
  </si>
  <si>
    <t>141,10</t>
  </si>
  <si>
    <t>42,10</t>
  </si>
  <si>
    <t>119,10</t>
  </si>
  <si>
    <t>17,10</t>
  </si>
  <si>
    <t>79,10</t>
  </si>
  <si>
    <t>150,10</t>
  </si>
  <si>
    <t>51,10</t>
  </si>
  <si>
    <t>50,10</t>
  </si>
  <si>
    <t>52,10</t>
  </si>
  <si>
    <t>53,10</t>
  </si>
  <si>
    <t>95,10</t>
  </si>
  <si>
    <t>166,10</t>
  </si>
  <si>
    <t>82,10</t>
  </si>
  <si>
    <t>153,10</t>
  </si>
  <si>
    <t>97,10</t>
  </si>
  <si>
    <t>168,10</t>
  </si>
  <si>
    <t>96,10</t>
  </si>
  <si>
    <t>167,10</t>
  </si>
  <si>
    <t>54,10</t>
  </si>
  <si>
    <t>127,10</t>
  </si>
  <si>
    <t>55,10</t>
  </si>
  <si>
    <t>128,10</t>
  </si>
  <si>
    <t>56,10</t>
  </si>
  <si>
    <t>129,10</t>
  </si>
  <si>
    <t>36,10</t>
  </si>
  <si>
    <t>112,10</t>
  </si>
  <si>
    <t>183,10</t>
  </si>
  <si>
    <t>37,10</t>
  </si>
  <si>
    <t>113,10</t>
  </si>
  <si>
    <t>184,10</t>
  </si>
  <si>
    <t>7,10</t>
  </si>
  <si>
    <t>65,10</t>
  </si>
  <si>
    <t>136,10</t>
  </si>
  <si>
    <t>38,10</t>
  </si>
  <si>
    <t>114,10</t>
  </si>
  <si>
    <t>185,10</t>
  </si>
  <si>
    <t>18,10</t>
  </si>
  <si>
    <t>80,10</t>
  </si>
  <si>
    <t>151,10</t>
  </si>
  <si>
    <t>59,10</t>
  </si>
  <si>
    <t>132,10</t>
  </si>
  <si>
    <t>61,10</t>
  </si>
  <si>
    <t>134,10</t>
  </si>
  <si>
    <t>60,10</t>
  </si>
  <si>
    <t>133,10</t>
  </si>
  <si>
    <t>6,10</t>
  </si>
  <si>
    <t>64,10</t>
  </si>
  <si>
    <t>135,10</t>
  </si>
  <si>
    <t>9,10</t>
  </si>
  <si>
    <t>67,10</t>
  </si>
  <si>
    <t>138,10</t>
  </si>
  <si>
    <t>48,10</t>
  </si>
  <si>
    <t>19,10</t>
  </si>
  <si>
    <t>83,10</t>
  </si>
  <si>
    <t>154,10</t>
  </si>
  <si>
    <t>20,10</t>
  </si>
  <si>
    <t>84,10</t>
  </si>
  <si>
    <t>155,10</t>
  </si>
  <si>
    <t>21,10</t>
  </si>
  <si>
    <t>85,10</t>
  </si>
  <si>
    <t>156,10</t>
  </si>
  <si>
    <t>25,10</t>
  </si>
  <si>
    <t>89,10</t>
  </si>
  <si>
    <t>160,10</t>
  </si>
  <si>
    <t>24,10</t>
  </si>
  <si>
    <t>88,10</t>
  </si>
  <si>
    <t>159,10</t>
  </si>
  <si>
    <t>22,10</t>
  </si>
  <si>
    <t>86,10</t>
  </si>
  <si>
    <t>157,10</t>
  </si>
  <si>
    <t>23,10</t>
  </si>
  <si>
    <t>87,10</t>
  </si>
  <si>
    <t>158,10</t>
  </si>
  <si>
    <t>11,10</t>
  </si>
  <si>
    <t>73,10</t>
  </si>
  <si>
    <t>144,10</t>
  </si>
  <si>
    <t>12,10</t>
  </si>
  <si>
    <t>74,10</t>
  </si>
  <si>
    <t>145,10</t>
  </si>
  <si>
    <t>26,10</t>
  </si>
  <si>
    <t>90,10</t>
  </si>
  <si>
    <t>161,10</t>
  </si>
  <si>
    <t>27,10</t>
  </si>
  <si>
    <t>91,10</t>
  </si>
  <si>
    <t>162,10</t>
  </si>
  <si>
    <t>43,10</t>
  </si>
  <si>
    <t>120,10</t>
  </si>
  <si>
    <t>28,10</t>
  </si>
  <si>
    <t>92,10</t>
  </si>
  <si>
    <t>163,10</t>
  </si>
  <si>
    <t>30,10</t>
  </si>
  <si>
    <t>94,10</t>
  </si>
  <si>
    <t>165,10</t>
  </si>
  <si>
    <t>32,10</t>
  </si>
  <si>
    <t>108,10</t>
  </si>
  <si>
    <t>179,10</t>
  </si>
  <si>
    <t>29,10</t>
  </si>
  <si>
    <t>93,10</t>
  </si>
  <si>
    <t>125,10</t>
  </si>
  <si>
    <t>164,10</t>
  </si>
  <si>
    <t>31,10</t>
  </si>
  <si>
    <t>98,10</t>
  </si>
  <si>
    <t>169,10</t>
  </si>
  <si>
    <t>100,10</t>
  </si>
  <si>
    <t>171,10</t>
  </si>
  <si>
    <t>101,10</t>
  </si>
  <si>
    <t>172,10</t>
  </si>
  <si>
    <t>105,10</t>
  </si>
  <si>
    <t>176,10</t>
  </si>
  <si>
    <t>107,10</t>
  </si>
  <si>
    <t>178,10</t>
  </si>
  <si>
    <t>102,10</t>
  </si>
  <si>
    <t>173,10</t>
  </si>
  <si>
    <t>99,10</t>
  </si>
  <si>
    <t>170,10</t>
  </si>
  <si>
    <t>103,10</t>
  </si>
  <si>
    <t>174,10</t>
  </si>
  <si>
    <t>104,10</t>
  </si>
  <si>
    <t>175,10</t>
  </si>
  <si>
    <t>49,10</t>
  </si>
  <si>
    <t>106,10</t>
  </si>
  <si>
    <t>126,10</t>
  </si>
  <si>
    <t>177,10</t>
  </si>
  <si>
    <t>33,10</t>
  </si>
  <si>
    <t>109,10</t>
  </si>
  <si>
    <t>180,10</t>
  </si>
  <si>
    <t>69,10</t>
  </si>
  <si>
    <t>140,10</t>
  </si>
  <si>
    <t>68,10</t>
  </si>
  <si>
    <t>139,10</t>
  </si>
  <si>
    <t>39,10</t>
  </si>
  <si>
    <t>116,10</t>
  </si>
  <si>
    <t>187,10</t>
  </si>
  <si>
    <t>40,10</t>
  </si>
  <si>
    <t>117,10</t>
  </si>
  <si>
    <t>41,10</t>
  </si>
  <si>
    <t>118,10</t>
  </si>
  <si>
    <t>44,10</t>
  </si>
  <si>
    <t>121,10</t>
  </si>
  <si>
    <t>3,10</t>
  </si>
  <si>
    <t>58,10</t>
  </si>
  <si>
    <t>131,10</t>
  </si>
  <si>
    <t>13,10</t>
  </si>
  <si>
    <t>75,10</t>
  </si>
  <si>
    <t>146,10</t>
  </si>
  <si>
    <t>16,10</t>
  </si>
  <si>
    <t>78,10</t>
  </si>
  <si>
    <t>149,10</t>
  </si>
  <si>
    <t>14,10</t>
  </si>
  <si>
    <t>76,10</t>
  </si>
  <si>
    <t>147,10</t>
  </si>
  <si>
    <t>15,10</t>
  </si>
  <si>
    <t>77,10</t>
  </si>
  <si>
    <t>148,10</t>
  </si>
  <si>
    <t>35,10</t>
  </si>
  <si>
    <t>111,10</t>
  </si>
  <si>
    <t>182,10</t>
  </si>
  <si>
    <t>34,10</t>
  </si>
  <si>
    <t>110,10</t>
  </si>
  <si>
    <t>181,10</t>
  </si>
  <si>
    <t>22,8</t>
  </si>
  <si>
    <t>24,8</t>
  </si>
  <si>
    <t>26,8</t>
  </si>
  <si>
    <t>28,8</t>
  </si>
  <si>
    <t>30,8</t>
  </si>
  <si>
    <t>32,8</t>
  </si>
  <si>
    <t>40,8</t>
  </si>
  <si>
    <t>42,8</t>
  </si>
  <si>
    <t>21,8</t>
  </si>
  <si>
    <t>23,8</t>
  </si>
  <si>
    <t>25,8</t>
  </si>
  <si>
    <t>27,8</t>
  </si>
  <si>
    <t>29,8</t>
  </si>
  <si>
    <t>31,8</t>
  </si>
  <si>
    <t>39,8</t>
  </si>
  <si>
    <t>41,8</t>
  </si>
  <si>
    <t>.</t>
  </si>
  <si>
    <t>268052</t>
  </si>
  <si>
    <t>VAT - EEC - paid 2</t>
  </si>
  <si>
    <t>268058</t>
  </si>
  <si>
    <t>VAT - EEC - paid 8</t>
  </si>
  <si>
    <t>268110</t>
  </si>
  <si>
    <t>VAT - EEC - collected</t>
  </si>
  <si>
    <t>268163</t>
  </si>
  <si>
    <t>VAT Settlement Account - Austria</t>
  </si>
  <si>
    <t>270460</t>
  </si>
  <si>
    <t>I/C System AP br 046</t>
  </si>
  <si>
    <t>270512</t>
  </si>
  <si>
    <t>I/C System AR Br 051</t>
  </si>
  <si>
    <t>270772</t>
  </si>
  <si>
    <t>I/C System AR Br 077</t>
  </si>
  <si>
    <t>270972</t>
  </si>
  <si>
    <t>I/C System AR Br 097</t>
  </si>
  <si>
    <t>271601</t>
  </si>
  <si>
    <t>I/C System AP2 Br 160</t>
  </si>
  <si>
    <t>271710</t>
  </si>
  <si>
    <t>I/C System AP Br 171</t>
  </si>
  <si>
    <t>171</t>
  </si>
  <si>
    <t>271711</t>
  </si>
  <si>
    <t>I/C System AP2 Br 171</t>
  </si>
  <si>
    <t>271712</t>
  </si>
  <si>
    <t>I/C System AR Br 171</t>
  </si>
  <si>
    <t>272502</t>
  </si>
  <si>
    <t>I/C System AR Br 250</t>
  </si>
  <si>
    <t>272630</t>
  </si>
  <si>
    <t>I/C System AP  Br 263</t>
  </si>
  <si>
    <t>Intercompany - Due from 343</t>
  </si>
  <si>
    <t>Intercompany - Due from 345</t>
  </si>
  <si>
    <t>291630</t>
  </si>
  <si>
    <t>Interbranch - due from 163</t>
  </si>
  <si>
    <t>292630</t>
  </si>
  <si>
    <t>Interbranch - due from 263</t>
  </si>
  <si>
    <t>300384</t>
  </si>
  <si>
    <t>Stated Capital – S&amp;P Austria</t>
  </si>
  <si>
    <t>542010</t>
  </si>
  <si>
    <t>Meals &amp; entertain - non-deductable</t>
  </si>
  <si>
    <t>ES VAT</t>
  </si>
  <si>
    <t>268171</t>
  </si>
  <si>
    <t>ES VAT M/S</t>
  </si>
  <si>
    <t>ES VAT RS</t>
  </si>
  <si>
    <t>VAT EUST</t>
  </si>
  <si>
    <t>VAT on Import 3c</t>
  </si>
  <si>
    <t>Domestic</t>
  </si>
  <si>
    <t>EU</t>
  </si>
  <si>
    <t>Export</t>
  </si>
  <si>
    <t>Export3C</t>
  </si>
  <si>
    <t>Oar</t>
  </si>
  <si>
    <t>Oar-Dep</t>
  </si>
  <si>
    <t>Oar-Fre</t>
  </si>
  <si>
    <t>Oar-Oth</t>
  </si>
  <si>
    <t>Oar-Per</t>
  </si>
  <si>
    <t>371-000001</t>
  </si>
  <si>
    <t>371-000002</t>
  </si>
  <si>
    <t>371-000003</t>
  </si>
  <si>
    <t>371-000004</t>
  </si>
  <si>
    <t>371-000005</t>
  </si>
  <si>
    <t>371-000006</t>
  </si>
  <si>
    <t>371-000007</t>
  </si>
  <si>
    <t>371-000008</t>
  </si>
  <si>
    <t>371-000009</t>
  </si>
  <si>
    <t>270652</t>
  </si>
  <si>
    <t>371-000010</t>
  </si>
  <si>
    <t>371-000099</t>
  </si>
  <si>
    <t>371-200001</t>
  </si>
  <si>
    <t>371-200002</t>
  </si>
  <si>
    <t>371-200003</t>
  </si>
  <si>
    <t>371-200005</t>
  </si>
  <si>
    <t>371-200006</t>
  </si>
  <si>
    <t>371-200007</t>
  </si>
  <si>
    <t>371-200008</t>
  </si>
  <si>
    <t>371-200009</t>
  </si>
  <si>
    <t>371-200010</t>
  </si>
  <si>
    <t>371-200011</t>
  </si>
  <si>
    <t>1% D7</t>
  </si>
  <si>
    <t>7 days 1% discount</t>
  </si>
  <si>
    <t>1%D7</t>
  </si>
  <si>
    <t>2%D10</t>
  </si>
  <si>
    <t>10 days 2 % discount</t>
  </si>
  <si>
    <t>2%D10Free</t>
  </si>
  <si>
    <t>10 days 2 % discount, free house</t>
  </si>
  <si>
    <t>2%D10XFAC</t>
  </si>
  <si>
    <t>10 days 2 % discount, ex factory</t>
  </si>
  <si>
    <t>2%D14</t>
  </si>
  <si>
    <t>14 days 2 % discount</t>
  </si>
  <si>
    <t>2%D21</t>
  </si>
  <si>
    <t>21 days 2 % discount</t>
  </si>
  <si>
    <t>2%D30</t>
  </si>
  <si>
    <t>30 days 2 % discount</t>
  </si>
  <si>
    <t>2%D60</t>
  </si>
  <si>
    <t>60 days 2 % discount</t>
  </si>
  <si>
    <t>3%10D2%D30</t>
  </si>
  <si>
    <t>10 days 3 %, 30 days 2 %</t>
  </si>
  <si>
    <t>3%D14</t>
  </si>
  <si>
    <t>14 days 3 % discount</t>
  </si>
  <si>
    <t>3%D21</t>
  </si>
  <si>
    <t>21 days 3 % discount</t>
  </si>
  <si>
    <t>3%D8</t>
  </si>
  <si>
    <t>8 days 3% discount</t>
  </si>
  <si>
    <t>4%30</t>
  </si>
  <si>
    <t>30 days 4% discount</t>
  </si>
  <si>
    <t>4%30D2%D6</t>
  </si>
  <si>
    <t>30 days 4%, 60 days 2%</t>
  </si>
  <si>
    <t>4%D10</t>
  </si>
  <si>
    <t>10 days 4 % discount</t>
  </si>
  <si>
    <t>5%D20</t>
  </si>
  <si>
    <t>20 days 5% discount</t>
  </si>
  <si>
    <t>5%D30</t>
  </si>
  <si>
    <t>30 days 5% discount</t>
  </si>
  <si>
    <t>3 pty frt</t>
  </si>
  <si>
    <t>TPP issue</t>
  </si>
  <si>
    <t>TPP issue offset</t>
  </si>
  <si>
    <t>TPP receipt</t>
  </si>
  <si>
    <t>TPP receipt offset</t>
  </si>
  <si>
    <t>BEQ</t>
  </si>
  <si>
    <t>BUI</t>
  </si>
  <si>
    <t>HAR</t>
  </si>
  <si>
    <t>LIC</t>
  </si>
  <si>
    <t>LND</t>
  </si>
  <si>
    <t>OEQ</t>
  </si>
  <si>
    <t>OTH</t>
  </si>
  <si>
    <t>SOF</t>
  </si>
  <si>
    <t>VEH</t>
  </si>
  <si>
    <t>Acquisition adjustment</t>
  </si>
  <si>
    <t>15,5</t>
  </si>
  <si>
    <t>16,5</t>
  </si>
  <si>
    <t>17,5</t>
  </si>
  <si>
    <t>23,5</t>
  </si>
  <si>
    <t>23,7</t>
  </si>
  <si>
    <t>13,7</t>
  </si>
  <si>
    <t>14,7</t>
  </si>
  <si>
    <t>15,7</t>
  </si>
  <si>
    <t>16,7</t>
  </si>
  <si>
    <t>17,7</t>
  </si>
  <si>
    <t>18,7</t>
  </si>
  <si>
    <t>19,5</t>
  </si>
  <si>
    <t>20,5</t>
  </si>
  <si>
    <t>22,5</t>
  </si>
  <si>
    <t>21,5</t>
  </si>
  <si>
    <t>16,4</t>
  </si>
  <si>
    <t>108,8</t>
  </si>
  <si>
    <t>105,8</t>
  </si>
  <si>
    <t>104,8</t>
  </si>
  <si>
    <t>20,4</t>
  </si>
  <si>
    <t>112,8</t>
  </si>
  <si>
    <t>15,4</t>
  </si>
  <si>
    <t>17,4</t>
  </si>
  <si>
    <t>106,8</t>
  </si>
  <si>
    <t>107,8</t>
  </si>
  <si>
    <t>109,8</t>
  </si>
  <si>
    <t>18,4</t>
  </si>
  <si>
    <t>110,8</t>
  </si>
  <si>
    <t>19,4</t>
  </si>
  <si>
    <t>111,8</t>
  </si>
  <si>
    <t>22,4</t>
  </si>
  <si>
    <t>89,8</t>
  </si>
  <si>
    <t>97,8</t>
  </si>
  <si>
    <t>21,4</t>
  </si>
  <si>
    <t>88,8</t>
  </si>
  <si>
    <t>96,8</t>
  </si>
  <si>
    <t>28,4</t>
  </si>
  <si>
    <t>95,8</t>
  </si>
  <si>
    <t>103,8</t>
  </si>
  <si>
    <t>23,4</t>
  </si>
  <si>
    <t>24,4</t>
  </si>
  <si>
    <t>25,4</t>
  </si>
  <si>
    <t>90,8</t>
  </si>
  <si>
    <t>91,8</t>
  </si>
  <si>
    <t>92,8</t>
  </si>
  <si>
    <t>98,8</t>
  </si>
  <si>
    <t>99,8</t>
  </si>
  <si>
    <t>100,8</t>
  </si>
  <si>
    <t>26,4</t>
  </si>
  <si>
    <t>93,8</t>
  </si>
  <si>
    <t>101,8</t>
  </si>
  <si>
    <t>27,4</t>
  </si>
  <si>
    <t>94,8</t>
  </si>
  <si>
    <t>102,8</t>
  </si>
  <si>
    <t>11,12</t>
  </si>
  <si>
    <t>6,6</t>
  </si>
  <si>
    <t>19,7</t>
  </si>
  <si>
    <t>20,7</t>
  </si>
  <si>
    <t>27,5</t>
  </si>
  <si>
    <t>28,5</t>
  </si>
  <si>
    <t>25,5</t>
  </si>
  <si>
    <t>26,5</t>
  </si>
  <si>
    <t>29,4</t>
  </si>
  <si>
    <t>29,5</t>
  </si>
  <si>
    <t>53,8</t>
  </si>
  <si>
    <t>53,9</t>
  </si>
  <si>
    <t>55,8</t>
  </si>
  <si>
    <t>55,9</t>
  </si>
  <si>
    <t>57,8</t>
  </si>
  <si>
    <t>57,9</t>
  </si>
  <si>
    <t>59,8</t>
  </si>
  <si>
    <t>59,9</t>
  </si>
  <si>
    <t>61,8</t>
  </si>
  <si>
    <t>61,9</t>
  </si>
  <si>
    <t>63,8</t>
  </si>
  <si>
    <t>63,9</t>
  </si>
  <si>
    <t>65,8</t>
  </si>
  <si>
    <t>65,9</t>
  </si>
  <si>
    <t>67,8</t>
  </si>
  <si>
    <t>67,9</t>
  </si>
  <si>
    <t>69,8</t>
  </si>
  <si>
    <t>69,9</t>
  </si>
  <si>
    <t>71,8</t>
  </si>
  <si>
    <t>71,9</t>
  </si>
  <si>
    <t>73,8</t>
  </si>
  <si>
    <t>73,9</t>
  </si>
  <si>
    <t>75,8</t>
  </si>
  <si>
    <t>75,9</t>
  </si>
  <si>
    <t>77,8</t>
  </si>
  <si>
    <t>77,9</t>
  </si>
  <si>
    <t>79,8</t>
  </si>
  <si>
    <t>79,9</t>
  </si>
  <si>
    <t>81,8</t>
  </si>
  <si>
    <t>81,9</t>
  </si>
  <si>
    <t>83,8</t>
  </si>
  <si>
    <t>83,9</t>
  </si>
  <si>
    <t>85,8</t>
  </si>
  <si>
    <t>85,9</t>
  </si>
  <si>
    <t>87,8</t>
  </si>
  <si>
    <t>87,9</t>
  </si>
  <si>
    <t>30,4</t>
  </si>
  <si>
    <t>30,5</t>
  </si>
  <si>
    <t>52,8</t>
  </si>
  <si>
    <t>52,9</t>
  </si>
  <si>
    <t>54,8</t>
  </si>
  <si>
    <t>54,9</t>
  </si>
  <si>
    <t>56,8</t>
  </si>
  <si>
    <t>56,9</t>
  </si>
  <si>
    <t>58,8</t>
  </si>
  <si>
    <t>58,9</t>
  </si>
  <si>
    <t>60,8</t>
  </si>
  <si>
    <t>60,9</t>
  </si>
  <si>
    <t>62,8</t>
  </si>
  <si>
    <t>62,9</t>
  </si>
  <si>
    <t>64,8</t>
  </si>
  <si>
    <t>64,9</t>
  </si>
  <si>
    <t>66,8</t>
  </si>
  <si>
    <t>66,9</t>
  </si>
  <si>
    <t>68,8</t>
  </si>
  <si>
    <t>68,9</t>
  </si>
  <si>
    <t>70,8</t>
  </si>
  <si>
    <t>70,9</t>
  </si>
  <si>
    <t>72,8</t>
  </si>
  <si>
    <t>72,9</t>
  </si>
  <si>
    <t>74,8</t>
  </si>
  <si>
    <t>74,9</t>
  </si>
  <si>
    <t>76,8</t>
  </si>
  <si>
    <t>76,9</t>
  </si>
  <si>
    <t>78,8</t>
  </si>
  <si>
    <t>78,9</t>
  </si>
  <si>
    <t>80,8</t>
  </si>
  <si>
    <t>80,9</t>
  </si>
  <si>
    <t>82,8</t>
  </si>
  <si>
    <t>82,9</t>
  </si>
  <si>
    <t>84,8</t>
  </si>
  <si>
    <t>84,9</t>
  </si>
  <si>
    <t>86,8</t>
  </si>
  <si>
    <t>86,9</t>
  </si>
  <si>
    <t>88,9</t>
  </si>
  <si>
    <t>89,9</t>
  </si>
  <si>
    <t>90,9</t>
  </si>
  <si>
    <t>91,9</t>
  </si>
  <si>
    <t>92,9</t>
  </si>
  <si>
    <t>93,9</t>
  </si>
  <si>
    <t>94,9</t>
  </si>
  <si>
    <t>95,9</t>
  </si>
  <si>
    <t>96,9</t>
  </si>
  <si>
    <t>97,9</t>
  </si>
  <si>
    <t>98,9</t>
  </si>
  <si>
    <t>99,9</t>
  </si>
  <si>
    <t>100,9</t>
  </si>
  <si>
    <t>101,9</t>
  </si>
  <si>
    <t>102,9</t>
  </si>
  <si>
    <t>103,9</t>
  </si>
  <si>
    <t>104,9</t>
  </si>
  <si>
    <t>105,9</t>
  </si>
  <si>
    <t>106,9</t>
  </si>
  <si>
    <t>107,9</t>
  </si>
  <si>
    <t>108,9</t>
  </si>
  <si>
    <t>109,9</t>
  </si>
  <si>
    <t>110,9</t>
  </si>
  <si>
    <t>111,9</t>
  </si>
  <si>
    <t>112,9</t>
  </si>
  <si>
    <t>037</t>
  </si>
  <si>
    <t>Capital projects-in-process 2</t>
  </si>
  <si>
    <t>040</t>
  </si>
  <si>
    <t>058</t>
  </si>
  <si>
    <t>073</t>
  </si>
  <si>
    <t>098</t>
  </si>
  <si>
    <t>I/C System AR Br 047</t>
  </si>
  <si>
    <t>097</t>
  </si>
  <si>
    <t>I/C System AR Br 065</t>
  </si>
  <si>
    <t>Inspection and testing</t>
  </si>
  <si>
    <t>105</t>
  </si>
  <si>
    <t>Depreciation 6</t>
  </si>
  <si>
    <t>001</t>
  </si>
  <si>
    <t>100401</t>
  </si>
  <si>
    <t>Cash - EUR 2</t>
  </si>
  <si>
    <t>100402</t>
  </si>
  <si>
    <t>Cash - EUR 3</t>
  </si>
  <si>
    <t>007</t>
  </si>
  <si>
    <t>010</t>
  </si>
  <si>
    <t>013</t>
  </si>
  <si>
    <t>VAT Settlement - S&amp;P Spain</t>
  </si>
  <si>
    <t>590007</t>
  </si>
  <si>
    <t>Depreciation 8</t>
  </si>
  <si>
    <t>590008</t>
  </si>
  <si>
    <t>Depreciation 9</t>
  </si>
  <si>
    <t>ES VAT transactions</t>
  </si>
  <si>
    <t>ES VAT on service items</t>
  </si>
  <si>
    <t>ES VAT Reverse charge</t>
  </si>
  <si>
    <t>FACAPEX001</t>
  </si>
  <si>
    <t>Fixed asset receipt</t>
  </si>
  <si>
    <t>Fixed asset issue</t>
  </si>
  <si>
    <t>LOW</t>
  </si>
  <si>
    <t>TTF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</si>
</sst>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.00_ ;_ * \-#,##0.00_ ;_ * &quot;-&quot;??_ ;_ @_ "/>
    <numFmt numFmtId="165" formatCode="_ * #,##0_ ;_ * \-#,##0_ ;_ * &quot;-&quot;_ ;_ @_ "/>
    <numFmt numFmtId="166" formatCode="_ &quot;¥&quot;* #,##0.00_ ;_ &quot;¥&quot;* \-#,##0.00_ ;_ &quot;¥&quot;* &quot;-&quot;??_ ;_ @_ "/>
    <numFmt numFmtId="167" formatCode="_ &quot;¥&quot;* #,##0_ ;_ &quot;¥&quot;* \-#,##0_ ;_ &quot;¥&quot;* &quot;-&quot;_ ;_ @_ "/>
  </numFmts>
  <fonts count="1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</cellStyleXfs>
  <cellXfs count="21">
    <xf numFmtId="0" fontId="0" fillId="0" borderId="0" xfId="0"/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0" fontId="3" fillId="0" borderId="0" xfId="0" quotePrefix="1" applyNumberFormat="1" applyFont="1" applyAlignment="1"/>
    <xf numFmtId="0" fontId="0" fillId="0" borderId="0" xfId="0" applyNumberFormat="1" applyAlignment="1"/>
    <xf numFmtId="0" fontId="3" fillId="0" borderId="0" xfId="0" applyNumberFormat="1" applyFont="1" applyAlignment="1"/>
    <xf numFmtId="0" fontId="2" fillId="0" borderId="0" xfId="1"/>
    <xf numFmtId="0" fontId="4" fillId="0" borderId="0" xfId="2"/>
    <xf numFmtId="0" fontId="5" fillId="2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5" fillId="3" borderId="1" xfId="0" applyNumberFormat="1" applyFont="1" applyFill="1" applyBorder="1" applyAlignment="1">
      <alignment horizontal="center" vertical="top"/>
    </xf>
    <xf numFmtId="0" fontId="3" fillId="0" borderId="0" xfId="0" quotePrefix="1" applyNumberFormat="1" applyFont="1" applyAlignment="1">
      <alignment horizontal="center"/>
    </xf>
    <xf numFmtId="0" fontId="5" fillId="0" borderId="0" xfId="0" quotePrefix="1" applyNumberFormat="1" applyFont="1" applyAlignment="1"/>
    <xf numFmtId="0" fontId="7" fillId="0" borderId="0" xfId="0" applyFont="1"/>
    <xf numFmtId="14" fontId="0" fillId="0" borderId="0" xfId="0" applyNumberFormat="1"/>
    <xf numFmtId="0" fontId="9" fillId="0" borderId="0" xfId="3"/>
    <xf numFmtId="0" fontId="9" fillId="0" borderId="0" xfId="4"/>
    <xf numFmtId="0" fontId="9" fillId="0" borderId="0" xfId="4" applyAlignment="1"/>
    <xf numFmtId="0" fontId="10" fillId="0" borderId="0" xfId="5">
      <alignment vertical="center"/>
    </xf>
    <xf numFmtId="0" fontId="10" fillId="0" borderId="0" xfId="6">
      <alignment vertical="center"/>
    </xf>
  </cellXfs>
  <cellStyles count="7">
    <cellStyle name="Hyperlink" xfId="2" builtinId="8"/>
    <cellStyle name="Normal" xfId="0" builtinId="0"/>
    <cellStyle name="Normal_ARAP_Misc charge" xfId="3"/>
    <cellStyle name="Normal_ARAP_Misc charge_1" xfId="6"/>
    <cellStyle name="Normal_IM_Posting profile" xfId="4"/>
    <cellStyle name="Normal_IM_Posting profile_1" xfId="5"/>
    <cellStyle name="Title" xfId="1" builtinId="15"/>
  </cellStyles>
  <dxfs count="93"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19050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7" name="Table67" displayName="Table67" ref="D5:E13" totalsRowShown="0">
  <autoFilter ref="D5:E13"/>
  <tableColumns count="2">
    <tableColumn id="1" name="Module"/>
    <tableColumn id="2" name="Setu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able1" displayName="Table1" ref="K3:L9" totalsRowShown="0">
  <autoFilter ref="K3:L9"/>
  <tableColumns count="2">
    <tableColumn id="1" name="Account"/>
    <tableColumn id="2" name="Modu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FullList" displayName="FullList" ref="A1:H559" totalsRowShown="0">
  <autoFilter ref="A1:H559"/>
  <tableColumns count="8">
    <tableColumn id="1" name="Module"/>
    <tableColumn id="2" name="Posting type"/>
    <tableColumn id="3" name="Ledger account"/>
    <tableColumn id="4" name="Locked in journal"/>
    <tableColumn id="5" name="Closed"/>
    <tableColumn id="6" name="Local account"/>
    <tableColumn id="7" name="Local acct name"/>
    <tableColumn id="8" name="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AtlasReport_1_Table_1" displayName="AtlasReport_1_Table_1" ref="A3:O375" totalsRowShown="0">
  <autoFilter ref="A3:O375"/>
  <tableColumns count="15">
    <tableColumn id="1" name="Ledger account" dataDxfId="61"/>
    <tableColumn id="2" name="Account name" dataDxfId="60"/>
    <tableColumn id="3" name="Local Account #" dataDxfId="59"/>
    <tableColumn id="4" name="Local Account name" dataDxfId="58"/>
    <tableColumn id="5" name="Account type" dataDxfId="57"/>
    <tableColumn id="6" name="Locked in journal" dataDxfId="56"/>
    <tableColumn id="7" name="Closed" dataDxfId="55"/>
    <tableColumn id="8" name="Branch" dataDxfId="54"/>
    <tableColumn id="9" name="Department" dataDxfId="53"/>
    <tableColumn id="10" name="Department(Range)" dataDxfId="52"/>
    <tableColumn id="11" name="Department Descr." dataDxfId="51"/>
    <tableColumn id="12" name="Hierarchy" dataDxfId="50"/>
    <tableColumn id="13" name="Hierarchy Descr." dataDxfId="49"/>
    <tableColumn id="14" name="Descr." dataDxfId="48"/>
    <tableColumn id="15" name="Where used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AtlasReport_2_Table_1" displayName="AtlasReport_2_Table_1" ref="A2:F13" totalsRowShown="0">
  <autoFilter ref="A2:F13"/>
  <tableColumns count="6">
    <tableColumn id="1" name="Posting type" dataDxfId="92"/>
    <tableColumn id="2" name="Ledger account" dataDxfId="91"/>
    <tableColumn id="3" name="Account name" dataDxfId="90"/>
    <tableColumn id="4" name="Local account" dataDxfId="89"/>
    <tableColumn id="5" name="Local acct name" dataDxfId="88"/>
    <tableColumn id="6" name="Locked in journal" dataDxfId="87">
      <calculatedColumnFormula>_xll.AtlasFormulas.AtlasFunctions.AtlasTable("UAT",DataAreaId,"T.LedgerTable","%BlockedInJournal","","","","","","","AccountNum",$B3)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7" name="AtlasReport_10_Table_1" displayName="AtlasReport_10_Table_1" ref="A2:G7" totalsRowShown="0">
  <autoFilter ref="A2:G7"/>
  <tableColumns count="7">
    <tableColumn id="1" name="Ledger posting group" dataDxfId="46"/>
    <tableColumn id="2" name="Description" dataDxfId="45"/>
    <tableColumn id="3" name="Sales tax payable" dataDxfId="44"/>
    <tableColumn id="4" name="Sales tax receivable" dataDxfId="43"/>
    <tableColumn id="5" name="Use tax expense" dataDxfId="42"/>
    <tableColumn id="6" name="Use tax payable" dataDxfId="41"/>
    <tableColumn id="7" name="Settlement account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AtlasReport_5_Table_1" displayName="AtlasReport_5_Table_1" ref="A2:I23" totalsRowShown="0">
  <autoFilter ref="A2:I23"/>
  <tableColumns count="9">
    <tableColumn id="1" name="Posting profile" dataDxfId="86"/>
    <tableColumn id="2" name="Account code" dataDxfId="85"/>
    <tableColumn id="3" name="Account/Group number" dataDxfId="84"/>
    <tableColumn id="4" name="Customer name" dataDxfId="83">
      <calculatedColumnFormula>_xll.AtlasFormulas.AtlasFunctions.AtlasTable("UAT",DataAreaId,"T.CustTable","%Name","","","","","","","AccountNum",$C3)</calculatedColumnFormula>
    </tableColumn>
    <tableColumn id="5" name="Summary account" dataDxfId="82"/>
    <tableColumn id="6" name="Locked in journal" dataDxfId="81">
      <calculatedColumnFormula>_xll.AtlasFormulas.AtlasFunctions.AtlasTable("UAT",DataAreaId,"T.LedgerTable","%BlockedInJournal","","","","","","","AccountNum",$E3)</calculatedColumnFormula>
    </tableColumn>
    <tableColumn id="7" name="Settle account" dataDxfId="80"/>
    <tableColumn id="8" name="Locked in journal2" dataDxfId="79">
      <calculatedColumnFormula>_xll.AtlasFormulas.AtlasFunctions.AtlasTable("UAT",DataAreaId,"T.LedgerTable","%BlockedInJournal","","","","","","","AccountNum",$G3)</calculatedColumnFormula>
    </tableColumn>
    <tableColumn id="9" name="Collection letter sequence" dataDxfId="7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AtlasReport_8_Table_1" displayName="AtlasReport_8_Table_1" ref="A2:H14" totalsRowShown="0">
  <autoFilter ref="A2:H14"/>
  <tableColumns count="8">
    <tableColumn id="1" name="Posting profile" dataDxfId="39"/>
    <tableColumn id="2" name="Account code" dataDxfId="38"/>
    <tableColumn id="3" name="Account/Group number" dataDxfId="37"/>
    <tableColumn id="4" name="Vender name" dataDxfId="33">
      <calculatedColumnFormula>_xll.AtlasFormulas.AtlasFunctions.AtlasTable("UAT",DataAreaId,"T.VendTable","%Name","","","","","","","AccountNum",$C3)</calculatedColumnFormula>
    </tableColumn>
    <tableColumn id="5" name="Summary account" dataDxfId="36"/>
    <tableColumn id="6" name="Locked in journal" dataDxfId="32">
      <calculatedColumnFormula>_xll.AtlasFormulas.AtlasFunctions.AtlasTable("UAT",DataAreaId,"T.LedgerTable","%BlockedInJournal","","","","","","","AccountNum",$E3)</calculatedColumnFormula>
    </tableColumn>
    <tableColumn id="7" name="Settle account" dataDxfId="35"/>
    <tableColumn id="8" name="Locked in journal2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AtlasReport_6_Table_1" displayName="AtlasReport_6_Table_1" ref="A2:J20" totalsRowShown="0">
  <autoFilter ref="A2:J20"/>
  <tableColumns count="10">
    <tableColumn id="1" name="Cash discount" dataDxfId="31"/>
    <tableColumn id="2" name="Description" dataDxfId="30"/>
    <tableColumn id="3" name="Net/Current" dataDxfId="29"/>
    <tableColumn id="4" name="Discount pct." dataDxfId="28"/>
    <tableColumn id="5" name="Months" dataDxfId="27"/>
    <tableColumn id="6" name="Days" dataDxfId="26"/>
    <tableColumn id="7" name="Account received" dataDxfId="25"/>
    <tableColumn id="8" name="Locked in journal" dataDxfId="23">
      <calculatedColumnFormula>_xll.AtlasFormulas.AtlasFunctions.AtlasTable("UAT",DataAreaId,"T.LedgerTable","%BlockedInJournal","","","","","","","AccountNum",$G3)</calculatedColumnFormula>
    </tableColumn>
    <tableColumn id="9" name="Account allowed" dataDxfId="24"/>
    <tableColumn id="10" name="Locked in journal2" dataDxfId="22">
      <calculatedColumnFormula>_xll.AtlasFormulas.AtlasFunctions.AtlasTable("UAT",DataAreaId,"T.LedgerTable","%BlockedInJournal","","","","","","","AccountNum",$I3)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AtlasReport_7_Table_1" displayName="AtlasReport_7_Table_1" ref="A2:M20" totalsRowShown="0">
  <autoFilter ref="A2:M20"/>
  <tableColumns count="13">
    <tableColumn id="1" name="Module"/>
    <tableColumn id="2" name="Misc. charges code"/>
    <tableColumn id="3" name="Description"/>
    <tableColumn id="4" name="Compare purchase order and invoice values"/>
    <tableColumn id="5" name="Item sales tax group"/>
    <tableColumn id="6" name="Debit type"/>
    <tableColumn id="7" name="Debit posting"/>
    <tableColumn id="8" name="Debit account"/>
    <tableColumn id="9" name="Locked in journal" dataDxfId="77">
      <calculatedColumnFormula>_xll.AtlasFormulas.AtlasFunctions.AtlasTable("UAT",DataAreaId,"T.LedgerTable","%BlockedInJournal","","","","","","","AccountNum",$H3)</calculatedColumnFormula>
    </tableColumn>
    <tableColumn id="10" name="Credit type"/>
    <tableColumn id="11" name="Credit posting"/>
    <tableColumn id="12" name="Credit account"/>
    <tableColumn id="13" name="Locked in journal2" dataDxfId="76">
      <calculatedColumnFormula>_xll.AtlasFormulas.AtlasFunctions.AtlasTable("UAT",DataAreaId,"T.LedgerTable","%BlockedInJournal","","","","","","","AccountNum",$L3)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AtlasReport_9_Table_1" displayName="AtlasReport_9_Table_1" ref="A2:N188" totalsRowShown="0">
  <autoFilter ref="A2:N188"/>
  <tableColumns count="14">
    <tableColumn id="1" name="Module" dataDxfId="75"/>
    <tableColumn id="2" name="Account type"/>
    <tableColumn id="3" name="Item code"/>
    <tableColumn id="4" name="Item relation"/>
    <tableColumn id="5" name="Item name" dataDxfId="21">
      <calculatedColumnFormula>_xll.AtlasFormulas.AtlasFunctions.AtlasTable("UAT",DataAreaId,"T.InventTable","%ItemName","","","","","","","ItemId",$D3)</calculatedColumnFormula>
    </tableColumn>
    <tableColumn id="6" name="UNI Item name" dataDxfId="20">
      <calculatedColumnFormula>_xll.AtlasFormulas.AtlasFunctions.AtlasTable("UAT","UNI","T.InventTable","%ItemName","","","","","","","ItemId",$D3)</calculatedColumnFormula>
    </tableColumn>
    <tableColumn id="7" name="Account code"/>
    <tableColumn id="8" name="Account relation" dataDxfId="74"/>
    <tableColumn id="9" name="Sales tax group" dataDxfId="73"/>
    <tableColumn id="10" name="Account number"/>
    <tableColumn id="11" name="Account name" dataDxfId="19" dataCellStyle="Normal_IM_Posting profile">
      <calculatedColumnFormula>_xll.AtlasFormulas.AtlasFunctions.AtlasTable("UAT",DataAreaId,"T.LedgerTable","%AccountName","","","","","","","AccountNum",$J3)</calculatedColumnFormula>
    </tableColumn>
    <tableColumn id="12" name="Local Account #" dataDxfId="72"/>
    <tableColumn id="13" name="Local Account name" dataDxfId="71"/>
    <tableColumn id="14" name="Locked in journal" dataDxfId="18">
      <calculatedColumnFormula>_xll.AtlasFormulas.AtlasFunctions.AtlasTable("UAT",DataAreaId,"T.LedgerTable","%BlockedInJournal","","","","","","","AccountNum",$J3)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AtlasReport_11_Table_1" displayName="AtlasReport_11_Table_1" ref="A2:F36" totalsRowShown="0">
  <autoFilter ref="A2:F36"/>
  <tableColumns count="6">
    <tableColumn id="1" name="Posting profile" dataDxfId="17"/>
    <tableColumn id="2" name="Groupings" dataDxfId="16"/>
    <tableColumn id="3" name="Account number" dataDxfId="15"/>
    <tableColumn id="4" name="Ledger account" dataDxfId="14"/>
    <tableColumn id="5" name="Offset account" dataDxfId="13"/>
    <tableColumn id="6" name="Transaction type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AtlasReport_15_Table_1" displayName="AtlasReport_15_Table_1" ref="A2:I133" totalsRowShown="0">
  <autoFilter ref="A2:I133"/>
  <tableColumns count="9">
    <tableColumn id="1" name="Posting profile" dataDxfId="11"/>
    <tableColumn id="2" name="Sale or scrap" dataDxfId="10"/>
    <tableColumn id="3" name="Sales value type" dataDxfId="9"/>
    <tableColumn id="4" name="Value model" dataDxfId="8"/>
    <tableColumn id="5" name="Valid for" dataDxfId="7"/>
    <tableColumn id="6" name="Fixed asset relation" dataDxfId="6"/>
    <tableColumn id="7" name="Post value" dataDxfId="5"/>
    <tableColumn id="8" name="Ledger account" dataDxfId="4"/>
    <tableColumn id="9" name="Offset account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2" name="AtlasReport_13_Table_1" displayName="AtlasReport_13_Table_1" ref="A2:C5" totalsRowShown="0">
  <autoFilter ref="A2:C5"/>
  <tableColumns count="3">
    <tableColumn id="1" name="Name" dataDxfId="2"/>
    <tableColumn id="2" name="Description" dataDxfId="1"/>
    <tableColumn id="3" name="Offset account" dataDxfId="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AtlasReport_14_Table_1" displayName="AtlasReport_14_Table_1" ref="A2:C3" totalsRowShown="0">
  <autoFilter ref="A2:C3"/>
  <tableColumns count="3">
    <tableColumn id="1" name="Valid for" dataDxfId="70"/>
    <tableColumn id="2" name="Ledger account" dataDxfId="69"/>
    <tableColumn id="3" name="Statistical Code" dataDxfId="6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AtlasReport_16_Table_1" displayName="AtlasReport_16_Table_1" ref="A2:F3" totalsRowShown="0">
  <autoFilter ref="A2:F3"/>
  <tableColumns count="6">
    <tableColumn id="1" name="Category" dataDxfId="67"/>
    <tableColumn id="2" name="Cost group" dataDxfId="66"/>
    <tableColumn id="3" name="WIP issue" dataDxfId="65"/>
    <tableColumn id="4" name="WIP account" dataDxfId="64"/>
    <tableColumn id="5" name="Work center issues" dataDxfId="63"/>
    <tableColumn id="6" name="Work center issues, offset account" dataDxfId="6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L31"/>
  <sheetViews>
    <sheetView workbookViewId="0">
      <selection activeCell="G10" sqref="G10"/>
    </sheetView>
  </sheetViews>
  <sheetFormatPr defaultRowHeight="15"/>
  <cols>
    <col min="2" max="2" width="10.7109375" bestFit="1" customWidth="1"/>
    <col min="4" max="4" width="22.140625" bestFit="1" customWidth="1"/>
    <col min="5" max="5" width="23.42578125" bestFit="1" customWidth="1"/>
    <col min="11" max="11" width="10.28515625" customWidth="1"/>
    <col min="12" max="12" width="10.140625" customWidth="1"/>
  </cols>
  <sheetData>
    <row r="2" spans="2:12">
      <c r="B2" t="s">
        <v>112</v>
      </c>
      <c r="C2">
        <v>371</v>
      </c>
    </row>
    <row r="3" spans="2:12">
      <c r="K3" t="s">
        <v>480</v>
      </c>
      <c r="L3" t="s">
        <v>109</v>
      </c>
    </row>
    <row r="4" spans="2:12">
      <c r="K4">
        <v>268171</v>
      </c>
      <c r="L4" t="s">
        <v>616</v>
      </c>
    </row>
    <row r="5" spans="2:12">
      <c r="D5" t="s">
        <v>109</v>
      </c>
      <c r="E5" t="s">
        <v>267</v>
      </c>
      <c r="K5">
        <v>270652</v>
      </c>
      <c r="L5" t="s">
        <v>614</v>
      </c>
    </row>
    <row r="6" spans="2:12">
      <c r="D6" t="s">
        <v>268</v>
      </c>
      <c r="E6" s="7" t="s">
        <v>82</v>
      </c>
      <c r="K6">
        <v>270472</v>
      </c>
      <c r="L6" t="s">
        <v>614</v>
      </c>
    </row>
    <row r="7" spans="2:12">
      <c r="D7" t="s">
        <v>268</v>
      </c>
      <c r="E7" s="7" t="s">
        <v>273</v>
      </c>
      <c r="K7">
        <v>179001</v>
      </c>
      <c r="L7" t="s">
        <v>613</v>
      </c>
    </row>
    <row r="8" spans="2:12">
      <c r="D8" t="s">
        <v>586</v>
      </c>
      <c r="E8" s="7" t="s">
        <v>587</v>
      </c>
      <c r="K8">
        <v>590005</v>
      </c>
      <c r="L8" t="s">
        <v>613</v>
      </c>
    </row>
    <row r="9" spans="2:12">
      <c r="D9" t="s">
        <v>269</v>
      </c>
      <c r="E9" s="7" t="s">
        <v>61</v>
      </c>
      <c r="K9">
        <v>482000</v>
      </c>
      <c r="L9" t="s">
        <v>618</v>
      </c>
    </row>
    <row r="10" spans="2:12">
      <c r="D10" t="s">
        <v>270</v>
      </c>
      <c r="E10" s="7" t="s">
        <v>274</v>
      </c>
    </row>
    <row r="11" spans="2:12">
      <c r="D11" t="s">
        <v>271</v>
      </c>
      <c r="E11" s="7" t="s">
        <v>57</v>
      </c>
    </row>
    <row r="12" spans="2:12">
      <c r="D12" t="s">
        <v>271</v>
      </c>
      <c r="E12" s="7" t="s">
        <v>275</v>
      </c>
    </row>
    <row r="13" spans="2:12">
      <c r="D13" t="s">
        <v>272</v>
      </c>
      <c r="E13" s="7" t="s">
        <v>276</v>
      </c>
    </row>
    <row r="15" spans="2:12">
      <c r="B15" t="s">
        <v>481</v>
      </c>
    </row>
    <row r="16" spans="2:12">
      <c r="B16" s="14" t="s">
        <v>601</v>
      </c>
    </row>
    <row r="17" spans="2:3">
      <c r="B17" t="s">
        <v>602</v>
      </c>
    </row>
    <row r="18" spans="2:3">
      <c r="B18" t="s">
        <v>603</v>
      </c>
    </row>
    <row r="19" spans="2:3">
      <c r="B19" t="s">
        <v>604</v>
      </c>
    </row>
    <row r="21" spans="2:3">
      <c r="B21" t="s">
        <v>482</v>
      </c>
    </row>
    <row r="22" spans="2:3">
      <c r="B22" t="s">
        <v>483</v>
      </c>
    </row>
    <row r="24" spans="2:3">
      <c r="B24" t="s">
        <v>484</v>
      </c>
    </row>
    <row r="25" spans="2:3">
      <c r="B25" t="s">
        <v>485</v>
      </c>
    </row>
    <row r="26" spans="2:3">
      <c r="B26" t="s">
        <v>486</v>
      </c>
    </row>
    <row r="29" spans="2:3">
      <c r="B29" t="s">
        <v>708</v>
      </c>
    </row>
    <row r="30" spans="2:3">
      <c r="B30" s="15">
        <v>42353</v>
      </c>
      <c r="C30" t="s">
        <v>785</v>
      </c>
    </row>
    <row r="31" spans="2:3">
      <c r="B31" s="15">
        <v>42355</v>
      </c>
      <c r="C31" t="s">
        <v>786</v>
      </c>
    </row>
  </sheetData>
  <hyperlinks>
    <hyperlink ref="E6" location="'GL_System accounts'!A1" display="System accounts"/>
    <hyperlink ref="E7" location="'GL_Sales tax'!A1" display="Sales tax codes"/>
    <hyperlink ref="E9" location="'AR_Posting profile'!A1" display="Customer posting profile"/>
    <hyperlink ref="E10" location="'AP_Posting profile'!A1" display="Vendor posting profile"/>
    <hyperlink ref="E11" location="'ARAP_Cash discount'!A1" display="Cash discount"/>
    <hyperlink ref="E12" location="'ARAP_Misc charge'!A1" display="Misc. charge codes"/>
    <hyperlink ref="E13" location="'IM_Posting profile'!A1" display="Item posting profile"/>
    <hyperlink ref="E8" location="'Fixed Asset posting profile'!A1" display="Fixed Asset posting profi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WhereUsedList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559"/>
  <sheetViews>
    <sheetView workbookViewId="0">
      <selection activeCell="D12" sqref="D12"/>
    </sheetView>
  </sheetViews>
  <sheetFormatPr defaultRowHeight="15"/>
  <cols>
    <col min="1" max="1" width="19" bestFit="1" customWidth="1"/>
    <col min="2" max="2" width="46.28515625" bestFit="1" customWidth="1"/>
    <col min="3" max="3" width="16.42578125" customWidth="1"/>
    <col min="4" max="4" width="18.140625" customWidth="1"/>
    <col min="5" max="5" width="9.140625" customWidth="1"/>
    <col min="6" max="6" width="14.85546875" customWidth="1"/>
    <col min="7" max="7" width="16.85546875" customWidth="1"/>
    <col min="8" max="8" width="12.28515625" customWidth="1"/>
  </cols>
  <sheetData>
    <row r="1" spans="1:8">
      <c r="A1" t="s">
        <v>109</v>
      </c>
      <c r="B1" t="s">
        <v>39</v>
      </c>
      <c r="C1" t="s">
        <v>0</v>
      </c>
      <c r="D1" t="s">
        <v>3</v>
      </c>
      <c r="E1" t="s">
        <v>279</v>
      </c>
      <c r="F1" t="s">
        <v>265</v>
      </c>
      <c r="G1" t="s">
        <v>266</v>
      </c>
      <c r="H1" t="s">
        <v>619</v>
      </c>
    </row>
    <row r="2" spans="1:8">
      <c r="A2" t="s">
        <v>614</v>
      </c>
      <c r="B2" t="s">
        <v>83</v>
      </c>
      <c r="C2">
        <v>120000</v>
      </c>
      <c r="D2" t="s">
        <v>4</v>
      </c>
      <c r="E2" t="s">
        <v>4</v>
      </c>
      <c r="H2" s="7" t="s">
        <v>634</v>
      </c>
    </row>
    <row r="3" spans="1:8">
      <c r="A3" t="s">
        <v>614</v>
      </c>
      <c r="B3" t="s">
        <v>83</v>
      </c>
      <c r="C3">
        <v>120000</v>
      </c>
      <c r="D3" t="s">
        <v>4</v>
      </c>
      <c r="E3" t="s">
        <v>4</v>
      </c>
      <c r="H3" s="7" t="s">
        <v>1441</v>
      </c>
    </row>
    <row r="4" spans="1:8">
      <c r="A4" t="s">
        <v>614</v>
      </c>
      <c r="B4" t="s">
        <v>83</v>
      </c>
      <c r="C4">
        <v>120000</v>
      </c>
      <c r="D4" t="s">
        <v>4</v>
      </c>
      <c r="E4" t="s">
        <v>4</v>
      </c>
      <c r="H4" s="7" t="s">
        <v>1442</v>
      </c>
    </row>
    <row r="5" spans="1:8">
      <c r="A5" t="s">
        <v>614</v>
      </c>
      <c r="B5" t="s">
        <v>83</v>
      </c>
      <c r="C5">
        <v>120000</v>
      </c>
      <c r="D5" t="s">
        <v>4</v>
      </c>
      <c r="E5" t="s">
        <v>4</v>
      </c>
      <c r="H5" s="7" t="s">
        <v>1443</v>
      </c>
    </row>
    <row r="6" spans="1:8">
      <c r="A6" t="s">
        <v>614</v>
      </c>
      <c r="B6" t="s">
        <v>590</v>
      </c>
      <c r="C6">
        <v>120001</v>
      </c>
      <c r="D6" t="s">
        <v>4</v>
      </c>
      <c r="E6" t="s">
        <v>4</v>
      </c>
      <c r="H6" s="7" t="s">
        <v>1444</v>
      </c>
    </row>
    <row r="7" spans="1:8">
      <c r="A7" t="s">
        <v>614</v>
      </c>
      <c r="B7" t="s">
        <v>590</v>
      </c>
      <c r="C7">
        <v>120001</v>
      </c>
      <c r="D7" t="s">
        <v>4</v>
      </c>
      <c r="E7" t="s">
        <v>4</v>
      </c>
      <c r="H7" s="7" t="s">
        <v>1445</v>
      </c>
    </row>
    <row r="8" spans="1:8">
      <c r="A8" t="s">
        <v>614</v>
      </c>
      <c r="B8" t="s">
        <v>83</v>
      </c>
      <c r="C8">
        <v>120010</v>
      </c>
      <c r="D8" t="s">
        <v>4</v>
      </c>
      <c r="E8" t="s">
        <v>4</v>
      </c>
      <c r="H8" s="7" t="s">
        <v>625</v>
      </c>
    </row>
    <row r="9" spans="1:8">
      <c r="A9" t="s">
        <v>614</v>
      </c>
      <c r="B9" t="s">
        <v>83</v>
      </c>
      <c r="C9">
        <v>120010</v>
      </c>
      <c r="D9" t="s">
        <v>4</v>
      </c>
      <c r="E9" t="s">
        <v>4</v>
      </c>
      <c r="H9" s="7" t="s">
        <v>626</v>
      </c>
    </row>
    <row r="10" spans="1:8">
      <c r="A10" t="s">
        <v>614</v>
      </c>
      <c r="B10" t="s">
        <v>83</v>
      </c>
      <c r="C10">
        <v>120010</v>
      </c>
      <c r="D10" t="s">
        <v>4</v>
      </c>
      <c r="E10" t="s">
        <v>4</v>
      </c>
      <c r="H10" s="7" t="s">
        <v>627</v>
      </c>
    </row>
    <row r="11" spans="1:8">
      <c r="A11" t="s">
        <v>614</v>
      </c>
      <c r="B11" t="s">
        <v>83</v>
      </c>
      <c r="C11">
        <v>120010</v>
      </c>
      <c r="D11" t="s">
        <v>4</v>
      </c>
      <c r="E11" t="s">
        <v>4</v>
      </c>
      <c r="H11" s="7" t="s">
        <v>628</v>
      </c>
    </row>
    <row r="12" spans="1:8">
      <c r="A12" t="s">
        <v>614</v>
      </c>
      <c r="B12" t="s">
        <v>83</v>
      </c>
      <c r="C12">
        <v>120010</v>
      </c>
      <c r="D12" t="s">
        <v>4</v>
      </c>
      <c r="E12" t="s">
        <v>4</v>
      </c>
      <c r="H12" s="7" t="s">
        <v>629</v>
      </c>
    </row>
    <row r="13" spans="1:8">
      <c r="A13" t="s">
        <v>614</v>
      </c>
      <c r="B13" t="s">
        <v>83</v>
      </c>
      <c r="C13">
        <v>120010</v>
      </c>
      <c r="D13" t="s">
        <v>4</v>
      </c>
      <c r="E13" t="s">
        <v>4</v>
      </c>
      <c r="H13" s="7" t="s">
        <v>652</v>
      </c>
    </row>
    <row r="14" spans="1:8">
      <c r="A14" t="s">
        <v>614</v>
      </c>
      <c r="B14" t="s">
        <v>83</v>
      </c>
      <c r="C14">
        <v>120010</v>
      </c>
      <c r="D14" t="s">
        <v>4</v>
      </c>
      <c r="E14" t="s">
        <v>4</v>
      </c>
      <c r="H14" s="7" t="s">
        <v>653</v>
      </c>
    </row>
    <row r="15" spans="1:8">
      <c r="A15" t="s">
        <v>614</v>
      </c>
      <c r="B15" t="s">
        <v>83</v>
      </c>
      <c r="C15">
        <v>120010</v>
      </c>
      <c r="D15" t="s">
        <v>4</v>
      </c>
      <c r="E15" t="s">
        <v>4</v>
      </c>
      <c r="H15" s="7" t="s">
        <v>654</v>
      </c>
    </row>
    <row r="16" spans="1:8">
      <c r="A16" t="s">
        <v>614</v>
      </c>
      <c r="B16" t="s">
        <v>83</v>
      </c>
      <c r="C16">
        <v>120010</v>
      </c>
      <c r="D16" t="s">
        <v>4</v>
      </c>
      <c r="E16" t="s">
        <v>4</v>
      </c>
      <c r="H16" s="7" t="s">
        <v>655</v>
      </c>
    </row>
    <row r="17" spans="1:8">
      <c r="A17" t="s">
        <v>614</v>
      </c>
      <c r="B17" t="s">
        <v>83</v>
      </c>
      <c r="C17">
        <v>120010</v>
      </c>
      <c r="D17" t="s">
        <v>4</v>
      </c>
      <c r="E17" t="s">
        <v>4</v>
      </c>
      <c r="H17" s="7" t="s">
        <v>624</v>
      </c>
    </row>
    <row r="18" spans="1:8">
      <c r="A18" t="s">
        <v>614</v>
      </c>
      <c r="B18" t="s">
        <v>83</v>
      </c>
      <c r="C18">
        <v>120010</v>
      </c>
      <c r="D18" t="s">
        <v>4</v>
      </c>
      <c r="E18" t="s">
        <v>4</v>
      </c>
      <c r="H18" s="7" t="s">
        <v>1446</v>
      </c>
    </row>
    <row r="19" spans="1:8">
      <c r="A19" t="s">
        <v>614</v>
      </c>
      <c r="B19" t="s">
        <v>83</v>
      </c>
      <c r="C19">
        <v>120010</v>
      </c>
      <c r="D19" t="s">
        <v>4</v>
      </c>
      <c r="E19" t="s">
        <v>4</v>
      </c>
      <c r="H19" s="7" t="s">
        <v>1447</v>
      </c>
    </row>
    <row r="20" spans="1:8">
      <c r="A20" t="s">
        <v>614</v>
      </c>
      <c r="B20" t="s">
        <v>83</v>
      </c>
      <c r="C20">
        <v>120010</v>
      </c>
      <c r="D20" t="s">
        <v>4</v>
      </c>
      <c r="E20" t="s">
        <v>4</v>
      </c>
      <c r="H20" s="7" t="s">
        <v>1448</v>
      </c>
    </row>
    <row r="21" spans="1:8">
      <c r="A21" t="s">
        <v>614</v>
      </c>
      <c r="B21" t="s">
        <v>83</v>
      </c>
      <c r="C21">
        <v>120010</v>
      </c>
      <c r="D21" t="s">
        <v>4</v>
      </c>
      <c r="E21" t="s">
        <v>4</v>
      </c>
      <c r="H21" s="7" t="s">
        <v>1449</v>
      </c>
    </row>
    <row r="22" spans="1:8">
      <c r="A22" t="s">
        <v>614</v>
      </c>
      <c r="B22" t="s">
        <v>83</v>
      </c>
      <c r="C22">
        <v>120010</v>
      </c>
      <c r="D22" t="s">
        <v>4</v>
      </c>
      <c r="E22" t="s">
        <v>4</v>
      </c>
      <c r="H22" s="7" t="s">
        <v>1450</v>
      </c>
    </row>
    <row r="23" spans="1:8">
      <c r="A23" t="s">
        <v>612</v>
      </c>
      <c r="C23">
        <v>120010</v>
      </c>
      <c r="D23" t="s">
        <v>4</v>
      </c>
      <c r="E23" t="s">
        <v>4</v>
      </c>
      <c r="H23" s="7" t="s">
        <v>1103</v>
      </c>
    </row>
    <row r="24" spans="1:8">
      <c r="A24" t="s">
        <v>612</v>
      </c>
      <c r="B24" t="s">
        <v>110</v>
      </c>
      <c r="C24">
        <v>130000</v>
      </c>
      <c r="D24" t="s">
        <v>4</v>
      </c>
      <c r="E24" t="s">
        <v>4</v>
      </c>
      <c r="H24" s="7" t="s">
        <v>1136</v>
      </c>
    </row>
    <row r="25" spans="1:8">
      <c r="A25" t="s">
        <v>612</v>
      </c>
      <c r="B25" t="s">
        <v>110</v>
      </c>
      <c r="C25">
        <v>130000</v>
      </c>
      <c r="D25" t="s">
        <v>4</v>
      </c>
      <c r="E25" t="s">
        <v>4</v>
      </c>
      <c r="H25" s="7" t="s">
        <v>1268</v>
      </c>
    </row>
    <row r="26" spans="1:8">
      <c r="A26" t="s">
        <v>612</v>
      </c>
      <c r="B26" t="s">
        <v>111</v>
      </c>
      <c r="C26">
        <v>130000</v>
      </c>
      <c r="D26" t="s">
        <v>4</v>
      </c>
      <c r="E26" t="s">
        <v>4</v>
      </c>
      <c r="H26" s="7" t="s">
        <v>1096</v>
      </c>
    </row>
    <row r="27" spans="1:8">
      <c r="A27" t="s">
        <v>612</v>
      </c>
      <c r="B27" t="s">
        <v>111</v>
      </c>
      <c r="C27">
        <v>130000</v>
      </c>
      <c r="D27" t="s">
        <v>4</v>
      </c>
      <c r="E27" t="s">
        <v>4</v>
      </c>
      <c r="H27" s="7" t="s">
        <v>1284</v>
      </c>
    </row>
    <row r="28" spans="1:8">
      <c r="A28" t="s">
        <v>612</v>
      </c>
      <c r="B28" t="s">
        <v>841</v>
      </c>
      <c r="C28">
        <v>130000</v>
      </c>
      <c r="D28" t="s">
        <v>4</v>
      </c>
      <c r="E28" t="s">
        <v>4</v>
      </c>
      <c r="H28" s="7" t="s">
        <v>1206</v>
      </c>
    </row>
    <row r="29" spans="1:8">
      <c r="A29" t="s">
        <v>612</v>
      </c>
      <c r="B29" t="s">
        <v>841</v>
      </c>
      <c r="C29">
        <v>130000</v>
      </c>
      <c r="D29" t="s">
        <v>4</v>
      </c>
      <c r="E29" t="s">
        <v>4</v>
      </c>
      <c r="H29" s="7" t="s">
        <v>1249</v>
      </c>
    </row>
    <row r="30" spans="1:8">
      <c r="A30" t="s">
        <v>612</v>
      </c>
      <c r="B30" t="s">
        <v>841</v>
      </c>
      <c r="C30">
        <v>130000</v>
      </c>
      <c r="D30" t="s">
        <v>4</v>
      </c>
      <c r="E30" t="s">
        <v>4</v>
      </c>
      <c r="H30" s="7" t="s">
        <v>1296</v>
      </c>
    </row>
    <row r="31" spans="1:8">
      <c r="A31" t="s">
        <v>612</v>
      </c>
      <c r="B31" t="s">
        <v>609</v>
      </c>
      <c r="C31">
        <v>130000</v>
      </c>
      <c r="D31" t="s">
        <v>4</v>
      </c>
      <c r="E31" t="s">
        <v>4</v>
      </c>
      <c r="H31" s="7" t="s">
        <v>1274</v>
      </c>
    </row>
    <row r="32" spans="1:8">
      <c r="A32" t="s">
        <v>612</v>
      </c>
      <c r="B32" t="s">
        <v>609</v>
      </c>
      <c r="C32">
        <v>130000</v>
      </c>
      <c r="D32" t="s">
        <v>4</v>
      </c>
      <c r="E32" t="s">
        <v>4</v>
      </c>
      <c r="H32" s="7" t="s">
        <v>1084</v>
      </c>
    </row>
    <row r="33" spans="1:8">
      <c r="A33" t="s">
        <v>612</v>
      </c>
      <c r="B33" t="s">
        <v>110</v>
      </c>
      <c r="C33">
        <v>131000</v>
      </c>
      <c r="D33" t="s">
        <v>4</v>
      </c>
      <c r="E33" t="s">
        <v>4</v>
      </c>
      <c r="H33" s="7" t="s">
        <v>1186</v>
      </c>
    </row>
    <row r="34" spans="1:8">
      <c r="A34" t="s">
        <v>612</v>
      </c>
      <c r="B34" t="s">
        <v>110</v>
      </c>
      <c r="C34">
        <v>131000</v>
      </c>
      <c r="D34" t="s">
        <v>4</v>
      </c>
      <c r="E34" t="s">
        <v>4</v>
      </c>
      <c r="H34" s="7" t="s">
        <v>1171</v>
      </c>
    </row>
    <row r="35" spans="1:8">
      <c r="A35" t="s">
        <v>612</v>
      </c>
      <c r="B35" t="s">
        <v>111</v>
      </c>
      <c r="C35">
        <v>131000</v>
      </c>
      <c r="D35" t="s">
        <v>4</v>
      </c>
      <c r="E35" t="s">
        <v>4</v>
      </c>
      <c r="H35" s="7" t="s">
        <v>1137</v>
      </c>
    </row>
    <row r="36" spans="1:8">
      <c r="A36" t="s">
        <v>612</v>
      </c>
      <c r="B36" t="s">
        <v>111</v>
      </c>
      <c r="C36">
        <v>131000</v>
      </c>
      <c r="D36" t="s">
        <v>4</v>
      </c>
      <c r="E36" t="s">
        <v>4</v>
      </c>
      <c r="H36" s="7" t="s">
        <v>1290</v>
      </c>
    </row>
    <row r="37" spans="1:8">
      <c r="A37" t="s">
        <v>612</v>
      </c>
      <c r="B37" t="s">
        <v>841</v>
      </c>
      <c r="C37">
        <v>131000</v>
      </c>
      <c r="D37" t="s">
        <v>4</v>
      </c>
      <c r="E37" t="s">
        <v>4</v>
      </c>
      <c r="H37" s="7" t="s">
        <v>1197</v>
      </c>
    </row>
    <row r="38" spans="1:8">
      <c r="A38" t="s">
        <v>612</v>
      </c>
      <c r="B38" t="s">
        <v>841</v>
      </c>
      <c r="C38">
        <v>131000</v>
      </c>
      <c r="D38" t="s">
        <v>4</v>
      </c>
      <c r="E38" t="s">
        <v>4</v>
      </c>
      <c r="H38" s="7" t="s">
        <v>1243</v>
      </c>
    </row>
    <row r="39" spans="1:8">
      <c r="A39" t="s">
        <v>612</v>
      </c>
      <c r="B39" t="s">
        <v>841</v>
      </c>
      <c r="C39">
        <v>131000</v>
      </c>
      <c r="D39" t="s">
        <v>4</v>
      </c>
      <c r="E39" t="s">
        <v>4</v>
      </c>
      <c r="H39" s="7" t="s">
        <v>1262</v>
      </c>
    </row>
    <row r="40" spans="1:8">
      <c r="A40" t="s">
        <v>612</v>
      </c>
      <c r="B40" t="s">
        <v>609</v>
      </c>
      <c r="C40">
        <v>131000</v>
      </c>
      <c r="D40" t="s">
        <v>4</v>
      </c>
      <c r="E40" t="s">
        <v>4</v>
      </c>
      <c r="H40" s="7" t="s">
        <v>1272</v>
      </c>
    </row>
    <row r="41" spans="1:8">
      <c r="A41" t="s">
        <v>612</v>
      </c>
      <c r="B41" t="s">
        <v>609</v>
      </c>
      <c r="C41">
        <v>131000</v>
      </c>
      <c r="D41" t="s">
        <v>4</v>
      </c>
      <c r="E41" t="s">
        <v>4</v>
      </c>
      <c r="H41" s="7" t="s">
        <v>1080</v>
      </c>
    </row>
    <row r="42" spans="1:8">
      <c r="A42" t="s">
        <v>612</v>
      </c>
      <c r="B42" t="s">
        <v>841</v>
      </c>
      <c r="C42">
        <v>131100</v>
      </c>
      <c r="D42" t="s">
        <v>4</v>
      </c>
      <c r="E42" t="s">
        <v>4</v>
      </c>
      <c r="H42" s="7" t="s">
        <v>1200</v>
      </c>
    </row>
    <row r="43" spans="1:8">
      <c r="A43" t="s">
        <v>612</v>
      </c>
      <c r="B43" t="s">
        <v>841</v>
      </c>
      <c r="C43">
        <v>131100</v>
      </c>
      <c r="D43" t="s">
        <v>4</v>
      </c>
      <c r="E43" t="s">
        <v>4</v>
      </c>
      <c r="H43" s="7" t="s">
        <v>1218</v>
      </c>
    </row>
    <row r="44" spans="1:8">
      <c r="A44" t="s">
        <v>612</v>
      </c>
      <c r="B44" t="s">
        <v>841</v>
      </c>
      <c r="C44">
        <v>131100</v>
      </c>
      <c r="D44" t="s">
        <v>4</v>
      </c>
      <c r="E44" t="s">
        <v>4</v>
      </c>
      <c r="H44" s="7" t="s">
        <v>1221</v>
      </c>
    </row>
    <row r="45" spans="1:8">
      <c r="A45" t="s">
        <v>612</v>
      </c>
      <c r="B45" t="s">
        <v>841</v>
      </c>
      <c r="C45">
        <v>131100</v>
      </c>
      <c r="D45" t="s">
        <v>4</v>
      </c>
      <c r="E45" t="s">
        <v>4</v>
      </c>
      <c r="H45" s="7" t="s">
        <v>1226</v>
      </c>
    </row>
    <row r="46" spans="1:8">
      <c r="A46" t="s">
        <v>612</v>
      </c>
      <c r="B46" t="s">
        <v>841</v>
      </c>
      <c r="C46">
        <v>131100</v>
      </c>
      <c r="D46" t="s">
        <v>4</v>
      </c>
      <c r="E46" t="s">
        <v>4</v>
      </c>
      <c r="H46" s="7" t="s">
        <v>1152</v>
      </c>
    </row>
    <row r="47" spans="1:8">
      <c r="A47" t="s">
        <v>612</v>
      </c>
      <c r="B47" t="s">
        <v>841</v>
      </c>
      <c r="C47">
        <v>131100</v>
      </c>
      <c r="D47" t="s">
        <v>4</v>
      </c>
      <c r="E47" t="s">
        <v>4</v>
      </c>
      <c r="H47" s="7" t="s">
        <v>1239</v>
      </c>
    </row>
    <row r="48" spans="1:8">
      <c r="A48" t="s">
        <v>612</v>
      </c>
      <c r="B48" t="s">
        <v>841</v>
      </c>
      <c r="C48">
        <v>131100</v>
      </c>
      <c r="D48" t="s">
        <v>4</v>
      </c>
      <c r="E48" t="s">
        <v>4</v>
      </c>
      <c r="H48" s="7" t="s">
        <v>1251</v>
      </c>
    </row>
    <row r="49" spans="1:8">
      <c r="A49" t="s">
        <v>612</v>
      </c>
      <c r="B49" t="s">
        <v>841</v>
      </c>
      <c r="C49">
        <v>131100</v>
      </c>
      <c r="D49" t="s">
        <v>4</v>
      </c>
      <c r="E49" t="s">
        <v>4</v>
      </c>
      <c r="H49" s="7" t="s">
        <v>1241</v>
      </c>
    </row>
    <row r="50" spans="1:8">
      <c r="A50" t="s">
        <v>612</v>
      </c>
      <c r="B50" t="s">
        <v>841</v>
      </c>
      <c r="C50">
        <v>131200</v>
      </c>
      <c r="D50" t="s">
        <v>4</v>
      </c>
      <c r="E50" t="s">
        <v>4</v>
      </c>
      <c r="H50" s="7" t="s">
        <v>1235</v>
      </c>
    </row>
    <row r="51" spans="1:8">
      <c r="A51" t="s">
        <v>612</v>
      </c>
      <c r="B51" t="s">
        <v>841</v>
      </c>
      <c r="C51">
        <v>131200</v>
      </c>
      <c r="D51" t="s">
        <v>4</v>
      </c>
      <c r="E51" t="s">
        <v>4</v>
      </c>
      <c r="H51" s="7" t="s">
        <v>1229</v>
      </c>
    </row>
    <row r="52" spans="1:8">
      <c r="A52" t="s">
        <v>612</v>
      </c>
      <c r="B52" t="s">
        <v>841</v>
      </c>
      <c r="C52">
        <v>131200</v>
      </c>
      <c r="D52" t="s">
        <v>4</v>
      </c>
      <c r="E52" t="s">
        <v>4</v>
      </c>
      <c r="H52" s="7" t="s">
        <v>1148</v>
      </c>
    </row>
    <row r="53" spans="1:8">
      <c r="A53" t="s">
        <v>612</v>
      </c>
      <c r="B53" t="s">
        <v>841</v>
      </c>
      <c r="C53">
        <v>131200</v>
      </c>
      <c r="D53" t="s">
        <v>4</v>
      </c>
      <c r="E53" t="s">
        <v>4</v>
      </c>
      <c r="H53" s="7" t="s">
        <v>1154</v>
      </c>
    </row>
    <row r="54" spans="1:8">
      <c r="A54" t="s">
        <v>612</v>
      </c>
      <c r="B54" t="s">
        <v>110</v>
      </c>
      <c r="C54">
        <v>132000</v>
      </c>
      <c r="D54" t="s">
        <v>4</v>
      </c>
      <c r="E54" t="s">
        <v>4</v>
      </c>
      <c r="H54" s="7" t="s">
        <v>1211</v>
      </c>
    </row>
    <row r="55" spans="1:8">
      <c r="A55" t="s">
        <v>612</v>
      </c>
      <c r="B55" t="s">
        <v>110</v>
      </c>
      <c r="C55">
        <v>132000</v>
      </c>
      <c r="D55" t="s">
        <v>4</v>
      </c>
      <c r="E55" t="s">
        <v>4</v>
      </c>
      <c r="H55" s="7" t="s">
        <v>1271</v>
      </c>
    </row>
    <row r="56" spans="1:8">
      <c r="A56" t="s">
        <v>612</v>
      </c>
      <c r="B56" t="s">
        <v>111</v>
      </c>
      <c r="C56">
        <v>132000</v>
      </c>
      <c r="D56" t="s">
        <v>4</v>
      </c>
      <c r="E56" t="s">
        <v>4</v>
      </c>
      <c r="H56" s="7" t="s">
        <v>1085</v>
      </c>
    </row>
    <row r="57" spans="1:8">
      <c r="A57" t="s">
        <v>612</v>
      </c>
      <c r="B57" t="s">
        <v>111</v>
      </c>
      <c r="C57">
        <v>132000</v>
      </c>
      <c r="D57" t="s">
        <v>4</v>
      </c>
      <c r="E57" t="s">
        <v>4</v>
      </c>
      <c r="H57" s="7" t="s">
        <v>1142</v>
      </c>
    </row>
    <row r="58" spans="1:8">
      <c r="A58" t="s">
        <v>612</v>
      </c>
      <c r="B58" t="s">
        <v>841</v>
      </c>
      <c r="C58">
        <v>132000</v>
      </c>
      <c r="D58" t="s">
        <v>4</v>
      </c>
      <c r="E58" t="s">
        <v>4</v>
      </c>
      <c r="H58" s="7" t="s">
        <v>1209</v>
      </c>
    </row>
    <row r="59" spans="1:8">
      <c r="A59" t="s">
        <v>612</v>
      </c>
      <c r="B59" t="s">
        <v>841</v>
      </c>
      <c r="C59">
        <v>132000</v>
      </c>
      <c r="D59" t="s">
        <v>4</v>
      </c>
      <c r="E59" t="s">
        <v>4</v>
      </c>
      <c r="H59" s="7" t="s">
        <v>1253</v>
      </c>
    </row>
    <row r="60" spans="1:8">
      <c r="A60" t="s">
        <v>612</v>
      </c>
      <c r="B60" t="s">
        <v>841</v>
      </c>
      <c r="C60">
        <v>132000</v>
      </c>
      <c r="D60" t="s">
        <v>4</v>
      </c>
      <c r="E60" t="s">
        <v>4</v>
      </c>
      <c r="H60" s="7" t="s">
        <v>1293</v>
      </c>
    </row>
    <row r="61" spans="1:8">
      <c r="A61" t="s">
        <v>612</v>
      </c>
      <c r="B61" t="s">
        <v>841</v>
      </c>
      <c r="C61">
        <v>132000</v>
      </c>
      <c r="D61" t="s">
        <v>4</v>
      </c>
      <c r="E61" t="s">
        <v>4</v>
      </c>
      <c r="H61" s="7" t="s">
        <v>1163</v>
      </c>
    </row>
    <row r="62" spans="1:8">
      <c r="A62" t="s">
        <v>612</v>
      </c>
      <c r="B62" t="s">
        <v>609</v>
      </c>
      <c r="C62">
        <v>132000</v>
      </c>
      <c r="D62" t="s">
        <v>4</v>
      </c>
      <c r="E62" t="s">
        <v>4</v>
      </c>
      <c r="H62" s="7" t="s">
        <v>1140</v>
      </c>
    </row>
    <row r="63" spans="1:8">
      <c r="A63" t="s">
        <v>612</v>
      </c>
      <c r="B63" t="s">
        <v>609</v>
      </c>
      <c r="C63">
        <v>132000</v>
      </c>
      <c r="D63" t="s">
        <v>4</v>
      </c>
      <c r="E63" t="s">
        <v>4</v>
      </c>
      <c r="H63" s="7" t="s">
        <v>1236</v>
      </c>
    </row>
    <row r="64" spans="1:8">
      <c r="A64" t="s">
        <v>612</v>
      </c>
      <c r="C64">
        <v>132600</v>
      </c>
      <c r="D64" t="s">
        <v>4</v>
      </c>
      <c r="E64" t="s">
        <v>4</v>
      </c>
      <c r="H64" s="7" t="s">
        <v>1167</v>
      </c>
    </row>
    <row r="65" spans="1:8">
      <c r="A65" t="s">
        <v>612</v>
      </c>
      <c r="C65">
        <v>132600</v>
      </c>
      <c r="D65" t="s">
        <v>4</v>
      </c>
      <c r="E65" t="s">
        <v>4</v>
      </c>
      <c r="H65" s="7" t="s">
        <v>1099</v>
      </c>
    </row>
    <row r="66" spans="1:8">
      <c r="A66" t="s">
        <v>614</v>
      </c>
      <c r="B66" t="s">
        <v>1364</v>
      </c>
      <c r="C66">
        <v>140000</v>
      </c>
      <c r="D66" t="s">
        <v>4</v>
      </c>
      <c r="E66" t="s">
        <v>4</v>
      </c>
      <c r="H66" s="7" t="s">
        <v>1451</v>
      </c>
    </row>
    <row r="67" spans="1:8">
      <c r="A67" t="s">
        <v>614</v>
      </c>
      <c r="B67" t="s">
        <v>1365</v>
      </c>
      <c r="C67">
        <v>140000</v>
      </c>
      <c r="D67" t="s">
        <v>4</v>
      </c>
      <c r="E67" t="s">
        <v>4</v>
      </c>
      <c r="H67" s="7" t="s">
        <v>1452</v>
      </c>
    </row>
    <row r="68" spans="1:8">
      <c r="A68" t="s">
        <v>614</v>
      </c>
      <c r="B68" t="s">
        <v>1366</v>
      </c>
      <c r="C68">
        <v>140001</v>
      </c>
      <c r="D68" t="s">
        <v>4</v>
      </c>
      <c r="E68" t="s">
        <v>4</v>
      </c>
      <c r="H68" s="7" t="s">
        <v>1453</v>
      </c>
    </row>
    <row r="69" spans="1:8">
      <c r="A69" t="s">
        <v>614</v>
      </c>
      <c r="B69" t="s">
        <v>1368</v>
      </c>
      <c r="C69">
        <v>140002</v>
      </c>
      <c r="D69" t="s">
        <v>4</v>
      </c>
      <c r="E69" t="s">
        <v>4</v>
      </c>
      <c r="H69" s="7" t="s">
        <v>1454</v>
      </c>
    </row>
    <row r="70" spans="1:8">
      <c r="A70" t="s">
        <v>614</v>
      </c>
      <c r="B70" t="s">
        <v>1367</v>
      </c>
      <c r="C70">
        <v>140003</v>
      </c>
      <c r="D70" t="s">
        <v>4</v>
      </c>
      <c r="E70" t="s">
        <v>4</v>
      </c>
      <c r="H70" s="7" t="s">
        <v>1455</v>
      </c>
    </row>
    <row r="71" spans="1:8">
      <c r="A71" t="s">
        <v>610</v>
      </c>
      <c r="B71" t="s">
        <v>590</v>
      </c>
      <c r="C71">
        <v>140700</v>
      </c>
      <c r="D71" t="s">
        <v>4</v>
      </c>
      <c r="E71" t="s">
        <v>4</v>
      </c>
      <c r="H71" s="7" t="s">
        <v>634</v>
      </c>
    </row>
    <row r="72" spans="1:8">
      <c r="A72" t="s">
        <v>613</v>
      </c>
      <c r="B72" t="s">
        <v>1066</v>
      </c>
      <c r="C72">
        <v>170000</v>
      </c>
      <c r="D72" t="s">
        <v>4</v>
      </c>
      <c r="E72" t="s">
        <v>4</v>
      </c>
      <c r="H72" s="7" t="s">
        <v>639</v>
      </c>
    </row>
    <row r="73" spans="1:8">
      <c r="A73" t="s">
        <v>613</v>
      </c>
      <c r="B73" t="s">
        <v>1066</v>
      </c>
      <c r="C73">
        <v>170000</v>
      </c>
      <c r="D73" t="s">
        <v>4</v>
      </c>
      <c r="E73" t="s">
        <v>4</v>
      </c>
      <c r="H73" s="7" t="s">
        <v>1456</v>
      </c>
    </row>
    <row r="74" spans="1:8">
      <c r="A74" t="s">
        <v>1087</v>
      </c>
      <c r="B74" t="s">
        <v>1066</v>
      </c>
      <c r="C74">
        <v>170000</v>
      </c>
      <c r="D74" t="s">
        <v>4</v>
      </c>
      <c r="E74" t="s">
        <v>4</v>
      </c>
      <c r="H74" s="7" t="s">
        <v>1305</v>
      </c>
    </row>
    <row r="75" spans="1:8">
      <c r="A75" t="s">
        <v>1087</v>
      </c>
      <c r="B75" t="s">
        <v>1066</v>
      </c>
      <c r="C75">
        <v>170000</v>
      </c>
      <c r="D75" t="s">
        <v>4</v>
      </c>
      <c r="E75" t="s">
        <v>4</v>
      </c>
      <c r="H75" s="7" t="s">
        <v>1111</v>
      </c>
    </row>
    <row r="76" spans="1:8">
      <c r="A76" t="s">
        <v>1087</v>
      </c>
      <c r="B76" t="s">
        <v>1066</v>
      </c>
      <c r="C76">
        <v>170000</v>
      </c>
      <c r="D76" t="s">
        <v>4</v>
      </c>
      <c r="E76" t="s">
        <v>4</v>
      </c>
      <c r="H76" s="7" t="s">
        <v>1457</v>
      </c>
    </row>
    <row r="77" spans="1:8">
      <c r="A77" t="s">
        <v>613</v>
      </c>
      <c r="B77" t="s">
        <v>1066</v>
      </c>
      <c r="C77">
        <v>171100</v>
      </c>
      <c r="D77" t="s">
        <v>4</v>
      </c>
      <c r="E77" t="s">
        <v>4</v>
      </c>
      <c r="H77" s="7" t="s">
        <v>776</v>
      </c>
    </row>
    <row r="78" spans="1:8">
      <c r="A78" t="s">
        <v>613</v>
      </c>
      <c r="B78" t="s">
        <v>1066</v>
      </c>
      <c r="C78">
        <v>171100</v>
      </c>
      <c r="D78" t="s">
        <v>4</v>
      </c>
      <c r="E78" t="s">
        <v>4</v>
      </c>
      <c r="H78" s="7" t="s">
        <v>642</v>
      </c>
    </row>
    <row r="79" spans="1:8">
      <c r="A79" t="s">
        <v>1087</v>
      </c>
      <c r="B79" t="s">
        <v>1066</v>
      </c>
      <c r="C79">
        <v>171100</v>
      </c>
      <c r="D79" t="s">
        <v>4</v>
      </c>
      <c r="E79" t="s">
        <v>4</v>
      </c>
      <c r="H79" s="7" t="s">
        <v>1126</v>
      </c>
    </row>
    <row r="80" spans="1:8">
      <c r="A80" t="s">
        <v>1087</v>
      </c>
      <c r="B80" t="s">
        <v>1066</v>
      </c>
      <c r="C80">
        <v>171100</v>
      </c>
      <c r="D80" t="s">
        <v>4</v>
      </c>
      <c r="E80" t="s">
        <v>4</v>
      </c>
      <c r="H80" s="7" t="s">
        <v>1105</v>
      </c>
    </row>
    <row r="81" spans="1:8">
      <c r="A81" t="s">
        <v>1087</v>
      </c>
      <c r="B81" t="s">
        <v>1066</v>
      </c>
      <c r="C81">
        <v>171100</v>
      </c>
      <c r="D81" t="s">
        <v>4</v>
      </c>
      <c r="E81" t="s">
        <v>4</v>
      </c>
      <c r="H81" s="7" t="s">
        <v>1458</v>
      </c>
    </row>
    <row r="82" spans="1:8">
      <c r="A82" t="s">
        <v>612</v>
      </c>
      <c r="B82" t="s">
        <v>110</v>
      </c>
      <c r="C82">
        <v>171200</v>
      </c>
      <c r="D82" t="s">
        <v>4</v>
      </c>
      <c r="E82" t="s">
        <v>4</v>
      </c>
      <c r="H82" s="7" t="s">
        <v>1238</v>
      </c>
    </row>
    <row r="83" spans="1:8">
      <c r="A83" t="s">
        <v>612</v>
      </c>
      <c r="B83" t="s">
        <v>110</v>
      </c>
      <c r="C83">
        <v>171200</v>
      </c>
      <c r="D83" t="s">
        <v>4</v>
      </c>
      <c r="E83" t="s">
        <v>4</v>
      </c>
      <c r="H83" s="7" t="s">
        <v>1278</v>
      </c>
    </row>
    <row r="84" spans="1:8">
      <c r="A84" t="s">
        <v>612</v>
      </c>
      <c r="B84" t="s">
        <v>110</v>
      </c>
      <c r="C84">
        <v>171200</v>
      </c>
      <c r="D84" t="s">
        <v>4</v>
      </c>
      <c r="E84" t="s">
        <v>4</v>
      </c>
      <c r="H84" s="7" t="s">
        <v>1230</v>
      </c>
    </row>
    <row r="85" spans="1:8">
      <c r="A85" t="s">
        <v>612</v>
      </c>
      <c r="B85" t="s">
        <v>110</v>
      </c>
      <c r="C85">
        <v>172000</v>
      </c>
      <c r="D85" t="s">
        <v>4</v>
      </c>
      <c r="E85" t="s">
        <v>4</v>
      </c>
      <c r="H85" s="7" t="s">
        <v>1199</v>
      </c>
    </row>
    <row r="86" spans="1:8">
      <c r="A86" t="s">
        <v>612</v>
      </c>
      <c r="B86" t="s">
        <v>110</v>
      </c>
      <c r="C86">
        <v>172000</v>
      </c>
      <c r="D86" t="s">
        <v>4</v>
      </c>
      <c r="E86" t="s">
        <v>4</v>
      </c>
      <c r="H86" s="7" t="s">
        <v>1146</v>
      </c>
    </row>
    <row r="87" spans="1:8">
      <c r="A87" t="s">
        <v>612</v>
      </c>
      <c r="B87" t="s">
        <v>110</v>
      </c>
      <c r="C87">
        <v>172000</v>
      </c>
      <c r="D87" t="s">
        <v>4</v>
      </c>
      <c r="E87" t="s">
        <v>4</v>
      </c>
      <c r="H87" s="7" t="s">
        <v>1219</v>
      </c>
    </row>
    <row r="88" spans="1:8">
      <c r="A88" t="s">
        <v>613</v>
      </c>
      <c r="B88" t="s">
        <v>1066</v>
      </c>
      <c r="C88">
        <v>172000</v>
      </c>
      <c r="D88" t="s">
        <v>4</v>
      </c>
      <c r="E88" t="s">
        <v>4</v>
      </c>
      <c r="H88" s="7" t="s">
        <v>637</v>
      </c>
    </row>
    <row r="89" spans="1:8">
      <c r="A89" t="s">
        <v>613</v>
      </c>
      <c r="B89" t="s">
        <v>1066</v>
      </c>
      <c r="C89">
        <v>172000</v>
      </c>
      <c r="D89" t="s">
        <v>4</v>
      </c>
      <c r="E89" t="s">
        <v>4</v>
      </c>
      <c r="H89" s="7" t="s">
        <v>650</v>
      </c>
    </row>
    <row r="90" spans="1:8">
      <c r="A90" t="s">
        <v>1087</v>
      </c>
      <c r="B90" t="s">
        <v>1066</v>
      </c>
      <c r="C90">
        <v>172000</v>
      </c>
      <c r="D90" t="s">
        <v>4</v>
      </c>
      <c r="E90" t="s">
        <v>4</v>
      </c>
      <c r="H90" s="7" t="s">
        <v>1124</v>
      </c>
    </row>
    <row r="91" spans="1:8">
      <c r="A91" t="s">
        <v>1087</v>
      </c>
      <c r="B91" t="s">
        <v>1066</v>
      </c>
      <c r="C91">
        <v>172000</v>
      </c>
      <c r="D91" t="s">
        <v>4</v>
      </c>
      <c r="E91" t="s">
        <v>4</v>
      </c>
      <c r="H91" s="7" t="s">
        <v>1125</v>
      </c>
    </row>
    <row r="92" spans="1:8">
      <c r="A92" t="s">
        <v>1087</v>
      </c>
      <c r="B92" t="s">
        <v>1066</v>
      </c>
      <c r="C92">
        <v>172000</v>
      </c>
      <c r="D92" t="s">
        <v>4</v>
      </c>
      <c r="E92" t="s">
        <v>4</v>
      </c>
      <c r="H92" s="7" t="s">
        <v>1459</v>
      </c>
    </row>
    <row r="93" spans="1:8">
      <c r="A93" t="s">
        <v>612</v>
      </c>
      <c r="B93" t="s">
        <v>110</v>
      </c>
      <c r="C93">
        <v>172100</v>
      </c>
      <c r="D93" t="s">
        <v>4</v>
      </c>
      <c r="E93" t="s">
        <v>4</v>
      </c>
      <c r="H93" s="7" t="s">
        <v>1228</v>
      </c>
    </row>
    <row r="94" spans="1:8">
      <c r="A94" t="s">
        <v>612</v>
      </c>
      <c r="B94" t="s">
        <v>110</v>
      </c>
      <c r="C94">
        <v>172100</v>
      </c>
      <c r="D94" t="s">
        <v>4</v>
      </c>
      <c r="E94" t="s">
        <v>4</v>
      </c>
      <c r="H94" s="7" t="s">
        <v>1100</v>
      </c>
    </row>
    <row r="95" spans="1:8">
      <c r="A95" t="s">
        <v>612</v>
      </c>
      <c r="B95" t="s">
        <v>110</v>
      </c>
      <c r="C95">
        <v>172100</v>
      </c>
      <c r="D95" t="s">
        <v>4</v>
      </c>
      <c r="E95" t="s">
        <v>4</v>
      </c>
      <c r="H95" s="7" t="s">
        <v>1237</v>
      </c>
    </row>
    <row r="96" spans="1:8">
      <c r="A96" t="s">
        <v>612</v>
      </c>
      <c r="B96" t="s">
        <v>110</v>
      </c>
      <c r="C96">
        <v>172200</v>
      </c>
      <c r="D96" t="s">
        <v>4</v>
      </c>
      <c r="E96" t="s">
        <v>4</v>
      </c>
      <c r="H96" s="7" t="s">
        <v>1165</v>
      </c>
    </row>
    <row r="97" spans="1:8">
      <c r="A97" t="s">
        <v>612</v>
      </c>
      <c r="B97" t="s">
        <v>110</v>
      </c>
      <c r="C97">
        <v>172200</v>
      </c>
      <c r="D97" t="s">
        <v>4</v>
      </c>
      <c r="E97" t="s">
        <v>4</v>
      </c>
      <c r="H97" s="7" t="s">
        <v>1184</v>
      </c>
    </row>
    <row r="98" spans="1:8">
      <c r="A98" t="s">
        <v>612</v>
      </c>
      <c r="B98" t="s">
        <v>110</v>
      </c>
      <c r="C98">
        <v>172200</v>
      </c>
      <c r="D98" t="s">
        <v>4</v>
      </c>
      <c r="E98" t="s">
        <v>4</v>
      </c>
      <c r="H98" s="7" t="s">
        <v>1252</v>
      </c>
    </row>
    <row r="99" spans="1:8">
      <c r="A99" t="s">
        <v>612</v>
      </c>
      <c r="B99" t="s">
        <v>110</v>
      </c>
      <c r="C99">
        <v>172300</v>
      </c>
      <c r="D99" t="s">
        <v>4</v>
      </c>
      <c r="E99" t="s">
        <v>4</v>
      </c>
      <c r="H99" s="7" t="s">
        <v>1174</v>
      </c>
    </row>
    <row r="100" spans="1:8">
      <c r="A100" t="s">
        <v>612</v>
      </c>
      <c r="B100" t="s">
        <v>110</v>
      </c>
      <c r="C100">
        <v>172300</v>
      </c>
      <c r="D100" t="s">
        <v>4</v>
      </c>
      <c r="E100" t="s">
        <v>4</v>
      </c>
      <c r="H100" s="7" t="s">
        <v>1081</v>
      </c>
    </row>
    <row r="101" spans="1:8">
      <c r="A101" t="s">
        <v>612</v>
      </c>
      <c r="B101" t="s">
        <v>110</v>
      </c>
      <c r="C101">
        <v>172300</v>
      </c>
      <c r="D101" t="s">
        <v>4</v>
      </c>
      <c r="E101" t="s">
        <v>4</v>
      </c>
      <c r="H101" s="7" t="s">
        <v>1207</v>
      </c>
    </row>
    <row r="102" spans="1:8">
      <c r="A102" t="s">
        <v>613</v>
      </c>
      <c r="B102" t="s">
        <v>1066</v>
      </c>
      <c r="C102">
        <v>172300</v>
      </c>
      <c r="D102" t="s">
        <v>4</v>
      </c>
      <c r="E102" t="s">
        <v>4</v>
      </c>
      <c r="H102" s="7" t="s">
        <v>643</v>
      </c>
    </row>
    <row r="103" spans="1:8">
      <c r="A103" t="s">
        <v>613</v>
      </c>
      <c r="B103" t="s">
        <v>1066</v>
      </c>
      <c r="C103">
        <v>172300</v>
      </c>
      <c r="D103" t="s">
        <v>4</v>
      </c>
      <c r="E103" t="s">
        <v>4</v>
      </c>
      <c r="H103" s="7" t="s">
        <v>1460</v>
      </c>
    </row>
    <row r="104" spans="1:8">
      <c r="A104" t="s">
        <v>1087</v>
      </c>
      <c r="B104" t="s">
        <v>1066</v>
      </c>
      <c r="C104">
        <v>172300</v>
      </c>
      <c r="D104" t="s">
        <v>4</v>
      </c>
      <c r="E104" t="s">
        <v>4</v>
      </c>
      <c r="H104" s="7" t="s">
        <v>1128</v>
      </c>
    </row>
    <row r="105" spans="1:8">
      <c r="A105" t="s">
        <v>1087</v>
      </c>
      <c r="B105" t="s">
        <v>1066</v>
      </c>
      <c r="C105">
        <v>172300</v>
      </c>
      <c r="D105" t="s">
        <v>4</v>
      </c>
      <c r="E105" t="s">
        <v>4</v>
      </c>
      <c r="H105" s="7" t="s">
        <v>1107</v>
      </c>
    </row>
    <row r="106" spans="1:8">
      <c r="A106" t="s">
        <v>1087</v>
      </c>
      <c r="B106" t="s">
        <v>1066</v>
      </c>
      <c r="C106">
        <v>172300</v>
      </c>
      <c r="D106" t="s">
        <v>4</v>
      </c>
      <c r="E106" t="s">
        <v>4</v>
      </c>
      <c r="H106" s="7" t="s">
        <v>1461</v>
      </c>
    </row>
    <row r="107" spans="1:8">
      <c r="A107" t="s">
        <v>612</v>
      </c>
      <c r="B107" t="s">
        <v>110</v>
      </c>
      <c r="C107">
        <v>172400</v>
      </c>
      <c r="D107" t="s">
        <v>4</v>
      </c>
      <c r="E107" t="s">
        <v>4</v>
      </c>
      <c r="G107" t="s">
        <v>1314</v>
      </c>
      <c r="H107" s="7" t="s">
        <v>1231</v>
      </c>
    </row>
    <row r="108" spans="1:8">
      <c r="A108" t="s">
        <v>612</v>
      </c>
      <c r="B108" t="s">
        <v>110</v>
      </c>
      <c r="C108">
        <v>172400</v>
      </c>
      <c r="D108" t="s">
        <v>4</v>
      </c>
      <c r="E108" t="s">
        <v>4</v>
      </c>
      <c r="G108" t="s">
        <v>1314</v>
      </c>
      <c r="H108" s="7" t="s">
        <v>1177</v>
      </c>
    </row>
    <row r="109" spans="1:8">
      <c r="A109" t="s">
        <v>612</v>
      </c>
      <c r="B109" t="s">
        <v>110</v>
      </c>
      <c r="C109">
        <v>172400</v>
      </c>
      <c r="D109" t="s">
        <v>4</v>
      </c>
      <c r="E109" t="s">
        <v>4</v>
      </c>
      <c r="G109" t="s">
        <v>1314</v>
      </c>
      <c r="H109" s="7" t="s">
        <v>1149</v>
      </c>
    </row>
    <row r="110" spans="1:8">
      <c r="A110" t="s">
        <v>613</v>
      </c>
      <c r="B110" t="s">
        <v>1066</v>
      </c>
      <c r="C110">
        <v>172400</v>
      </c>
      <c r="D110" t="s">
        <v>4</v>
      </c>
      <c r="E110" t="s">
        <v>4</v>
      </c>
      <c r="G110" t="s">
        <v>1314</v>
      </c>
      <c r="H110" s="7" t="s">
        <v>636</v>
      </c>
    </row>
    <row r="111" spans="1:8">
      <c r="A111" t="s">
        <v>613</v>
      </c>
      <c r="B111" t="s">
        <v>1066</v>
      </c>
      <c r="C111">
        <v>172400</v>
      </c>
      <c r="D111" t="s">
        <v>4</v>
      </c>
      <c r="E111" t="s">
        <v>4</v>
      </c>
      <c r="G111" t="s">
        <v>1314</v>
      </c>
      <c r="H111" s="7" t="s">
        <v>649</v>
      </c>
    </row>
    <row r="112" spans="1:8">
      <c r="A112" t="s">
        <v>613</v>
      </c>
      <c r="B112" t="s">
        <v>1066</v>
      </c>
      <c r="C112">
        <v>172400</v>
      </c>
      <c r="D112" t="s">
        <v>4</v>
      </c>
      <c r="E112" t="s">
        <v>4</v>
      </c>
      <c r="G112" t="s">
        <v>1314</v>
      </c>
      <c r="H112" s="7" t="s">
        <v>640</v>
      </c>
    </row>
    <row r="113" spans="1:8">
      <c r="A113" t="s">
        <v>613</v>
      </c>
      <c r="B113" t="s">
        <v>1066</v>
      </c>
      <c r="C113">
        <v>172400</v>
      </c>
      <c r="D113" t="s">
        <v>4</v>
      </c>
      <c r="E113" t="s">
        <v>4</v>
      </c>
      <c r="G113" t="s">
        <v>1314</v>
      </c>
      <c r="H113" s="7" t="s">
        <v>651</v>
      </c>
    </row>
    <row r="114" spans="1:8">
      <c r="A114" t="s">
        <v>613</v>
      </c>
      <c r="B114" t="s">
        <v>1066</v>
      </c>
      <c r="C114">
        <v>172400</v>
      </c>
      <c r="D114" t="s">
        <v>4</v>
      </c>
      <c r="E114" t="s">
        <v>4</v>
      </c>
      <c r="G114" t="s">
        <v>1314</v>
      </c>
      <c r="H114" s="7" t="s">
        <v>1462</v>
      </c>
    </row>
    <row r="115" spans="1:8">
      <c r="A115" t="s">
        <v>613</v>
      </c>
      <c r="B115" t="s">
        <v>1066</v>
      </c>
      <c r="C115">
        <v>172400</v>
      </c>
      <c r="D115" t="s">
        <v>4</v>
      </c>
      <c r="E115" t="s">
        <v>4</v>
      </c>
      <c r="G115" t="s">
        <v>1314</v>
      </c>
      <c r="H115" s="7" t="s">
        <v>1463</v>
      </c>
    </row>
    <row r="116" spans="1:8">
      <c r="A116" t="s">
        <v>1087</v>
      </c>
      <c r="B116" t="s">
        <v>1066</v>
      </c>
      <c r="C116">
        <v>172400</v>
      </c>
      <c r="D116" t="s">
        <v>4</v>
      </c>
      <c r="E116" t="s">
        <v>4</v>
      </c>
      <c r="G116" t="s">
        <v>1314</v>
      </c>
      <c r="H116" s="7" t="s">
        <v>1106</v>
      </c>
    </row>
    <row r="117" spans="1:8">
      <c r="A117" t="s">
        <v>1087</v>
      </c>
      <c r="B117" t="s">
        <v>1066</v>
      </c>
      <c r="C117">
        <v>172400</v>
      </c>
      <c r="D117" t="s">
        <v>4</v>
      </c>
      <c r="E117" t="s">
        <v>4</v>
      </c>
      <c r="G117" t="s">
        <v>1314</v>
      </c>
      <c r="H117" s="7" t="s">
        <v>1312</v>
      </c>
    </row>
    <row r="118" spans="1:8">
      <c r="A118" t="s">
        <v>1087</v>
      </c>
      <c r="B118" t="s">
        <v>1066</v>
      </c>
      <c r="C118">
        <v>172400</v>
      </c>
      <c r="D118" t="s">
        <v>4</v>
      </c>
      <c r="E118" t="s">
        <v>4</v>
      </c>
      <c r="G118" t="s">
        <v>1314</v>
      </c>
      <c r="H118" s="7" t="s">
        <v>1304</v>
      </c>
    </row>
    <row r="119" spans="1:8">
      <c r="A119" t="s">
        <v>1087</v>
      </c>
      <c r="B119" t="s">
        <v>1066</v>
      </c>
      <c r="C119">
        <v>172400</v>
      </c>
      <c r="D119" t="s">
        <v>4</v>
      </c>
      <c r="E119" t="s">
        <v>4</v>
      </c>
      <c r="G119" t="s">
        <v>1314</v>
      </c>
      <c r="H119" s="7" t="s">
        <v>1313</v>
      </c>
    </row>
    <row r="120" spans="1:8">
      <c r="A120" t="s">
        <v>1087</v>
      </c>
      <c r="B120" t="s">
        <v>1066</v>
      </c>
      <c r="C120">
        <v>172400</v>
      </c>
      <c r="D120" t="s">
        <v>4</v>
      </c>
      <c r="E120" t="s">
        <v>4</v>
      </c>
      <c r="G120" t="s">
        <v>1314</v>
      </c>
      <c r="H120" s="7" t="s">
        <v>1117</v>
      </c>
    </row>
    <row r="121" spans="1:8">
      <c r="A121" t="s">
        <v>1087</v>
      </c>
      <c r="B121" t="s">
        <v>1066</v>
      </c>
      <c r="C121">
        <v>172400</v>
      </c>
      <c r="D121" t="s">
        <v>4</v>
      </c>
      <c r="E121" t="s">
        <v>4</v>
      </c>
      <c r="G121" t="s">
        <v>1314</v>
      </c>
      <c r="H121" s="7" t="s">
        <v>1112</v>
      </c>
    </row>
    <row r="122" spans="1:8">
      <c r="A122" t="s">
        <v>1087</v>
      </c>
      <c r="B122" t="s">
        <v>1066</v>
      </c>
      <c r="C122">
        <v>172400</v>
      </c>
      <c r="D122" t="s">
        <v>4</v>
      </c>
      <c r="E122" t="s">
        <v>4</v>
      </c>
      <c r="G122" t="s">
        <v>1314</v>
      </c>
      <c r="H122" s="7" t="s">
        <v>1464</v>
      </c>
    </row>
    <row r="123" spans="1:8">
      <c r="A123" t="s">
        <v>1087</v>
      </c>
      <c r="B123" t="s">
        <v>1066</v>
      </c>
      <c r="C123">
        <v>172400</v>
      </c>
      <c r="D123" t="s">
        <v>4</v>
      </c>
      <c r="E123" t="s">
        <v>4</v>
      </c>
      <c r="G123" t="s">
        <v>1314</v>
      </c>
      <c r="H123" s="7" t="s">
        <v>1465</v>
      </c>
    </row>
    <row r="124" spans="1:8">
      <c r="A124" t="s">
        <v>1087</v>
      </c>
      <c r="B124" t="s">
        <v>1066</v>
      </c>
      <c r="C124">
        <v>172400</v>
      </c>
      <c r="D124" t="s">
        <v>4</v>
      </c>
      <c r="E124" t="s">
        <v>4</v>
      </c>
      <c r="G124" t="s">
        <v>1314</v>
      </c>
      <c r="H124" s="7" t="s">
        <v>1466</v>
      </c>
    </row>
    <row r="125" spans="1:8">
      <c r="A125" t="s">
        <v>613</v>
      </c>
      <c r="B125" t="s">
        <v>1066</v>
      </c>
      <c r="C125">
        <v>172401</v>
      </c>
      <c r="D125" t="s">
        <v>4</v>
      </c>
      <c r="E125" t="s">
        <v>4</v>
      </c>
      <c r="H125" s="7" t="s">
        <v>641</v>
      </c>
    </row>
    <row r="126" spans="1:8">
      <c r="A126" t="s">
        <v>613</v>
      </c>
      <c r="B126" t="s">
        <v>1066</v>
      </c>
      <c r="C126">
        <v>172401</v>
      </c>
      <c r="D126" t="s">
        <v>4</v>
      </c>
      <c r="E126" t="s">
        <v>4</v>
      </c>
      <c r="H126" s="7" t="s">
        <v>1467</v>
      </c>
    </row>
    <row r="127" spans="1:8">
      <c r="A127" t="s">
        <v>1087</v>
      </c>
      <c r="B127" t="s">
        <v>1066</v>
      </c>
      <c r="C127">
        <v>172401</v>
      </c>
      <c r="D127" t="s">
        <v>4</v>
      </c>
      <c r="E127" t="s">
        <v>4</v>
      </c>
      <c r="H127" s="7" t="s">
        <v>1118</v>
      </c>
    </row>
    <row r="128" spans="1:8">
      <c r="A128" t="s">
        <v>1087</v>
      </c>
      <c r="B128" t="s">
        <v>1066</v>
      </c>
      <c r="C128">
        <v>172401</v>
      </c>
      <c r="D128" t="s">
        <v>4</v>
      </c>
      <c r="E128" t="s">
        <v>4</v>
      </c>
      <c r="H128" s="7" t="s">
        <v>1090</v>
      </c>
    </row>
    <row r="129" spans="1:8">
      <c r="A129" t="s">
        <v>1087</v>
      </c>
      <c r="B129" t="s">
        <v>1066</v>
      </c>
      <c r="C129">
        <v>172401</v>
      </c>
      <c r="D129" t="s">
        <v>4</v>
      </c>
      <c r="E129" t="s">
        <v>4</v>
      </c>
      <c r="H129" s="7" t="s">
        <v>1468</v>
      </c>
    </row>
    <row r="130" spans="1:8">
      <c r="A130" t="s">
        <v>613</v>
      </c>
      <c r="B130" t="s">
        <v>1066</v>
      </c>
      <c r="C130">
        <v>172402</v>
      </c>
      <c r="D130" t="s">
        <v>4</v>
      </c>
      <c r="E130" t="s">
        <v>4</v>
      </c>
      <c r="H130" s="7" t="s">
        <v>638</v>
      </c>
    </row>
    <row r="131" spans="1:8">
      <c r="A131" t="s">
        <v>613</v>
      </c>
      <c r="B131" t="s">
        <v>1066</v>
      </c>
      <c r="C131">
        <v>172402</v>
      </c>
      <c r="D131" t="s">
        <v>4</v>
      </c>
      <c r="E131" t="s">
        <v>4</v>
      </c>
      <c r="H131" s="7" t="s">
        <v>1469</v>
      </c>
    </row>
    <row r="132" spans="1:8">
      <c r="A132" t="s">
        <v>1087</v>
      </c>
      <c r="B132" t="s">
        <v>1066</v>
      </c>
      <c r="C132">
        <v>172402</v>
      </c>
      <c r="D132" t="s">
        <v>4</v>
      </c>
      <c r="E132" t="s">
        <v>4</v>
      </c>
      <c r="H132" s="7" t="s">
        <v>1095</v>
      </c>
    </row>
    <row r="133" spans="1:8">
      <c r="A133" t="s">
        <v>1087</v>
      </c>
      <c r="B133" t="s">
        <v>1066</v>
      </c>
      <c r="C133">
        <v>172402</v>
      </c>
      <c r="D133" t="s">
        <v>4</v>
      </c>
      <c r="E133" t="s">
        <v>4</v>
      </c>
      <c r="H133" s="7" t="s">
        <v>1127</v>
      </c>
    </row>
    <row r="134" spans="1:8">
      <c r="A134" t="s">
        <v>1087</v>
      </c>
      <c r="B134" t="s">
        <v>1066</v>
      </c>
      <c r="C134">
        <v>172402</v>
      </c>
      <c r="D134" t="s">
        <v>4</v>
      </c>
      <c r="E134" t="s">
        <v>4</v>
      </c>
      <c r="H134" s="7" t="s">
        <v>1470</v>
      </c>
    </row>
    <row r="135" spans="1:8">
      <c r="A135" t="s">
        <v>613</v>
      </c>
      <c r="B135" t="s">
        <v>1066</v>
      </c>
      <c r="C135">
        <v>173100</v>
      </c>
      <c r="D135" t="s">
        <v>4</v>
      </c>
      <c r="E135" t="s">
        <v>4</v>
      </c>
      <c r="H135" s="7" t="s">
        <v>1471</v>
      </c>
    </row>
    <row r="136" spans="1:8">
      <c r="A136" t="s">
        <v>1087</v>
      </c>
      <c r="B136" t="s">
        <v>1066</v>
      </c>
      <c r="C136">
        <v>173100</v>
      </c>
      <c r="D136" t="s">
        <v>4</v>
      </c>
      <c r="E136" t="s">
        <v>4</v>
      </c>
      <c r="H136" s="7" t="s">
        <v>1113</v>
      </c>
    </row>
    <row r="137" spans="1:8">
      <c r="A137" t="s">
        <v>1087</v>
      </c>
      <c r="B137" t="s">
        <v>1066</v>
      </c>
      <c r="C137">
        <v>173100</v>
      </c>
      <c r="D137" t="s">
        <v>4</v>
      </c>
      <c r="E137" t="s">
        <v>4</v>
      </c>
      <c r="H137" s="7" t="s">
        <v>1114</v>
      </c>
    </row>
    <row r="138" spans="1:8">
      <c r="A138" t="s">
        <v>1087</v>
      </c>
      <c r="B138" t="s">
        <v>1066</v>
      </c>
      <c r="C138">
        <v>173100</v>
      </c>
      <c r="D138" t="s">
        <v>4</v>
      </c>
      <c r="E138" t="s">
        <v>4</v>
      </c>
      <c r="H138" s="7" t="s">
        <v>644</v>
      </c>
    </row>
    <row r="139" spans="1:8">
      <c r="A139" t="s">
        <v>1087</v>
      </c>
      <c r="B139" t="s">
        <v>1066</v>
      </c>
      <c r="C139">
        <v>173100</v>
      </c>
      <c r="D139" t="s">
        <v>4</v>
      </c>
      <c r="E139" t="s">
        <v>4</v>
      </c>
      <c r="H139" s="7" t="s">
        <v>1306</v>
      </c>
    </row>
    <row r="140" spans="1:8">
      <c r="A140" t="s">
        <v>1087</v>
      </c>
      <c r="B140" t="s">
        <v>1066</v>
      </c>
      <c r="C140">
        <v>173100</v>
      </c>
      <c r="D140" t="s">
        <v>4</v>
      </c>
      <c r="E140" t="s">
        <v>4</v>
      </c>
      <c r="H140" s="7" t="s">
        <v>1472</v>
      </c>
    </row>
    <row r="141" spans="1:8">
      <c r="A141" t="s">
        <v>1087</v>
      </c>
      <c r="B141" t="s">
        <v>1066</v>
      </c>
      <c r="C141">
        <v>173100</v>
      </c>
      <c r="D141" t="s">
        <v>4</v>
      </c>
      <c r="E141" t="s">
        <v>4</v>
      </c>
      <c r="H141" s="7" t="s">
        <v>1473</v>
      </c>
    </row>
    <row r="142" spans="1:8">
      <c r="A142" t="s">
        <v>613</v>
      </c>
      <c r="B142" t="s">
        <v>1066</v>
      </c>
      <c r="C142">
        <v>174000</v>
      </c>
      <c r="D142" t="s">
        <v>4</v>
      </c>
      <c r="E142" t="s">
        <v>4</v>
      </c>
      <c r="H142" s="7" t="s">
        <v>1474</v>
      </c>
    </row>
    <row r="143" spans="1:8">
      <c r="A143" t="s">
        <v>1087</v>
      </c>
      <c r="B143" t="s">
        <v>1066</v>
      </c>
      <c r="C143">
        <v>174000</v>
      </c>
      <c r="D143" t="s">
        <v>4</v>
      </c>
      <c r="E143" t="s">
        <v>4</v>
      </c>
      <c r="H143" s="7" t="s">
        <v>1108</v>
      </c>
    </row>
    <row r="144" spans="1:8">
      <c r="A144" t="s">
        <v>1087</v>
      </c>
      <c r="B144" t="s">
        <v>1066</v>
      </c>
      <c r="C144">
        <v>174000</v>
      </c>
      <c r="D144" t="s">
        <v>4</v>
      </c>
      <c r="E144" t="s">
        <v>4</v>
      </c>
      <c r="H144" s="7" t="s">
        <v>1109</v>
      </c>
    </row>
    <row r="145" spans="1:8">
      <c r="A145" t="s">
        <v>1087</v>
      </c>
      <c r="B145" t="s">
        <v>1066</v>
      </c>
      <c r="C145">
        <v>174000</v>
      </c>
      <c r="D145" t="s">
        <v>4</v>
      </c>
      <c r="E145" t="s">
        <v>4</v>
      </c>
      <c r="H145" s="7" t="s">
        <v>1094</v>
      </c>
    </row>
    <row r="146" spans="1:8">
      <c r="A146" t="s">
        <v>1087</v>
      </c>
      <c r="B146" t="s">
        <v>1066</v>
      </c>
      <c r="C146">
        <v>174000</v>
      </c>
      <c r="D146" t="s">
        <v>4</v>
      </c>
      <c r="E146" t="s">
        <v>4</v>
      </c>
      <c r="H146" s="7" t="s">
        <v>1104</v>
      </c>
    </row>
    <row r="147" spans="1:8">
      <c r="A147" t="s">
        <v>1087</v>
      </c>
      <c r="B147" t="s">
        <v>1066</v>
      </c>
      <c r="C147">
        <v>174000</v>
      </c>
      <c r="D147" t="s">
        <v>4</v>
      </c>
      <c r="E147" t="s">
        <v>4</v>
      </c>
      <c r="H147" s="7" t="s">
        <v>1475</v>
      </c>
    </row>
    <row r="148" spans="1:8">
      <c r="A148" t="s">
        <v>1087</v>
      </c>
      <c r="B148" t="s">
        <v>1066</v>
      </c>
      <c r="C148">
        <v>174000</v>
      </c>
      <c r="D148" t="s">
        <v>4</v>
      </c>
      <c r="E148" t="s">
        <v>4</v>
      </c>
      <c r="H148" s="7" t="s">
        <v>1476</v>
      </c>
    </row>
    <row r="149" spans="1:8">
      <c r="A149" t="s">
        <v>613</v>
      </c>
      <c r="B149" t="s">
        <v>1066</v>
      </c>
      <c r="C149">
        <v>174300</v>
      </c>
      <c r="D149" t="s">
        <v>4</v>
      </c>
      <c r="E149" t="s">
        <v>4</v>
      </c>
      <c r="H149" s="7" t="s">
        <v>1477</v>
      </c>
    </row>
    <row r="150" spans="1:8">
      <c r="A150" t="s">
        <v>1087</v>
      </c>
      <c r="B150" t="s">
        <v>1066</v>
      </c>
      <c r="C150">
        <v>174300</v>
      </c>
      <c r="D150" t="s">
        <v>4</v>
      </c>
      <c r="E150" t="s">
        <v>4</v>
      </c>
      <c r="H150" s="7" t="s">
        <v>1093</v>
      </c>
    </row>
    <row r="151" spans="1:8">
      <c r="A151" t="s">
        <v>1087</v>
      </c>
      <c r="B151" t="s">
        <v>1066</v>
      </c>
      <c r="C151">
        <v>174300</v>
      </c>
      <c r="D151" t="s">
        <v>4</v>
      </c>
      <c r="E151" t="s">
        <v>4</v>
      </c>
      <c r="H151" s="7" t="s">
        <v>1303</v>
      </c>
    </row>
    <row r="152" spans="1:8">
      <c r="A152" t="s">
        <v>1087</v>
      </c>
      <c r="B152" t="s">
        <v>1066</v>
      </c>
      <c r="C152">
        <v>174300</v>
      </c>
      <c r="D152" t="s">
        <v>4</v>
      </c>
      <c r="E152" t="s">
        <v>4</v>
      </c>
      <c r="H152" s="7" t="s">
        <v>1123</v>
      </c>
    </row>
    <row r="153" spans="1:8">
      <c r="A153" t="s">
        <v>1087</v>
      </c>
      <c r="B153" t="s">
        <v>1066</v>
      </c>
      <c r="C153">
        <v>174300</v>
      </c>
      <c r="D153" t="s">
        <v>4</v>
      </c>
      <c r="E153" t="s">
        <v>4</v>
      </c>
      <c r="H153" s="7" t="s">
        <v>1478</v>
      </c>
    </row>
    <row r="154" spans="1:8">
      <c r="A154" t="s">
        <v>1087</v>
      </c>
      <c r="B154" t="s">
        <v>1066</v>
      </c>
      <c r="C154">
        <v>174300</v>
      </c>
      <c r="D154" t="s">
        <v>4</v>
      </c>
      <c r="E154" t="s">
        <v>4</v>
      </c>
      <c r="H154" s="7" t="s">
        <v>1479</v>
      </c>
    </row>
    <row r="155" spans="1:8">
      <c r="A155" t="s">
        <v>613</v>
      </c>
      <c r="B155" t="s">
        <v>1066</v>
      </c>
      <c r="C155">
        <v>174400</v>
      </c>
      <c r="D155" t="s">
        <v>4</v>
      </c>
      <c r="E155" t="s">
        <v>4</v>
      </c>
      <c r="H155" s="7" t="s">
        <v>1480</v>
      </c>
    </row>
    <row r="156" spans="1:8">
      <c r="A156" t="s">
        <v>613</v>
      </c>
      <c r="B156" t="s">
        <v>1066</v>
      </c>
      <c r="C156">
        <v>174400</v>
      </c>
      <c r="D156" t="s">
        <v>4</v>
      </c>
      <c r="E156" t="s">
        <v>4</v>
      </c>
      <c r="H156" s="7" t="s">
        <v>1481</v>
      </c>
    </row>
    <row r="157" spans="1:8">
      <c r="A157" t="s">
        <v>613</v>
      </c>
      <c r="B157" t="s">
        <v>1066</v>
      </c>
      <c r="C157">
        <v>174400</v>
      </c>
      <c r="D157" t="s">
        <v>4</v>
      </c>
      <c r="E157" t="s">
        <v>4</v>
      </c>
      <c r="H157" s="7" t="s">
        <v>1482</v>
      </c>
    </row>
    <row r="158" spans="1:8">
      <c r="A158" t="s">
        <v>1087</v>
      </c>
      <c r="B158" t="s">
        <v>1066</v>
      </c>
      <c r="C158">
        <v>174400</v>
      </c>
      <c r="D158" t="s">
        <v>4</v>
      </c>
      <c r="E158" t="s">
        <v>4</v>
      </c>
      <c r="H158" s="7" t="s">
        <v>1119</v>
      </c>
    </row>
    <row r="159" spans="1:8">
      <c r="A159" t="s">
        <v>1087</v>
      </c>
      <c r="B159" t="s">
        <v>1066</v>
      </c>
      <c r="C159">
        <v>174400</v>
      </c>
      <c r="D159" t="s">
        <v>4</v>
      </c>
      <c r="E159" t="s">
        <v>4</v>
      </c>
      <c r="H159" s="7" t="s">
        <v>1120</v>
      </c>
    </row>
    <row r="160" spans="1:8">
      <c r="A160" t="s">
        <v>1087</v>
      </c>
      <c r="B160" t="s">
        <v>1066</v>
      </c>
      <c r="C160">
        <v>174400</v>
      </c>
      <c r="D160" t="s">
        <v>4</v>
      </c>
      <c r="E160" t="s">
        <v>4</v>
      </c>
      <c r="H160" s="7" t="s">
        <v>1110</v>
      </c>
    </row>
    <row r="161" spans="1:8">
      <c r="A161" t="s">
        <v>1087</v>
      </c>
      <c r="B161" t="s">
        <v>1066</v>
      </c>
      <c r="C161">
        <v>174400</v>
      </c>
      <c r="D161" t="s">
        <v>4</v>
      </c>
      <c r="E161" t="s">
        <v>4</v>
      </c>
      <c r="H161" s="7" t="s">
        <v>702</v>
      </c>
    </row>
    <row r="162" spans="1:8">
      <c r="A162" t="s">
        <v>1087</v>
      </c>
      <c r="B162" t="s">
        <v>1066</v>
      </c>
      <c r="C162">
        <v>174400</v>
      </c>
      <c r="D162" t="s">
        <v>4</v>
      </c>
      <c r="E162" t="s">
        <v>4</v>
      </c>
      <c r="H162" s="7" t="s">
        <v>1115</v>
      </c>
    </row>
    <row r="163" spans="1:8">
      <c r="A163" t="s">
        <v>1087</v>
      </c>
      <c r="B163" t="s">
        <v>1066</v>
      </c>
      <c r="C163">
        <v>174400</v>
      </c>
      <c r="D163" t="s">
        <v>4</v>
      </c>
      <c r="E163" t="s">
        <v>4</v>
      </c>
      <c r="H163" s="7" t="s">
        <v>1116</v>
      </c>
    </row>
    <row r="164" spans="1:8">
      <c r="A164" t="s">
        <v>1087</v>
      </c>
      <c r="B164" t="s">
        <v>1066</v>
      </c>
      <c r="C164">
        <v>174400</v>
      </c>
      <c r="D164" t="s">
        <v>4</v>
      </c>
      <c r="E164" t="s">
        <v>4</v>
      </c>
      <c r="H164" s="7" t="s">
        <v>1298</v>
      </c>
    </row>
    <row r="165" spans="1:8">
      <c r="A165" t="s">
        <v>1087</v>
      </c>
      <c r="B165" t="s">
        <v>1066</v>
      </c>
      <c r="C165">
        <v>174400</v>
      </c>
      <c r="D165" t="s">
        <v>4</v>
      </c>
      <c r="E165" t="s">
        <v>4</v>
      </c>
      <c r="H165" s="7" t="s">
        <v>1307</v>
      </c>
    </row>
    <row r="166" spans="1:8">
      <c r="A166" t="s">
        <v>1087</v>
      </c>
      <c r="B166" t="s">
        <v>1066</v>
      </c>
      <c r="C166">
        <v>174400</v>
      </c>
      <c r="D166" t="s">
        <v>4</v>
      </c>
      <c r="E166" t="s">
        <v>4</v>
      </c>
      <c r="H166" s="7" t="s">
        <v>1299</v>
      </c>
    </row>
    <row r="167" spans="1:8">
      <c r="A167" t="s">
        <v>1087</v>
      </c>
      <c r="B167" t="s">
        <v>1066</v>
      </c>
      <c r="C167">
        <v>174400</v>
      </c>
      <c r="D167" t="s">
        <v>4</v>
      </c>
      <c r="E167" t="s">
        <v>4</v>
      </c>
      <c r="H167" s="7" t="s">
        <v>1308</v>
      </c>
    </row>
    <row r="168" spans="1:8">
      <c r="A168" t="s">
        <v>1087</v>
      </c>
      <c r="B168" t="s">
        <v>1066</v>
      </c>
      <c r="C168">
        <v>174400</v>
      </c>
      <c r="D168" t="s">
        <v>4</v>
      </c>
      <c r="E168" t="s">
        <v>4</v>
      </c>
      <c r="H168" s="7" t="s">
        <v>1300</v>
      </c>
    </row>
    <row r="169" spans="1:8">
      <c r="A169" t="s">
        <v>1087</v>
      </c>
      <c r="B169" t="s">
        <v>1066</v>
      </c>
      <c r="C169">
        <v>174400</v>
      </c>
      <c r="D169" t="s">
        <v>4</v>
      </c>
      <c r="E169" t="s">
        <v>4</v>
      </c>
      <c r="H169" s="7" t="s">
        <v>1309</v>
      </c>
    </row>
    <row r="170" spans="1:8">
      <c r="A170" t="s">
        <v>1087</v>
      </c>
      <c r="B170" t="s">
        <v>1066</v>
      </c>
      <c r="C170">
        <v>174400</v>
      </c>
      <c r="D170" t="s">
        <v>4</v>
      </c>
      <c r="E170" t="s">
        <v>4</v>
      </c>
      <c r="H170" s="7" t="s">
        <v>1483</v>
      </c>
    </row>
    <row r="171" spans="1:8">
      <c r="A171" t="s">
        <v>1087</v>
      </c>
      <c r="B171" t="s">
        <v>1066</v>
      </c>
      <c r="C171">
        <v>174400</v>
      </c>
      <c r="D171" t="s">
        <v>4</v>
      </c>
      <c r="E171" t="s">
        <v>4</v>
      </c>
      <c r="H171" s="7" t="s">
        <v>1484</v>
      </c>
    </row>
    <row r="172" spans="1:8">
      <c r="A172" t="s">
        <v>1087</v>
      </c>
      <c r="B172" t="s">
        <v>1066</v>
      </c>
      <c r="C172">
        <v>174400</v>
      </c>
      <c r="D172" t="s">
        <v>4</v>
      </c>
      <c r="E172" t="s">
        <v>4</v>
      </c>
      <c r="H172" s="7" t="s">
        <v>1485</v>
      </c>
    </row>
    <row r="173" spans="1:8">
      <c r="A173" t="s">
        <v>1087</v>
      </c>
      <c r="B173" t="s">
        <v>1066</v>
      </c>
      <c r="C173">
        <v>174400</v>
      </c>
      <c r="D173" t="s">
        <v>4</v>
      </c>
      <c r="E173" t="s">
        <v>4</v>
      </c>
      <c r="H173" s="7" t="s">
        <v>1486</v>
      </c>
    </row>
    <row r="174" spans="1:8">
      <c r="A174" t="s">
        <v>1087</v>
      </c>
      <c r="B174" t="s">
        <v>1066</v>
      </c>
      <c r="C174">
        <v>174400</v>
      </c>
      <c r="D174" t="s">
        <v>4</v>
      </c>
      <c r="E174" t="s">
        <v>4</v>
      </c>
      <c r="H174" s="7" t="s">
        <v>1487</v>
      </c>
    </row>
    <row r="175" spans="1:8">
      <c r="A175" t="s">
        <v>1087</v>
      </c>
      <c r="B175" t="s">
        <v>1066</v>
      </c>
      <c r="C175">
        <v>174400</v>
      </c>
      <c r="D175" t="s">
        <v>4</v>
      </c>
      <c r="E175" t="s">
        <v>4</v>
      </c>
      <c r="H175" s="7" t="s">
        <v>1488</v>
      </c>
    </row>
    <row r="176" spans="1:8">
      <c r="A176" t="s">
        <v>613</v>
      </c>
      <c r="B176" t="s">
        <v>1066</v>
      </c>
      <c r="C176">
        <v>174401</v>
      </c>
      <c r="D176" t="s">
        <v>4</v>
      </c>
      <c r="E176" t="s">
        <v>4</v>
      </c>
      <c r="H176" s="7" t="s">
        <v>1489</v>
      </c>
    </row>
    <row r="177" spans="1:8">
      <c r="A177" t="s">
        <v>1087</v>
      </c>
      <c r="B177" t="s">
        <v>1066</v>
      </c>
      <c r="C177">
        <v>174401</v>
      </c>
      <c r="D177" t="s">
        <v>4</v>
      </c>
      <c r="E177" t="s">
        <v>4</v>
      </c>
      <c r="H177" s="7" t="s">
        <v>1121</v>
      </c>
    </row>
    <row r="178" spans="1:8">
      <c r="A178" t="s">
        <v>1087</v>
      </c>
      <c r="B178" t="s">
        <v>1066</v>
      </c>
      <c r="C178">
        <v>174401</v>
      </c>
      <c r="D178" t="s">
        <v>4</v>
      </c>
      <c r="E178" t="s">
        <v>4</v>
      </c>
      <c r="H178" s="7" t="s">
        <v>1122</v>
      </c>
    </row>
    <row r="179" spans="1:8">
      <c r="A179" t="s">
        <v>1087</v>
      </c>
      <c r="B179" t="s">
        <v>1066</v>
      </c>
      <c r="C179">
        <v>174401</v>
      </c>
      <c r="D179" t="s">
        <v>4</v>
      </c>
      <c r="E179" t="s">
        <v>4</v>
      </c>
      <c r="H179" s="7" t="s">
        <v>1301</v>
      </c>
    </row>
    <row r="180" spans="1:8">
      <c r="A180" t="s">
        <v>1087</v>
      </c>
      <c r="B180" t="s">
        <v>1066</v>
      </c>
      <c r="C180">
        <v>174401</v>
      </c>
      <c r="D180" t="s">
        <v>4</v>
      </c>
      <c r="E180" t="s">
        <v>4</v>
      </c>
      <c r="H180" s="7" t="s">
        <v>1310</v>
      </c>
    </row>
    <row r="181" spans="1:8">
      <c r="A181" t="s">
        <v>1087</v>
      </c>
      <c r="B181" t="s">
        <v>1066</v>
      </c>
      <c r="C181">
        <v>174401</v>
      </c>
      <c r="D181" t="s">
        <v>4</v>
      </c>
      <c r="E181" t="s">
        <v>4</v>
      </c>
      <c r="H181" s="7" t="s">
        <v>1490</v>
      </c>
    </row>
    <row r="182" spans="1:8">
      <c r="A182" t="s">
        <v>1087</v>
      </c>
      <c r="B182" t="s">
        <v>1066</v>
      </c>
      <c r="C182">
        <v>174401</v>
      </c>
      <c r="D182" t="s">
        <v>4</v>
      </c>
      <c r="E182" t="s">
        <v>4</v>
      </c>
      <c r="H182" s="7" t="s">
        <v>1491</v>
      </c>
    </row>
    <row r="183" spans="1:8">
      <c r="A183" t="s">
        <v>613</v>
      </c>
      <c r="B183" t="s">
        <v>1066</v>
      </c>
      <c r="C183">
        <v>174402</v>
      </c>
      <c r="D183" t="s">
        <v>4</v>
      </c>
      <c r="E183" t="s">
        <v>4</v>
      </c>
      <c r="H183" s="7" t="s">
        <v>1492</v>
      </c>
    </row>
    <row r="184" spans="1:8">
      <c r="A184" t="s">
        <v>1087</v>
      </c>
      <c r="B184" t="s">
        <v>1066</v>
      </c>
      <c r="C184">
        <v>174402</v>
      </c>
      <c r="D184" t="s">
        <v>4</v>
      </c>
      <c r="E184" t="s">
        <v>4</v>
      </c>
      <c r="H184" s="7" t="s">
        <v>1088</v>
      </c>
    </row>
    <row r="185" spans="1:8">
      <c r="A185" t="s">
        <v>1087</v>
      </c>
      <c r="B185" t="s">
        <v>1066</v>
      </c>
      <c r="C185">
        <v>174402</v>
      </c>
      <c r="D185" t="s">
        <v>4</v>
      </c>
      <c r="E185" t="s">
        <v>4</v>
      </c>
      <c r="H185" s="7" t="s">
        <v>1089</v>
      </c>
    </row>
    <row r="186" spans="1:8">
      <c r="A186" t="s">
        <v>1087</v>
      </c>
      <c r="B186" t="s">
        <v>1066</v>
      </c>
      <c r="C186">
        <v>174402</v>
      </c>
      <c r="D186" t="s">
        <v>4</v>
      </c>
      <c r="E186" t="s">
        <v>4</v>
      </c>
      <c r="H186" s="7" t="s">
        <v>1302</v>
      </c>
    </row>
    <row r="187" spans="1:8">
      <c r="A187" t="s">
        <v>1087</v>
      </c>
      <c r="B187" t="s">
        <v>1066</v>
      </c>
      <c r="C187">
        <v>174402</v>
      </c>
      <c r="D187" t="s">
        <v>4</v>
      </c>
      <c r="E187" t="s">
        <v>4</v>
      </c>
      <c r="H187" s="7" t="s">
        <v>1311</v>
      </c>
    </row>
    <row r="188" spans="1:8">
      <c r="A188" t="s">
        <v>1087</v>
      </c>
      <c r="B188" t="s">
        <v>1066</v>
      </c>
      <c r="C188">
        <v>174402</v>
      </c>
      <c r="D188" t="s">
        <v>4</v>
      </c>
      <c r="E188" t="s">
        <v>4</v>
      </c>
      <c r="H188" s="7" t="s">
        <v>1493</v>
      </c>
    </row>
    <row r="189" spans="1:8">
      <c r="A189" t="s">
        <v>1087</v>
      </c>
      <c r="B189" t="s">
        <v>1066</v>
      </c>
      <c r="C189">
        <v>174402</v>
      </c>
      <c r="D189" t="s">
        <v>4</v>
      </c>
      <c r="E189" t="s">
        <v>4</v>
      </c>
      <c r="H189" s="7" t="s">
        <v>1494</v>
      </c>
    </row>
    <row r="190" spans="1:8">
      <c r="A190" t="s">
        <v>610</v>
      </c>
      <c r="B190" t="s">
        <v>259</v>
      </c>
      <c r="C190">
        <v>210000</v>
      </c>
      <c r="D190" t="s">
        <v>4</v>
      </c>
      <c r="E190" t="s">
        <v>4</v>
      </c>
      <c r="H190" s="7" t="s">
        <v>635</v>
      </c>
    </row>
    <row r="191" spans="1:8">
      <c r="A191" t="s">
        <v>615</v>
      </c>
      <c r="B191" t="s">
        <v>253</v>
      </c>
      <c r="C191">
        <v>210000</v>
      </c>
      <c r="D191" t="s">
        <v>4</v>
      </c>
      <c r="E191" t="s">
        <v>4</v>
      </c>
      <c r="H191" s="7" t="s">
        <v>648</v>
      </c>
    </row>
    <row r="192" spans="1:8">
      <c r="A192" t="s">
        <v>615</v>
      </c>
      <c r="B192" t="s">
        <v>253</v>
      </c>
      <c r="C192">
        <v>210002</v>
      </c>
      <c r="D192" t="s">
        <v>4</v>
      </c>
      <c r="E192" t="s">
        <v>4</v>
      </c>
      <c r="H192" s="7" t="s">
        <v>646</v>
      </c>
    </row>
    <row r="193" spans="1:8">
      <c r="A193" t="s">
        <v>615</v>
      </c>
      <c r="B193" t="s">
        <v>253</v>
      </c>
      <c r="C193">
        <v>210003</v>
      </c>
      <c r="D193" t="s">
        <v>4</v>
      </c>
      <c r="E193" t="s">
        <v>4</v>
      </c>
      <c r="H193" s="7" t="s">
        <v>662</v>
      </c>
    </row>
    <row r="194" spans="1:8">
      <c r="A194" t="s">
        <v>615</v>
      </c>
      <c r="B194" t="s">
        <v>253</v>
      </c>
      <c r="C194">
        <v>210003</v>
      </c>
      <c r="D194" t="s">
        <v>4</v>
      </c>
      <c r="E194" t="s">
        <v>4</v>
      </c>
      <c r="H194" s="7" t="s">
        <v>1131</v>
      </c>
    </row>
    <row r="195" spans="1:8">
      <c r="A195" t="s">
        <v>615</v>
      </c>
      <c r="B195" t="s">
        <v>253</v>
      </c>
      <c r="C195">
        <v>210003</v>
      </c>
      <c r="D195" t="s">
        <v>4</v>
      </c>
      <c r="E195" t="s">
        <v>4</v>
      </c>
      <c r="H195" s="7" t="s">
        <v>1495</v>
      </c>
    </row>
    <row r="196" spans="1:8">
      <c r="A196" t="s">
        <v>615</v>
      </c>
      <c r="B196" t="s">
        <v>253</v>
      </c>
      <c r="C196">
        <v>210004</v>
      </c>
      <c r="D196" t="s">
        <v>4</v>
      </c>
      <c r="E196" t="s">
        <v>4</v>
      </c>
      <c r="H196" s="7" t="s">
        <v>647</v>
      </c>
    </row>
    <row r="197" spans="1:8">
      <c r="A197" t="s">
        <v>612</v>
      </c>
      <c r="B197" t="s">
        <v>110</v>
      </c>
      <c r="C197">
        <v>210010</v>
      </c>
      <c r="D197" t="s">
        <v>4</v>
      </c>
      <c r="E197" t="s">
        <v>4</v>
      </c>
      <c r="H197" s="7" t="s">
        <v>1286</v>
      </c>
    </row>
    <row r="198" spans="1:8">
      <c r="A198" t="s">
        <v>612</v>
      </c>
      <c r="B198" t="s">
        <v>110</v>
      </c>
      <c r="C198">
        <v>210010</v>
      </c>
      <c r="D198" t="s">
        <v>4</v>
      </c>
      <c r="E198" t="s">
        <v>4</v>
      </c>
      <c r="H198" s="7" t="s">
        <v>1151</v>
      </c>
    </row>
    <row r="199" spans="1:8">
      <c r="A199" t="s">
        <v>616</v>
      </c>
      <c r="B199" t="s">
        <v>1354</v>
      </c>
      <c r="C199">
        <v>268010</v>
      </c>
      <c r="D199" t="s">
        <v>4</v>
      </c>
      <c r="E199" t="s">
        <v>4</v>
      </c>
      <c r="H199" s="7" t="s">
        <v>777</v>
      </c>
    </row>
    <row r="200" spans="1:8">
      <c r="A200" t="s">
        <v>616</v>
      </c>
      <c r="B200" t="s">
        <v>1356</v>
      </c>
      <c r="C200">
        <v>268011</v>
      </c>
      <c r="D200" t="s">
        <v>4</v>
      </c>
      <c r="E200" t="s">
        <v>4</v>
      </c>
      <c r="H200" s="7" t="s">
        <v>778</v>
      </c>
    </row>
    <row r="201" spans="1:8">
      <c r="A201" t="s">
        <v>616</v>
      </c>
      <c r="B201" t="s">
        <v>1354</v>
      </c>
      <c r="C201">
        <v>268020</v>
      </c>
      <c r="D201" t="s">
        <v>4</v>
      </c>
      <c r="E201" t="s">
        <v>4</v>
      </c>
      <c r="H201" s="7" t="s">
        <v>776</v>
      </c>
    </row>
    <row r="202" spans="1:8">
      <c r="A202" t="s">
        <v>616</v>
      </c>
      <c r="B202" t="s">
        <v>1356</v>
      </c>
      <c r="C202">
        <v>268020</v>
      </c>
      <c r="D202" t="s">
        <v>4</v>
      </c>
      <c r="E202" t="s">
        <v>4</v>
      </c>
      <c r="H202" s="7" t="s">
        <v>636</v>
      </c>
    </row>
    <row r="203" spans="1:8">
      <c r="A203" t="s">
        <v>616</v>
      </c>
      <c r="B203" t="s">
        <v>1358</v>
      </c>
      <c r="C203">
        <v>268025</v>
      </c>
      <c r="D203" t="s">
        <v>4</v>
      </c>
      <c r="E203" t="s">
        <v>4</v>
      </c>
      <c r="H203" s="7" t="s">
        <v>639</v>
      </c>
    </row>
    <row r="204" spans="1:8">
      <c r="A204" t="s">
        <v>616</v>
      </c>
      <c r="B204" t="s">
        <v>1357</v>
      </c>
      <c r="C204">
        <v>268050</v>
      </c>
      <c r="D204" t="s">
        <v>4</v>
      </c>
      <c r="E204" t="s">
        <v>4</v>
      </c>
      <c r="H204" s="7" t="s">
        <v>1496</v>
      </c>
    </row>
    <row r="205" spans="1:8">
      <c r="A205" t="s">
        <v>616</v>
      </c>
      <c r="B205" t="s">
        <v>1357</v>
      </c>
      <c r="C205">
        <v>268110</v>
      </c>
      <c r="D205" t="s">
        <v>4</v>
      </c>
      <c r="E205" t="s">
        <v>4</v>
      </c>
      <c r="H205" s="7" t="s">
        <v>622</v>
      </c>
    </row>
    <row r="206" spans="1:8">
      <c r="A206" t="s">
        <v>617</v>
      </c>
      <c r="B206" t="s">
        <v>718</v>
      </c>
      <c r="C206">
        <v>268130</v>
      </c>
      <c r="D206" t="s">
        <v>6</v>
      </c>
      <c r="E206" t="s">
        <v>4</v>
      </c>
      <c r="H206" s="7" t="s">
        <v>657</v>
      </c>
    </row>
    <row r="207" spans="1:8">
      <c r="A207" t="s">
        <v>610</v>
      </c>
      <c r="B207" t="s">
        <v>259</v>
      </c>
      <c r="C207">
        <v>270400</v>
      </c>
      <c r="D207" t="s">
        <v>4</v>
      </c>
      <c r="E207" t="s">
        <v>4</v>
      </c>
      <c r="H207" s="7" t="s">
        <v>633</v>
      </c>
    </row>
    <row r="208" spans="1:8">
      <c r="A208" t="s">
        <v>610</v>
      </c>
      <c r="B208" t="s">
        <v>259</v>
      </c>
      <c r="C208">
        <v>270450</v>
      </c>
      <c r="D208" t="s">
        <v>4</v>
      </c>
      <c r="E208" t="s">
        <v>4</v>
      </c>
      <c r="H208" s="7" t="s">
        <v>632</v>
      </c>
    </row>
    <row r="209" spans="1:8">
      <c r="A209" t="s">
        <v>610</v>
      </c>
      <c r="B209" t="s">
        <v>259</v>
      </c>
      <c r="C209">
        <v>271600</v>
      </c>
      <c r="D209" t="s">
        <v>4</v>
      </c>
      <c r="E209" t="s">
        <v>4</v>
      </c>
      <c r="H209" s="7" t="s">
        <v>645</v>
      </c>
    </row>
    <row r="210" spans="1:8">
      <c r="A210" t="s">
        <v>610</v>
      </c>
      <c r="B210" t="s">
        <v>259</v>
      </c>
      <c r="C210">
        <v>271600</v>
      </c>
      <c r="D210" t="s">
        <v>4</v>
      </c>
      <c r="E210" t="s">
        <v>4</v>
      </c>
      <c r="H210" s="7" t="s">
        <v>631</v>
      </c>
    </row>
    <row r="211" spans="1:8">
      <c r="A211" t="s">
        <v>614</v>
      </c>
      <c r="B211" t="s">
        <v>83</v>
      </c>
      <c r="C211">
        <v>271602</v>
      </c>
      <c r="D211" t="s">
        <v>4</v>
      </c>
      <c r="E211" t="s">
        <v>4</v>
      </c>
      <c r="H211" s="7" t="s">
        <v>656</v>
      </c>
    </row>
    <row r="212" spans="1:8">
      <c r="A212" t="s">
        <v>614</v>
      </c>
      <c r="B212" t="s">
        <v>83</v>
      </c>
      <c r="C212">
        <v>271602</v>
      </c>
      <c r="D212" t="s">
        <v>4</v>
      </c>
      <c r="E212" t="s">
        <v>4</v>
      </c>
      <c r="H212" s="7" t="s">
        <v>620</v>
      </c>
    </row>
    <row r="213" spans="1:8">
      <c r="A213" t="s">
        <v>614</v>
      </c>
      <c r="B213" t="s">
        <v>83</v>
      </c>
      <c r="C213">
        <v>271602</v>
      </c>
      <c r="D213" t="s">
        <v>4</v>
      </c>
      <c r="E213" t="s">
        <v>4</v>
      </c>
      <c r="H213" s="7" t="s">
        <v>635</v>
      </c>
    </row>
    <row r="214" spans="1:8">
      <c r="A214" t="s">
        <v>610</v>
      </c>
      <c r="B214" t="s">
        <v>259</v>
      </c>
      <c r="C214">
        <v>271620</v>
      </c>
      <c r="D214" t="s">
        <v>4</v>
      </c>
      <c r="E214" t="s">
        <v>4</v>
      </c>
      <c r="H214" s="7" t="s">
        <v>620</v>
      </c>
    </row>
    <row r="215" spans="1:8">
      <c r="A215" t="s">
        <v>614</v>
      </c>
      <c r="B215" t="s">
        <v>83</v>
      </c>
      <c r="C215">
        <v>271622</v>
      </c>
      <c r="D215" t="s">
        <v>4</v>
      </c>
      <c r="E215" t="s">
        <v>4</v>
      </c>
      <c r="H215" s="7" t="s">
        <v>622</v>
      </c>
    </row>
    <row r="216" spans="1:8">
      <c r="A216" t="s">
        <v>610</v>
      </c>
      <c r="B216" t="s">
        <v>259</v>
      </c>
      <c r="C216">
        <v>271630</v>
      </c>
      <c r="D216" t="s">
        <v>4</v>
      </c>
      <c r="E216" t="s">
        <v>4</v>
      </c>
      <c r="H216" s="7" t="s">
        <v>622</v>
      </c>
    </row>
    <row r="217" spans="1:8">
      <c r="A217" t="s">
        <v>610</v>
      </c>
      <c r="B217" t="s">
        <v>259</v>
      </c>
      <c r="C217">
        <v>271640</v>
      </c>
      <c r="D217" t="s">
        <v>4</v>
      </c>
      <c r="E217" t="s">
        <v>4</v>
      </c>
      <c r="H217" s="7" t="s">
        <v>621</v>
      </c>
    </row>
    <row r="218" spans="1:8">
      <c r="A218" t="s">
        <v>614</v>
      </c>
      <c r="B218" t="s">
        <v>83</v>
      </c>
      <c r="C218">
        <v>271642</v>
      </c>
      <c r="D218" t="s">
        <v>4</v>
      </c>
      <c r="E218" t="s">
        <v>4</v>
      </c>
      <c r="H218" s="7" t="s">
        <v>621</v>
      </c>
    </row>
    <row r="219" spans="1:8">
      <c r="A219" t="s">
        <v>610</v>
      </c>
      <c r="B219" t="s">
        <v>259</v>
      </c>
      <c r="C219">
        <v>271650</v>
      </c>
      <c r="D219" t="s">
        <v>4</v>
      </c>
      <c r="E219" t="s">
        <v>4</v>
      </c>
      <c r="H219" s="7" t="s">
        <v>630</v>
      </c>
    </row>
    <row r="220" spans="1:8">
      <c r="A220" t="s">
        <v>614</v>
      </c>
      <c r="B220" t="s">
        <v>83</v>
      </c>
      <c r="C220">
        <v>271652</v>
      </c>
      <c r="D220" t="s">
        <v>4</v>
      </c>
      <c r="E220" t="s">
        <v>4</v>
      </c>
      <c r="H220" s="7" t="s">
        <v>633</v>
      </c>
    </row>
    <row r="221" spans="1:8">
      <c r="A221" t="s">
        <v>610</v>
      </c>
      <c r="B221" t="s">
        <v>259</v>
      </c>
      <c r="C221">
        <v>271660</v>
      </c>
      <c r="D221" t="s">
        <v>4</v>
      </c>
      <c r="E221" t="s">
        <v>4</v>
      </c>
      <c r="H221" s="7" t="s">
        <v>656</v>
      </c>
    </row>
    <row r="222" spans="1:8">
      <c r="A222" t="s">
        <v>614</v>
      </c>
      <c r="B222" t="s">
        <v>83</v>
      </c>
      <c r="C222">
        <v>271662</v>
      </c>
      <c r="D222" t="s">
        <v>4</v>
      </c>
      <c r="E222" t="s">
        <v>4</v>
      </c>
      <c r="H222" s="7" t="s">
        <v>645</v>
      </c>
    </row>
    <row r="223" spans="1:8">
      <c r="A223" t="s">
        <v>610</v>
      </c>
      <c r="B223" t="s">
        <v>259</v>
      </c>
      <c r="C223">
        <v>271680</v>
      </c>
      <c r="D223" t="s">
        <v>4</v>
      </c>
      <c r="E223" t="s">
        <v>4</v>
      </c>
      <c r="H223" s="7" t="s">
        <v>623</v>
      </c>
    </row>
    <row r="224" spans="1:8">
      <c r="A224" t="s">
        <v>614</v>
      </c>
      <c r="B224" t="s">
        <v>83</v>
      </c>
      <c r="C224">
        <v>271682</v>
      </c>
      <c r="D224" t="s">
        <v>4</v>
      </c>
      <c r="E224" t="s">
        <v>4</v>
      </c>
      <c r="H224" s="7" t="s">
        <v>630</v>
      </c>
    </row>
    <row r="225" spans="1:8">
      <c r="A225" t="s">
        <v>614</v>
      </c>
      <c r="B225" t="s">
        <v>83</v>
      </c>
      <c r="C225">
        <v>271692</v>
      </c>
      <c r="D225" t="s">
        <v>4</v>
      </c>
      <c r="E225" t="s">
        <v>4</v>
      </c>
      <c r="H225" s="7" t="s">
        <v>631</v>
      </c>
    </row>
    <row r="226" spans="1:8">
      <c r="A226" t="s">
        <v>617</v>
      </c>
      <c r="B226" t="s">
        <v>40</v>
      </c>
      <c r="C226">
        <v>321000</v>
      </c>
      <c r="D226" t="s">
        <v>6</v>
      </c>
      <c r="E226" t="s">
        <v>4</v>
      </c>
      <c r="H226" s="7" t="s">
        <v>667</v>
      </c>
    </row>
    <row r="227" spans="1:8">
      <c r="A227" t="s">
        <v>617</v>
      </c>
      <c r="B227" t="s">
        <v>44</v>
      </c>
      <c r="C227">
        <v>321000</v>
      </c>
      <c r="D227" t="s">
        <v>6</v>
      </c>
      <c r="E227" t="s">
        <v>4</v>
      </c>
      <c r="H227" s="7" t="s">
        <v>678</v>
      </c>
    </row>
    <row r="228" spans="1:8">
      <c r="A228" t="s">
        <v>617</v>
      </c>
      <c r="B228" t="s">
        <v>43</v>
      </c>
      <c r="C228">
        <v>390000</v>
      </c>
      <c r="D228" t="s">
        <v>6</v>
      </c>
      <c r="E228" t="s">
        <v>4</v>
      </c>
      <c r="H228" s="7" t="s">
        <v>658</v>
      </c>
    </row>
    <row r="229" spans="1:8">
      <c r="A229" t="s">
        <v>612</v>
      </c>
      <c r="B229" t="s">
        <v>609</v>
      </c>
      <c r="C229">
        <v>401000</v>
      </c>
      <c r="D229" t="s">
        <v>4</v>
      </c>
      <c r="E229" t="s">
        <v>4</v>
      </c>
      <c r="H229" s="7" t="s">
        <v>1185</v>
      </c>
    </row>
    <row r="230" spans="1:8">
      <c r="A230" t="s">
        <v>612</v>
      </c>
      <c r="B230" t="s">
        <v>609</v>
      </c>
      <c r="C230">
        <v>401000</v>
      </c>
      <c r="D230" t="s">
        <v>4</v>
      </c>
      <c r="E230" t="s">
        <v>4</v>
      </c>
      <c r="H230" s="7" t="s">
        <v>1188</v>
      </c>
    </row>
    <row r="231" spans="1:8">
      <c r="A231" t="s">
        <v>612</v>
      </c>
      <c r="B231" t="s">
        <v>609</v>
      </c>
      <c r="C231">
        <v>401000</v>
      </c>
      <c r="D231" t="s">
        <v>4</v>
      </c>
      <c r="E231" t="s">
        <v>4</v>
      </c>
      <c r="H231" s="7" t="s">
        <v>1138</v>
      </c>
    </row>
    <row r="232" spans="1:8">
      <c r="A232" t="s">
        <v>612</v>
      </c>
      <c r="C232">
        <v>401110</v>
      </c>
      <c r="D232" t="s">
        <v>4</v>
      </c>
      <c r="E232" t="s">
        <v>4</v>
      </c>
      <c r="H232" s="7" t="s">
        <v>1176</v>
      </c>
    </row>
    <row r="233" spans="1:8">
      <c r="A233" t="s">
        <v>617</v>
      </c>
      <c r="B233" t="s">
        <v>48</v>
      </c>
      <c r="C233">
        <v>401999</v>
      </c>
      <c r="D233" t="s">
        <v>6</v>
      </c>
      <c r="E233" t="s">
        <v>4</v>
      </c>
      <c r="H233" s="7" t="s">
        <v>670</v>
      </c>
    </row>
    <row r="234" spans="1:8">
      <c r="A234" t="s">
        <v>615</v>
      </c>
      <c r="B234" t="s">
        <v>252</v>
      </c>
      <c r="C234">
        <v>402020</v>
      </c>
      <c r="D234" t="s">
        <v>4</v>
      </c>
      <c r="E234" t="s">
        <v>4</v>
      </c>
      <c r="H234" s="7" t="s">
        <v>1119</v>
      </c>
    </row>
    <row r="235" spans="1:8">
      <c r="A235" t="s">
        <v>615</v>
      </c>
      <c r="B235" t="s">
        <v>252</v>
      </c>
      <c r="C235">
        <v>403000</v>
      </c>
      <c r="D235" t="s">
        <v>4</v>
      </c>
      <c r="E235" t="s">
        <v>4</v>
      </c>
      <c r="H235" s="7" t="s">
        <v>679</v>
      </c>
    </row>
    <row r="236" spans="1:8">
      <c r="A236" t="s">
        <v>612</v>
      </c>
      <c r="B236" t="s">
        <v>609</v>
      </c>
      <c r="C236">
        <v>403000</v>
      </c>
      <c r="D236" t="s">
        <v>4</v>
      </c>
      <c r="E236" t="s">
        <v>4</v>
      </c>
      <c r="H236" s="7" t="s">
        <v>1213</v>
      </c>
    </row>
    <row r="237" spans="1:8">
      <c r="A237" t="s">
        <v>612</v>
      </c>
      <c r="B237" t="s">
        <v>609</v>
      </c>
      <c r="C237">
        <v>403000</v>
      </c>
      <c r="D237" t="s">
        <v>4</v>
      </c>
      <c r="E237" t="s">
        <v>4</v>
      </c>
      <c r="H237" s="7" t="s">
        <v>1216</v>
      </c>
    </row>
    <row r="238" spans="1:8">
      <c r="A238" t="s">
        <v>612</v>
      </c>
      <c r="B238" t="s">
        <v>609</v>
      </c>
      <c r="C238">
        <v>403000</v>
      </c>
      <c r="D238" t="s">
        <v>4</v>
      </c>
      <c r="E238" t="s">
        <v>4</v>
      </c>
      <c r="H238" s="7" t="s">
        <v>1282</v>
      </c>
    </row>
    <row r="239" spans="1:8">
      <c r="A239" t="s">
        <v>612</v>
      </c>
      <c r="B239" t="s">
        <v>609</v>
      </c>
      <c r="C239">
        <v>403000</v>
      </c>
      <c r="D239" t="s">
        <v>4</v>
      </c>
      <c r="E239" t="s">
        <v>4</v>
      </c>
      <c r="H239" s="7" t="s">
        <v>1288</v>
      </c>
    </row>
    <row r="240" spans="1:8">
      <c r="A240" t="s">
        <v>612</v>
      </c>
      <c r="B240" t="s">
        <v>609</v>
      </c>
      <c r="C240">
        <v>403000</v>
      </c>
      <c r="D240" t="s">
        <v>4</v>
      </c>
      <c r="E240" t="s">
        <v>4</v>
      </c>
      <c r="H240" s="7" t="s">
        <v>1291</v>
      </c>
    </row>
    <row r="241" spans="1:8">
      <c r="A241" t="s">
        <v>615</v>
      </c>
      <c r="B241" t="s">
        <v>252</v>
      </c>
      <c r="C241">
        <v>403030</v>
      </c>
      <c r="D241" t="s">
        <v>4</v>
      </c>
      <c r="E241" t="s">
        <v>4</v>
      </c>
      <c r="H241" s="7" t="s">
        <v>663</v>
      </c>
    </row>
    <row r="242" spans="1:8">
      <c r="A242" t="s">
        <v>615</v>
      </c>
      <c r="B242" t="s">
        <v>252</v>
      </c>
      <c r="C242">
        <v>403030</v>
      </c>
      <c r="D242" t="s">
        <v>4</v>
      </c>
      <c r="E242" t="s">
        <v>4</v>
      </c>
      <c r="H242" s="7" t="s">
        <v>664</v>
      </c>
    </row>
    <row r="243" spans="1:8">
      <c r="A243" t="s">
        <v>617</v>
      </c>
      <c r="B243" t="s">
        <v>46</v>
      </c>
      <c r="C243">
        <v>405000</v>
      </c>
      <c r="D243" t="s">
        <v>6</v>
      </c>
      <c r="E243" t="s">
        <v>4</v>
      </c>
      <c r="H243" s="7" t="s">
        <v>669</v>
      </c>
    </row>
    <row r="244" spans="1:8">
      <c r="A244" t="s">
        <v>611</v>
      </c>
      <c r="B244" t="s">
        <v>1391</v>
      </c>
      <c r="C244">
        <v>405000</v>
      </c>
      <c r="D244" t="s">
        <v>6</v>
      </c>
      <c r="E244" t="s">
        <v>4</v>
      </c>
      <c r="H244" s="7" t="s">
        <v>694</v>
      </c>
    </row>
    <row r="245" spans="1:8">
      <c r="A245" t="s">
        <v>611</v>
      </c>
      <c r="B245" t="s">
        <v>1393</v>
      </c>
      <c r="C245">
        <v>405000</v>
      </c>
      <c r="D245" t="s">
        <v>6</v>
      </c>
      <c r="E245" t="s">
        <v>4</v>
      </c>
      <c r="H245" s="7" t="s">
        <v>671</v>
      </c>
    </row>
    <row r="246" spans="1:8">
      <c r="A246" t="s">
        <v>611</v>
      </c>
      <c r="B246" t="s">
        <v>1394</v>
      </c>
      <c r="C246">
        <v>405000</v>
      </c>
      <c r="D246" t="s">
        <v>6</v>
      </c>
      <c r="E246" t="s">
        <v>4</v>
      </c>
      <c r="H246" s="7" t="s">
        <v>695</v>
      </c>
    </row>
    <row r="247" spans="1:8">
      <c r="A247" t="s">
        <v>611</v>
      </c>
      <c r="B247" t="s">
        <v>1396</v>
      </c>
      <c r="C247">
        <v>405000</v>
      </c>
      <c r="D247" t="s">
        <v>6</v>
      </c>
      <c r="E247" t="s">
        <v>4</v>
      </c>
      <c r="H247" s="7" t="s">
        <v>672</v>
      </c>
    </row>
    <row r="248" spans="1:8">
      <c r="A248" t="s">
        <v>611</v>
      </c>
      <c r="B248" t="s">
        <v>1398</v>
      </c>
      <c r="C248">
        <v>405000</v>
      </c>
      <c r="D248" t="s">
        <v>6</v>
      </c>
      <c r="E248" t="s">
        <v>4</v>
      </c>
      <c r="H248" s="7" t="s">
        <v>696</v>
      </c>
    </row>
    <row r="249" spans="1:8">
      <c r="A249" t="s">
        <v>611</v>
      </c>
      <c r="B249" t="s">
        <v>1400</v>
      </c>
      <c r="C249">
        <v>405000</v>
      </c>
      <c r="D249" t="s">
        <v>6</v>
      </c>
      <c r="E249" t="s">
        <v>4</v>
      </c>
      <c r="H249" s="7" t="s">
        <v>673</v>
      </c>
    </row>
    <row r="250" spans="1:8">
      <c r="A250" t="s">
        <v>611</v>
      </c>
      <c r="B250" t="s">
        <v>1402</v>
      </c>
      <c r="C250">
        <v>405000</v>
      </c>
      <c r="D250" t="s">
        <v>6</v>
      </c>
      <c r="E250" t="s">
        <v>4</v>
      </c>
      <c r="H250" s="7" t="s">
        <v>697</v>
      </c>
    </row>
    <row r="251" spans="1:8">
      <c r="A251" t="s">
        <v>611</v>
      </c>
      <c r="B251" t="s">
        <v>1404</v>
      </c>
      <c r="C251">
        <v>405000</v>
      </c>
      <c r="D251" t="s">
        <v>6</v>
      </c>
      <c r="E251" t="s">
        <v>4</v>
      </c>
      <c r="H251" s="7" t="s">
        <v>674</v>
      </c>
    </row>
    <row r="252" spans="1:8">
      <c r="A252" t="s">
        <v>611</v>
      </c>
      <c r="B252" t="s">
        <v>1406</v>
      </c>
      <c r="C252">
        <v>405000</v>
      </c>
      <c r="D252" t="s">
        <v>6</v>
      </c>
      <c r="E252" t="s">
        <v>4</v>
      </c>
      <c r="H252" s="7" t="s">
        <v>698</v>
      </c>
    </row>
    <row r="253" spans="1:8">
      <c r="A253" t="s">
        <v>611</v>
      </c>
      <c r="B253" t="s">
        <v>1408</v>
      </c>
      <c r="C253">
        <v>405000</v>
      </c>
      <c r="D253" t="s">
        <v>6</v>
      </c>
      <c r="E253" t="s">
        <v>4</v>
      </c>
      <c r="H253" s="7" t="s">
        <v>675</v>
      </c>
    </row>
    <row r="254" spans="1:8">
      <c r="A254" t="s">
        <v>611</v>
      </c>
      <c r="B254" t="s">
        <v>1410</v>
      </c>
      <c r="C254">
        <v>405000</v>
      </c>
      <c r="D254" t="s">
        <v>6</v>
      </c>
      <c r="E254" t="s">
        <v>4</v>
      </c>
      <c r="H254" s="7" t="s">
        <v>699</v>
      </c>
    </row>
    <row r="255" spans="1:8">
      <c r="A255" t="s">
        <v>611</v>
      </c>
      <c r="B255" t="s">
        <v>1412</v>
      </c>
      <c r="C255">
        <v>405000</v>
      </c>
      <c r="D255" t="s">
        <v>6</v>
      </c>
      <c r="E255" t="s">
        <v>4</v>
      </c>
      <c r="H255" s="7" t="s">
        <v>676</v>
      </c>
    </row>
    <row r="256" spans="1:8">
      <c r="A256" t="s">
        <v>611</v>
      </c>
      <c r="B256" t="s">
        <v>1414</v>
      </c>
      <c r="C256">
        <v>405000</v>
      </c>
      <c r="D256" t="s">
        <v>6</v>
      </c>
      <c r="E256" t="s">
        <v>4</v>
      </c>
      <c r="H256" s="7" t="s">
        <v>700</v>
      </c>
    </row>
    <row r="257" spans="1:8">
      <c r="A257" t="s">
        <v>611</v>
      </c>
      <c r="B257" t="s">
        <v>1416</v>
      </c>
      <c r="C257">
        <v>405000</v>
      </c>
      <c r="D257" t="s">
        <v>6</v>
      </c>
      <c r="E257" t="s">
        <v>4</v>
      </c>
      <c r="H257" s="7" t="s">
        <v>677</v>
      </c>
    </row>
    <row r="258" spans="1:8">
      <c r="A258" t="s">
        <v>611</v>
      </c>
      <c r="B258" t="s">
        <v>1418</v>
      </c>
      <c r="C258">
        <v>405000</v>
      </c>
      <c r="D258" t="s">
        <v>6</v>
      </c>
      <c r="E258" t="s">
        <v>4</v>
      </c>
      <c r="H258" s="7" t="s">
        <v>783</v>
      </c>
    </row>
    <row r="259" spans="1:8">
      <c r="A259" t="s">
        <v>611</v>
      </c>
      <c r="B259" t="s">
        <v>1420</v>
      </c>
      <c r="C259">
        <v>405000</v>
      </c>
      <c r="D259" t="s">
        <v>6</v>
      </c>
      <c r="E259" t="s">
        <v>4</v>
      </c>
      <c r="H259" s="7" t="s">
        <v>784</v>
      </c>
    </row>
    <row r="260" spans="1:8">
      <c r="A260" t="s">
        <v>611</v>
      </c>
      <c r="B260" t="s">
        <v>1422</v>
      </c>
      <c r="C260">
        <v>405000</v>
      </c>
      <c r="D260" t="s">
        <v>6</v>
      </c>
      <c r="E260" t="s">
        <v>4</v>
      </c>
      <c r="H260" s="7" t="s">
        <v>844</v>
      </c>
    </row>
    <row r="261" spans="1:8">
      <c r="A261" t="s">
        <v>611</v>
      </c>
      <c r="B261" t="s">
        <v>1424</v>
      </c>
      <c r="C261">
        <v>405000</v>
      </c>
      <c r="D261" t="s">
        <v>6</v>
      </c>
      <c r="E261" t="s">
        <v>4</v>
      </c>
      <c r="H261" s="7" t="s">
        <v>845</v>
      </c>
    </row>
    <row r="262" spans="1:8">
      <c r="A262" t="s">
        <v>612</v>
      </c>
      <c r="B262" t="s">
        <v>609</v>
      </c>
      <c r="C262">
        <v>410010</v>
      </c>
      <c r="D262" t="s">
        <v>4</v>
      </c>
      <c r="E262" t="s">
        <v>4</v>
      </c>
      <c r="H262" s="7" t="s">
        <v>1180</v>
      </c>
    </row>
    <row r="263" spans="1:8">
      <c r="A263" t="s">
        <v>612</v>
      </c>
      <c r="B263" t="s">
        <v>609</v>
      </c>
      <c r="C263">
        <v>410010</v>
      </c>
      <c r="D263" t="s">
        <v>4</v>
      </c>
      <c r="E263" t="s">
        <v>4</v>
      </c>
      <c r="H263" s="7" t="s">
        <v>1092</v>
      </c>
    </row>
    <row r="264" spans="1:8">
      <c r="A264" t="s">
        <v>612</v>
      </c>
      <c r="B264" t="s">
        <v>609</v>
      </c>
      <c r="C264">
        <v>410010</v>
      </c>
      <c r="D264" t="s">
        <v>4</v>
      </c>
      <c r="E264" t="s">
        <v>4</v>
      </c>
      <c r="H264" s="7" t="s">
        <v>1265</v>
      </c>
    </row>
    <row r="265" spans="1:8">
      <c r="A265" t="s">
        <v>612</v>
      </c>
      <c r="B265" t="s">
        <v>609</v>
      </c>
      <c r="C265">
        <v>410025</v>
      </c>
      <c r="D265" t="s">
        <v>4</v>
      </c>
      <c r="E265" t="s">
        <v>4</v>
      </c>
      <c r="H265" s="7" t="s">
        <v>1182</v>
      </c>
    </row>
    <row r="266" spans="1:8">
      <c r="A266" t="s">
        <v>612</v>
      </c>
      <c r="B266" t="s">
        <v>609</v>
      </c>
      <c r="C266">
        <v>410025</v>
      </c>
      <c r="D266" t="s">
        <v>4</v>
      </c>
      <c r="E266" t="s">
        <v>4</v>
      </c>
      <c r="H266" s="7" t="s">
        <v>1170</v>
      </c>
    </row>
    <row r="267" spans="1:8">
      <c r="A267" t="s">
        <v>612</v>
      </c>
      <c r="B267" t="s">
        <v>609</v>
      </c>
      <c r="C267">
        <v>410025</v>
      </c>
      <c r="D267" t="s">
        <v>4</v>
      </c>
      <c r="E267" t="s">
        <v>4</v>
      </c>
      <c r="H267" s="7" t="s">
        <v>1267</v>
      </c>
    </row>
    <row r="268" spans="1:8">
      <c r="A268" t="s">
        <v>612</v>
      </c>
      <c r="B268" t="s">
        <v>842</v>
      </c>
      <c r="C268">
        <v>410025</v>
      </c>
      <c r="D268" t="s">
        <v>4</v>
      </c>
      <c r="E268" t="s">
        <v>4</v>
      </c>
      <c r="H268" s="7" t="s">
        <v>1244</v>
      </c>
    </row>
    <row r="269" spans="1:8">
      <c r="A269" t="s">
        <v>612</v>
      </c>
      <c r="B269" t="s">
        <v>841</v>
      </c>
      <c r="C269">
        <v>410030</v>
      </c>
      <c r="D269" t="s">
        <v>4</v>
      </c>
      <c r="E269" t="s">
        <v>4</v>
      </c>
      <c r="H269" s="7" t="s">
        <v>1203</v>
      </c>
    </row>
    <row r="270" spans="1:8">
      <c r="A270" t="s">
        <v>612</v>
      </c>
      <c r="B270" t="s">
        <v>841</v>
      </c>
      <c r="C270">
        <v>410030</v>
      </c>
      <c r="D270" t="s">
        <v>4</v>
      </c>
      <c r="E270" t="s">
        <v>4</v>
      </c>
      <c r="H270" s="7" t="s">
        <v>1255</v>
      </c>
    </row>
    <row r="271" spans="1:8">
      <c r="A271" t="s">
        <v>612</v>
      </c>
      <c r="B271" t="s">
        <v>110</v>
      </c>
      <c r="C271">
        <v>429200</v>
      </c>
      <c r="D271" t="s">
        <v>4</v>
      </c>
      <c r="E271" t="s">
        <v>4</v>
      </c>
      <c r="H271" s="7" t="s">
        <v>1168</v>
      </c>
    </row>
    <row r="272" spans="1:8">
      <c r="A272" t="s">
        <v>612</v>
      </c>
      <c r="B272" t="s">
        <v>110</v>
      </c>
      <c r="C272">
        <v>429200</v>
      </c>
      <c r="D272" t="s">
        <v>4</v>
      </c>
      <c r="E272" t="s">
        <v>4</v>
      </c>
      <c r="H272" s="7" t="s">
        <v>1234</v>
      </c>
    </row>
    <row r="273" spans="1:8">
      <c r="A273" t="s">
        <v>612</v>
      </c>
      <c r="B273" t="s">
        <v>110</v>
      </c>
      <c r="C273">
        <v>429200</v>
      </c>
      <c r="D273" t="s">
        <v>4</v>
      </c>
      <c r="E273" t="s">
        <v>4</v>
      </c>
      <c r="H273" s="7" t="s">
        <v>1160</v>
      </c>
    </row>
    <row r="274" spans="1:8">
      <c r="A274" t="s">
        <v>612</v>
      </c>
      <c r="B274" t="s">
        <v>842</v>
      </c>
      <c r="C274">
        <v>469000</v>
      </c>
      <c r="D274" t="s">
        <v>4</v>
      </c>
      <c r="E274" t="s">
        <v>4</v>
      </c>
      <c r="H274" s="7" t="s">
        <v>1250</v>
      </c>
    </row>
    <row r="275" spans="1:8">
      <c r="A275" t="s">
        <v>615</v>
      </c>
      <c r="B275" t="s">
        <v>252</v>
      </c>
      <c r="C275">
        <v>492002</v>
      </c>
      <c r="D275" t="s">
        <v>4</v>
      </c>
      <c r="E275" t="s">
        <v>4</v>
      </c>
      <c r="H275" s="7" t="s">
        <v>661</v>
      </c>
    </row>
    <row r="276" spans="1:8">
      <c r="A276" t="s">
        <v>612</v>
      </c>
      <c r="B276" t="s">
        <v>111</v>
      </c>
      <c r="C276">
        <v>494010</v>
      </c>
      <c r="D276" t="s">
        <v>4</v>
      </c>
      <c r="E276" t="s">
        <v>4</v>
      </c>
      <c r="H276" s="7" t="s">
        <v>1281</v>
      </c>
    </row>
    <row r="277" spans="1:8">
      <c r="A277" t="s">
        <v>612</v>
      </c>
      <c r="B277" t="s">
        <v>111</v>
      </c>
      <c r="C277">
        <v>494010</v>
      </c>
      <c r="D277" t="s">
        <v>4</v>
      </c>
      <c r="E277" t="s">
        <v>4</v>
      </c>
      <c r="H277" s="7" t="s">
        <v>1150</v>
      </c>
    </row>
    <row r="278" spans="1:8">
      <c r="A278" t="s">
        <v>612</v>
      </c>
      <c r="B278" t="s">
        <v>111</v>
      </c>
      <c r="C278">
        <v>494020</v>
      </c>
      <c r="D278" t="s">
        <v>4</v>
      </c>
      <c r="E278" t="s">
        <v>4</v>
      </c>
      <c r="H278" s="7" t="s">
        <v>1215</v>
      </c>
    </row>
    <row r="279" spans="1:8">
      <c r="A279" t="s">
        <v>612</v>
      </c>
      <c r="B279" t="s">
        <v>111</v>
      </c>
      <c r="C279">
        <v>494020</v>
      </c>
      <c r="D279" t="s">
        <v>4</v>
      </c>
      <c r="E279" t="s">
        <v>4</v>
      </c>
      <c r="H279" s="7" t="s">
        <v>1102</v>
      </c>
    </row>
    <row r="280" spans="1:8">
      <c r="A280" t="s">
        <v>612</v>
      </c>
      <c r="B280" t="s">
        <v>111</v>
      </c>
      <c r="C280">
        <v>494030</v>
      </c>
      <c r="D280" t="s">
        <v>4</v>
      </c>
      <c r="E280" t="s">
        <v>4</v>
      </c>
      <c r="H280" s="7" t="s">
        <v>1287</v>
      </c>
    </row>
    <row r="281" spans="1:8">
      <c r="A281" t="s">
        <v>612</v>
      </c>
      <c r="B281" t="s">
        <v>111</v>
      </c>
      <c r="C281">
        <v>494030</v>
      </c>
      <c r="D281" t="s">
        <v>4</v>
      </c>
      <c r="E281" t="s">
        <v>4</v>
      </c>
      <c r="H281" s="7" t="s">
        <v>1191</v>
      </c>
    </row>
    <row r="282" spans="1:8">
      <c r="A282" t="s">
        <v>615</v>
      </c>
      <c r="B282" t="s">
        <v>253</v>
      </c>
      <c r="C282">
        <v>495010</v>
      </c>
      <c r="D282" t="s">
        <v>4</v>
      </c>
      <c r="E282" t="s">
        <v>4</v>
      </c>
      <c r="H282" s="7" t="s">
        <v>1130</v>
      </c>
    </row>
    <row r="283" spans="1:8">
      <c r="A283" t="s">
        <v>612</v>
      </c>
      <c r="B283" t="s">
        <v>110</v>
      </c>
      <c r="C283">
        <v>495010</v>
      </c>
      <c r="D283" t="s">
        <v>4</v>
      </c>
      <c r="E283" t="s">
        <v>4</v>
      </c>
      <c r="H283" s="7" t="s">
        <v>1091</v>
      </c>
    </row>
    <row r="284" spans="1:8">
      <c r="A284" t="s">
        <v>612</v>
      </c>
      <c r="B284" t="s">
        <v>609</v>
      </c>
      <c r="C284">
        <v>495010</v>
      </c>
      <c r="D284" t="s">
        <v>4</v>
      </c>
      <c r="E284" t="s">
        <v>4</v>
      </c>
      <c r="H284" s="7" t="s">
        <v>1161</v>
      </c>
    </row>
    <row r="285" spans="1:8">
      <c r="A285" t="s">
        <v>612</v>
      </c>
      <c r="B285" t="s">
        <v>609</v>
      </c>
      <c r="C285">
        <v>495020</v>
      </c>
      <c r="D285" t="s">
        <v>4</v>
      </c>
      <c r="E285" t="s">
        <v>4</v>
      </c>
      <c r="H285" s="7" t="s">
        <v>1159</v>
      </c>
    </row>
    <row r="286" spans="1:8">
      <c r="A286" t="s">
        <v>612</v>
      </c>
      <c r="B286" t="s">
        <v>111</v>
      </c>
      <c r="C286">
        <v>495020</v>
      </c>
      <c r="D286" t="s">
        <v>4</v>
      </c>
      <c r="E286" t="s">
        <v>4</v>
      </c>
      <c r="H286" s="7" t="s">
        <v>1256</v>
      </c>
    </row>
    <row r="287" spans="1:8">
      <c r="A287" t="s">
        <v>612</v>
      </c>
      <c r="B287" t="s">
        <v>111</v>
      </c>
      <c r="C287">
        <v>495020</v>
      </c>
      <c r="D287" t="s">
        <v>4</v>
      </c>
      <c r="E287" t="s">
        <v>4</v>
      </c>
      <c r="H287" s="7" t="s">
        <v>1260</v>
      </c>
    </row>
    <row r="288" spans="1:8">
      <c r="A288" t="s">
        <v>612</v>
      </c>
      <c r="B288" t="s">
        <v>609</v>
      </c>
      <c r="C288">
        <v>495030</v>
      </c>
      <c r="D288" t="s">
        <v>4</v>
      </c>
      <c r="E288" t="s">
        <v>4</v>
      </c>
      <c r="H288" s="7" t="s">
        <v>1101</v>
      </c>
    </row>
    <row r="289" spans="1:8">
      <c r="A289" t="s">
        <v>612</v>
      </c>
      <c r="B289" t="s">
        <v>111</v>
      </c>
      <c r="C289">
        <v>495030</v>
      </c>
      <c r="D289" t="s">
        <v>4</v>
      </c>
      <c r="E289" t="s">
        <v>4</v>
      </c>
      <c r="H289" s="7" t="s">
        <v>1246</v>
      </c>
    </row>
    <row r="290" spans="1:8">
      <c r="A290" t="s">
        <v>612</v>
      </c>
      <c r="B290" t="s">
        <v>111</v>
      </c>
      <c r="C290">
        <v>495030</v>
      </c>
      <c r="D290" t="s">
        <v>4</v>
      </c>
      <c r="E290" t="s">
        <v>4</v>
      </c>
      <c r="H290" s="7" t="s">
        <v>1248</v>
      </c>
    </row>
    <row r="291" spans="1:8">
      <c r="A291" t="s">
        <v>612</v>
      </c>
      <c r="B291" t="s">
        <v>609</v>
      </c>
      <c r="C291">
        <v>495032</v>
      </c>
      <c r="D291" t="s">
        <v>4</v>
      </c>
      <c r="E291" t="s">
        <v>4</v>
      </c>
      <c r="H291" s="7" t="s">
        <v>1082</v>
      </c>
    </row>
    <row r="292" spans="1:8">
      <c r="A292" t="s">
        <v>612</v>
      </c>
      <c r="B292" t="s">
        <v>110</v>
      </c>
      <c r="C292">
        <v>495035</v>
      </c>
      <c r="D292" t="s">
        <v>4</v>
      </c>
      <c r="E292" t="s">
        <v>4</v>
      </c>
      <c r="H292" s="7" t="s">
        <v>1169</v>
      </c>
    </row>
    <row r="293" spans="1:8">
      <c r="A293" t="s">
        <v>612</v>
      </c>
      <c r="B293" t="s">
        <v>110</v>
      </c>
      <c r="C293">
        <v>495035</v>
      </c>
      <c r="D293" t="s">
        <v>4</v>
      </c>
      <c r="E293" t="s">
        <v>4</v>
      </c>
      <c r="H293" s="7" t="s">
        <v>1187</v>
      </c>
    </row>
    <row r="294" spans="1:8">
      <c r="A294" t="s">
        <v>612</v>
      </c>
      <c r="C294">
        <v>497001</v>
      </c>
      <c r="D294" t="s">
        <v>4</v>
      </c>
      <c r="E294" t="s">
        <v>4</v>
      </c>
      <c r="H294" s="7" t="s">
        <v>1173</v>
      </c>
    </row>
    <row r="295" spans="1:8">
      <c r="A295" t="s">
        <v>612</v>
      </c>
      <c r="C295">
        <v>497001</v>
      </c>
      <c r="D295" t="s">
        <v>4</v>
      </c>
      <c r="E295" t="s">
        <v>4</v>
      </c>
      <c r="H295" s="7" t="s">
        <v>1270</v>
      </c>
    </row>
    <row r="296" spans="1:8">
      <c r="A296" t="s">
        <v>611</v>
      </c>
      <c r="B296" t="s">
        <v>1391</v>
      </c>
      <c r="C296">
        <v>499011</v>
      </c>
      <c r="D296" t="s">
        <v>4</v>
      </c>
      <c r="E296" t="s">
        <v>4</v>
      </c>
      <c r="H296" s="7" t="s">
        <v>625</v>
      </c>
    </row>
    <row r="297" spans="1:8">
      <c r="A297" t="s">
        <v>611</v>
      </c>
      <c r="B297" t="s">
        <v>1393</v>
      </c>
      <c r="C297">
        <v>499011</v>
      </c>
      <c r="D297" t="s">
        <v>4</v>
      </c>
      <c r="E297" t="s">
        <v>4</v>
      </c>
      <c r="H297" s="7" t="s">
        <v>626</v>
      </c>
    </row>
    <row r="298" spans="1:8">
      <c r="A298" t="s">
        <v>611</v>
      </c>
      <c r="B298" t="s">
        <v>1394</v>
      </c>
      <c r="C298">
        <v>499011</v>
      </c>
      <c r="D298" t="s">
        <v>4</v>
      </c>
      <c r="E298" t="s">
        <v>4</v>
      </c>
      <c r="H298" s="7" t="s">
        <v>627</v>
      </c>
    </row>
    <row r="299" spans="1:8">
      <c r="A299" t="s">
        <v>611</v>
      </c>
      <c r="B299" t="s">
        <v>1396</v>
      </c>
      <c r="C299">
        <v>499011</v>
      </c>
      <c r="D299" t="s">
        <v>4</v>
      </c>
      <c r="E299" t="s">
        <v>4</v>
      </c>
      <c r="H299" s="7" t="s">
        <v>628</v>
      </c>
    </row>
    <row r="300" spans="1:8">
      <c r="A300" t="s">
        <v>611</v>
      </c>
      <c r="B300" t="s">
        <v>1398</v>
      </c>
      <c r="C300">
        <v>499011</v>
      </c>
      <c r="D300" t="s">
        <v>4</v>
      </c>
      <c r="E300" t="s">
        <v>4</v>
      </c>
      <c r="H300" s="7" t="s">
        <v>629</v>
      </c>
    </row>
    <row r="301" spans="1:8">
      <c r="A301" t="s">
        <v>611</v>
      </c>
      <c r="B301" t="s">
        <v>1400</v>
      </c>
      <c r="C301">
        <v>499011</v>
      </c>
      <c r="D301" t="s">
        <v>4</v>
      </c>
      <c r="E301" t="s">
        <v>4</v>
      </c>
      <c r="H301" s="7" t="s">
        <v>652</v>
      </c>
    </row>
    <row r="302" spans="1:8">
      <c r="A302" t="s">
        <v>611</v>
      </c>
      <c r="B302" t="s">
        <v>1402</v>
      </c>
      <c r="C302">
        <v>499011</v>
      </c>
      <c r="D302" t="s">
        <v>4</v>
      </c>
      <c r="E302" t="s">
        <v>4</v>
      </c>
      <c r="H302" s="7" t="s">
        <v>653</v>
      </c>
    </row>
    <row r="303" spans="1:8">
      <c r="A303" t="s">
        <v>611</v>
      </c>
      <c r="B303" t="s">
        <v>1404</v>
      </c>
      <c r="C303">
        <v>499011</v>
      </c>
      <c r="D303" t="s">
        <v>4</v>
      </c>
      <c r="E303" t="s">
        <v>4</v>
      </c>
      <c r="H303" s="7" t="s">
        <v>654</v>
      </c>
    </row>
    <row r="304" spans="1:8">
      <c r="A304" t="s">
        <v>611</v>
      </c>
      <c r="B304" t="s">
        <v>1406</v>
      </c>
      <c r="C304">
        <v>499011</v>
      </c>
      <c r="D304" t="s">
        <v>4</v>
      </c>
      <c r="E304" t="s">
        <v>4</v>
      </c>
      <c r="H304" s="7" t="s">
        <v>655</v>
      </c>
    </row>
    <row r="305" spans="1:8">
      <c r="A305" t="s">
        <v>611</v>
      </c>
      <c r="B305" t="s">
        <v>1408</v>
      </c>
      <c r="C305">
        <v>499011</v>
      </c>
      <c r="D305" t="s">
        <v>4</v>
      </c>
      <c r="E305" t="s">
        <v>4</v>
      </c>
      <c r="H305" s="7" t="s">
        <v>624</v>
      </c>
    </row>
    <row r="306" spans="1:8">
      <c r="A306" t="s">
        <v>611</v>
      </c>
      <c r="B306" t="s">
        <v>1410</v>
      </c>
      <c r="C306">
        <v>499011</v>
      </c>
      <c r="D306" t="s">
        <v>4</v>
      </c>
      <c r="E306" t="s">
        <v>4</v>
      </c>
      <c r="H306" s="7" t="s">
        <v>1446</v>
      </c>
    </row>
    <row r="307" spans="1:8">
      <c r="A307" t="s">
        <v>611</v>
      </c>
      <c r="B307" t="s">
        <v>1412</v>
      </c>
      <c r="C307">
        <v>499011</v>
      </c>
      <c r="D307" t="s">
        <v>4</v>
      </c>
      <c r="E307" t="s">
        <v>4</v>
      </c>
      <c r="H307" s="7" t="s">
        <v>1447</v>
      </c>
    </row>
    <row r="308" spans="1:8">
      <c r="A308" t="s">
        <v>611</v>
      </c>
      <c r="B308" t="s">
        <v>1414</v>
      </c>
      <c r="C308">
        <v>499011</v>
      </c>
      <c r="D308" t="s">
        <v>4</v>
      </c>
      <c r="E308" t="s">
        <v>4</v>
      </c>
      <c r="H308" s="7" t="s">
        <v>1448</v>
      </c>
    </row>
    <row r="309" spans="1:8">
      <c r="A309" t="s">
        <v>611</v>
      </c>
      <c r="B309" t="s">
        <v>1416</v>
      </c>
      <c r="C309">
        <v>499011</v>
      </c>
      <c r="D309" t="s">
        <v>4</v>
      </c>
      <c r="E309" t="s">
        <v>4</v>
      </c>
      <c r="H309" s="7" t="s">
        <v>1449</v>
      </c>
    </row>
    <row r="310" spans="1:8">
      <c r="A310" t="s">
        <v>611</v>
      </c>
      <c r="B310" t="s">
        <v>1418</v>
      </c>
      <c r="C310">
        <v>499011</v>
      </c>
      <c r="D310" t="s">
        <v>4</v>
      </c>
      <c r="E310" t="s">
        <v>4</v>
      </c>
      <c r="H310" s="7" t="s">
        <v>1450</v>
      </c>
    </row>
    <row r="311" spans="1:8">
      <c r="A311" t="s">
        <v>611</v>
      </c>
      <c r="B311" t="s">
        <v>1420</v>
      </c>
      <c r="C311">
        <v>499011</v>
      </c>
      <c r="D311" t="s">
        <v>4</v>
      </c>
      <c r="E311" t="s">
        <v>4</v>
      </c>
      <c r="H311" s="7" t="s">
        <v>1451</v>
      </c>
    </row>
    <row r="312" spans="1:8">
      <c r="A312" t="s">
        <v>611</v>
      </c>
      <c r="B312" t="s">
        <v>1422</v>
      </c>
      <c r="C312">
        <v>499011</v>
      </c>
      <c r="D312" t="s">
        <v>4</v>
      </c>
      <c r="E312" t="s">
        <v>4</v>
      </c>
      <c r="H312" s="7" t="s">
        <v>1497</v>
      </c>
    </row>
    <row r="313" spans="1:8">
      <c r="A313" t="s">
        <v>611</v>
      </c>
      <c r="B313" t="s">
        <v>1424</v>
      </c>
      <c r="C313">
        <v>499011</v>
      </c>
      <c r="D313" t="s">
        <v>4</v>
      </c>
      <c r="E313" t="s">
        <v>4</v>
      </c>
      <c r="H313" s="7" t="s">
        <v>1498</v>
      </c>
    </row>
    <row r="314" spans="1:8">
      <c r="A314" t="s">
        <v>612</v>
      </c>
      <c r="B314" t="s">
        <v>609</v>
      </c>
      <c r="C314">
        <v>499990</v>
      </c>
      <c r="D314" t="s">
        <v>4</v>
      </c>
      <c r="E314" t="s">
        <v>4</v>
      </c>
      <c r="H314" s="7" t="s">
        <v>1224</v>
      </c>
    </row>
    <row r="315" spans="1:8">
      <c r="A315" t="s">
        <v>612</v>
      </c>
      <c r="B315" t="s">
        <v>609</v>
      </c>
      <c r="C315">
        <v>499990</v>
      </c>
      <c r="D315" t="s">
        <v>4</v>
      </c>
      <c r="E315" t="s">
        <v>4</v>
      </c>
      <c r="H315" s="7" t="s">
        <v>1276</v>
      </c>
    </row>
    <row r="316" spans="1:8">
      <c r="A316" t="s">
        <v>612</v>
      </c>
      <c r="B316" t="s">
        <v>609</v>
      </c>
      <c r="C316">
        <v>499990</v>
      </c>
      <c r="D316" t="s">
        <v>4</v>
      </c>
      <c r="E316" t="s">
        <v>4</v>
      </c>
      <c r="H316" s="7" t="s">
        <v>1259</v>
      </c>
    </row>
    <row r="317" spans="1:8">
      <c r="A317" t="s">
        <v>612</v>
      </c>
      <c r="B317" t="s">
        <v>609</v>
      </c>
      <c r="C317">
        <v>499990</v>
      </c>
      <c r="D317" t="s">
        <v>4</v>
      </c>
      <c r="E317" t="s">
        <v>4</v>
      </c>
      <c r="H317" s="7" t="s">
        <v>1157</v>
      </c>
    </row>
    <row r="318" spans="1:8">
      <c r="A318" t="s">
        <v>612</v>
      </c>
      <c r="B318" t="s">
        <v>609</v>
      </c>
      <c r="C318">
        <v>499990</v>
      </c>
      <c r="D318" t="s">
        <v>4</v>
      </c>
      <c r="E318" t="s">
        <v>4</v>
      </c>
      <c r="H318" s="7" t="s">
        <v>1279</v>
      </c>
    </row>
    <row r="319" spans="1:8">
      <c r="A319" t="s">
        <v>612</v>
      </c>
      <c r="B319" t="s">
        <v>609</v>
      </c>
      <c r="C319">
        <v>499990</v>
      </c>
      <c r="D319" t="s">
        <v>4</v>
      </c>
      <c r="E319" t="s">
        <v>4</v>
      </c>
      <c r="H319" s="7" t="s">
        <v>1178</v>
      </c>
    </row>
    <row r="320" spans="1:8">
      <c r="A320" t="s">
        <v>612</v>
      </c>
      <c r="B320" t="s">
        <v>110</v>
      </c>
      <c r="C320">
        <v>501000</v>
      </c>
      <c r="D320" t="s">
        <v>4</v>
      </c>
      <c r="E320" t="s">
        <v>4</v>
      </c>
      <c r="H320" s="7" t="s">
        <v>1295</v>
      </c>
    </row>
    <row r="321" spans="1:8">
      <c r="A321" t="s">
        <v>612</v>
      </c>
      <c r="B321" t="s">
        <v>110</v>
      </c>
      <c r="C321">
        <v>501000</v>
      </c>
      <c r="D321" t="s">
        <v>4</v>
      </c>
      <c r="E321" t="s">
        <v>4</v>
      </c>
      <c r="H321" s="7" t="s">
        <v>1179</v>
      </c>
    </row>
    <row r="322" spans="1:8">
      <c r="A322" t="s">
        <v>612</v>
      </c>
      <c r="B322" t="s">
        <v>110</v>
      </c>
      <c r="C322">
        <v>501000</v>
      </c>
      <c r="D322" t="s">
        <v>4</v>
      </c>
      <c r="E322" t="s">
        <v>4</v>
      </c>
      <c r="H322" s="7" t="s">
        <v>1153</v>
      </c>
    </row>
    <row r="323" spans="1:8">
      <c r="A323" t="s">
        <v>612</v>
      </c>
      <c r="B323" t="s">
        <v>110</v>
      </c>
      <c r="C323">
        <v>503000</v>
      </c>
      <c r="D323" t="s">
        <v>4</v>
      </c>
      <c r="E323" t="s">
        <v>4</v>
      </c>
      <c r="H323" s="7" t="s">
        <v>1261</v>
      </c>
    </row>
    <row r="324" spans="1:8">
      <c r="A324" t="s">
        <v>612</v>
      </c>
      <c r="B324" t="s">
        <v>110</v>
      </c>
      <c r="C324">
        <v>503000</v>
      </c>
      <c r="D324" t="s">
        <v>4</v>
      </c>
      <c r="E324" t="s">
        <v>4</v>
      </c>
      <c r="H324" s="7" t="s">
        <v>1181</v>
      </c>
    </row>
    <row r="325" spans="1:8">
      <c r="A325" t="s">
        <v>612</v>
      </c>
      <c r="B325" t="s">
        <v>110</v>
      </c>
      <c r="C325">
        <v>503000</v>
      </c>
      <c r="D325" t="s">
        <v>4</v>
      </c>
      <c r="E325" t="s">
        <v>4</v>
      </c>
      <c r="H325" s="7" t="s">
        <v>1155</v>
      </c>
    </row>
    <row r="326" spans="1:8">
      <c r="A326" t="s">
        <v>612</v>
      </c>
      <c r="B326" t="s">
        <v>110</v>
      </c>
      <c r="C326">
        <v>507000</v>
      </c>
      <c r="D326" t="s">
        <v>4</v>
      </c>
      <c r="E326" t="s">
        <v>4</v>
      </c>
      <c r="H326" s="7" t="s">
        <v>1292</v>
      </c>
    </row>
    <row r="327" spans="1:8">
      <c r="A327" t="s">
        <v>612</v>
      </c>
      <c r="B327" t="s">
        <v>110</v>
      </c>
      <c r="C327">
        <v>507000</v>
      </c>
      <c r="D327" t="s">
        <v>4</v>
      </c>
      <c r="E327" t="s">
        <v>4</v>
      </c>
      <c r="H327" s="7" t="s">
        <v>1134</v>
      </c>
    </row>
    <row r="328" spans="1:8">
      <c r="A328" t="s">
        <v>612</v>
      </c>
      <c r="B328" t="s">
        <v>110</v>
      </c>
      <c r="C328">
        <v>507000</v>
      </c>
      <c r="D328" t="s">
        <v>4</v>
      </c>
      <c r="E328" t="s">
        <v>4</v>
      </c>
      <c r="H328" s="7" t="s">
        <v>1240</v>
      </c>
    </row>
    <row r="329" spans="1:8">
      <c r="A329" t="s">
        <v>612</v>
      </c>
      <c r="B329" t="s">
        <v>110</v>
      </c>
      <c r="C329">
        <v>511000</v>
      </c>
      <c r="D329" t="s">
        <v>4</v>
      </c>
      <c r="E329" t="s">
        <v>4</v>
      </c>
      <c r="H329" s="7" t="s">
        <v>1289</v>
      </c>
    </row>
    <row r="330" spans="1:8">
      <c r="A330" t="s">
        <v>612</v>
      </c>
      <c r="B330" t="s">
        <v>110</v>
      </c>
      <c r="C330">
        <v>511000</v>
      </c>
      <c r="D330" t="s">
        <v>4</v>
      </c>
      <c r="E330" t="s">
        <v>4</v>
      </c>
      <c r="H330" s="7" t="s">
        <v>1139</v>
      </c>
    </row>
    <row r="331" spans="1:8">
      <c r="A331" t="s">
        <v>612</v>
      </c>
      <c r="B331" t="s">
        <v>110</v>
      </c>
      <c r="C331">
        <v>511000</v>
      </c>
      <c r="D331" t="s">
        <v>4</v>
      </c>
      <c r="E331" t="s">
        <v>4</v>
      </c>
      <c r="H331" s="7" t="s">
        <v>1192</v>
      </c>
    </row>
    <row r="332" spans="1:8">
      <c r="A332" t="s">
        <v>612</v>
      </c>
      <c r="B332" t="s">
        <v>110</v>
      </c>
      <c r="C332">
        <v>511200</v>
      </c>
      <c r="D332" t="s">
        <v>4</v>
      </c>
      <c r="E332" t="s">
        <v>4</v>
      </c>
      <c r="H332" s="7" t="s">
        <v>1283</v>
      </c>
    </row>
    <row r="333" spans="1:8">
      <c r="A333" t="s">
        <v>612</v>
      </c>
      <c r="B333" t="s">
        <v>110</v>
      </c>
      <c r="C333">
        <v>511200</v>
      </c>
      <c r="D333" t="s">
        <v>4</v>
      </c>
      <c r="E333" t="s">
        <v>4</v>
      </c>
      <c r="H333" s="7" t="s">
        <v>1223</v>
      </c>
    </row>
    <row r="334" spans="1:8">
      <c r="A334" t="s">
        <v>612</v>
      </c>
      <c r="B334" t="s">
        <v>110</v>
      </c>
      <c r="C334">
        <v>511200</v>
      </c>
      <c r="D334" t="s">
        <v>4</v>
      </c>
      <c r="E334" t="s">
        <v>4</v>
      </c>
      <c r="H334" s="7" t="s">
        <v>1195</v>
      </c>
    </row>
    <row r="335" spans="1:8">
      <c r="A335" t="s">
        <v>612</v>
      </c>
      <c r="B335" t="s">
        <v>110</v>
      </c>
      <c r="C335">
        <v>511700</v>
      </c>
      <c r="D335" t="s">
        <v>4</v>
      </c>
      <c r="E335" t="s">
        <v>4</v>
      </c>
      <c r="H335" s="7" t="s">
        <v>1141</v>
      </c>
    </row>
    <row r="336" spans="1:8">
      <c r="A336" t="s">
        <v>612</v>
      </c>
      <c r="B336" t="s">
        <v>110</v>
      </c>
      <c r="C336">
        <v>511700</v>
      </c>
      <c r="D336" t="s">
        <v>4</v>
      </c>
      <c r="E336" t="s">
        <v>4</v>
      </c>
      <c r="H336" s="7" t="s">
        <v>1275</v>
      </c>
    </row>
    <row r="337" spans="1:8">
      <c r="A337" t="s">
        <v>612</v>
      </c>
      <c r="B337" t="s">
        <v>110</v>
      </c>
      <c r="C337">
        <v>511700</v>
      </c>
      <c r="D337" t="s">
        <v>4</v>
      </c>
      <c r="E337" t="s">
        <v>4</v>
      </c>
      <c r="H337" s="7" t="s">
        <v>1198</v>
      </c>
    </row>
    <row r="338" spans="1:8">
      <c r="A338" t="s">
        <v>618</v>
      </c>
      <c r="B338" t="s">
        <v>728</v>
      </c>
      <c r="C338">
        <v>511710</v>
      </c>
      <c r="D338" t="s">
        <v>4</v>
      </c>
      <c r="E338" t="s">
        <v>4</v>
      </c>
      <c r="H338" s="7" t="s">
        <v>778</v>
      </c>
    </row>
    <row r="339" spans="1:8">
      <c r="A339" t="s">
        <v>612</v>
      </c>
      <c r="B339" t="s">
        <v>110</v>
      </c>
      <c r="C339">
        <v>521000</v>
      </c>
      <c r="D339" t="s">
        <v>4</v>
      </c>
      <c r="E339" t="s">
        <v>4</v>
      </c>
      <c r="H339" s="7" t="s">
        <v>1133</v>
      </c>
    </row>
    <row r="340" spans="1:8">
      <c r="A340" t="s">
        <v>612</v>
      </c>
      <c r="B340" t="s">
        <v>110</v>
      </c>
      <c r="C340">
        <v>521000</v>
      </c>
      <c r="D340" t="s">
        <v>4</v>
      </c>
      <c r="E340" t="s">
        <v>4</v>
      </c>
      <c r="H340" s="7" t="s">
        <v>1202</v>
      </c>
    </row>
    <row r="341" spans="1:8">
      <c r="A341" t="s">
        <v>612</v>
      </c>
      <c r="B341" t="s">
        <v>110</v>
      </c>
      <c r="C341">
        <v>521000</v>
      </c>
      <c r="D341" t="s">
        <v>4</v>
      </c>
      <c r="E341" t="s">
        <v>4</v>
      </c>
      <c r="H341" s="7" t="s">
        <v>1144</v>
      </c>
    </row>
    <row r="342" spans="1:8">
      <c r="A342" t="s">
        <v>612</v>
      </c>
      <c r="B342" t="s">
        <v>110</v>
      </c>
      <c r="C342">
        <v>581000</v>
      </c>
      <c r="D342" t="s">
        <v>4</v>
      </c>
      <c r="E342" t="s">
        <v>4</v>
      </c>
      <c r="H342" s="7" t="s">
        <v>1193</v>
      </c>
    </row>
    <row r="343" spans="1:8">
      <c r="A343" t="s">
        <v>612</v>
      </c>
      <c r="B343" t="s">
        <v>110</v>
      </c>
      <c r="C343">
        <v>581000</v>
      </c>
      <c r="D343" t="s">
        <v>4</v>
      </c>
      <c r="E343" t="s">
        <v>4</v>
      </c>
      <c r="H343" s="7" t="s">
        <v>1083</v>
      </c>
    </row>
    <row r="344" spans="1:8">
      <c r="A344" t="s">
        <v>612</v>
      </c>
      <c r="B344" t="s">
        <v>110</v>
      </c>
      <c r="C344">
        <v>581000</v>
      </c>
      <c r="D344" t="s">
        <v>4</v>
      </c>
      <c r="E344" t="s">
        <v>4</v>
      </c>
      <c r="H344" s="7" t="s">
        <v>1210</v>
      </c>
    </row>
    <row r="345" spans="1:8">
      <c r="A345" t="s">
        <v>612</v>
      </c>
      <c r="B345" t="s">
        <v>110</v>
      </c>
      <c r="C345">
        <v>582000</v>
      </c>
      <c r="D345" t="s">
        <v>4</v>
      </c>
      <c r="E345" t="s">
        <v>4</v>
      </c>
      <c r="H345" s="7" t="s">
        <v>1205</v>
      </c>
    </row>
    <row r="346" spans="1:8">
      <c r="A346" t="s">
        <v>612</v>
      </c>
      <c r="B346" t="s">
        <v>110</v>
      </c>
      <c r="C346">
        <v>582000</v>
      </c>
      <c r="D346" t="s">
        <v>4</v>
      </c>
      <c r="E346" t="s">
        <v>4</v>
      </c>
      <c r="H346" s="7" t="s">
        <v>1257</v>
      </c>
    </row>
    <row r="347" spans="1:8">
      <c r="A347" t="s">
        <v>612</v>
      </c>
      <c r="B347" t="s">
        <v>110</v>
      </c>
      <c r="C347">
        <v>582000</v>
      </c>
      <c r="D347" t="s">
        <v>4</v>
      </c>
      <c r="E347" t="s">
        <v>4</v>
      </c>
      <c r="H347" s="7" t="s">
        <v>1201</v>
      </c>
    </row>
    <row r="348" spans="1:8">
      <c r="A348" t="s">
        <v>612</v>
      </c>
      <c r="B348" t="s">
        <v>110</v>
      </c>
      <c r="C348">
        <v>589000</v>
      </c>
      <c r="D348" t="s">
        <v>4</v>
      </c>
      <c r="E348" t="s">
        <v>4</v>
      </c>
      <c r="H348" s="7" t="s">
        <v>1196</v>
      </c>
    </row>
    <row r="349" spans="1:8">
      <c r="A349" t="s">
        <v>612</v>
      </c>
      <c r="B349" t="s">
        <v>110</v>
      </c>
      <c r="C349">
        <v>589000</v>
      </c>
      <c r="D349" t="s">
        <v>4</v>
      </c>
      <c r="E349" t="s">
        <v>4</v>
      </c>
      <c r="H349" s="7" t="s">
        <v>1189</v>
      </c>
    </row>
    <row r="350" spans="1:8">
      <c r="A350" t="s">
        <v>612</v>
      </c>
      <c r="B350" t="s">
        <v>110</v>
      </c>
      <c r="C350">
        <v>589000</v>
      </c>
      <c r="D350" t="s">
        <v>4</v>
      </c>
      <c r="E350" t="s">
        <v>4</v>
      </c>
      <c r="H350" s="7" t="s">
        <v>1204</v>
      </c>
    </row>
    <row r="351" spans="1:8">
      <c r="A351" t="s">
        <v>613</v>
      </c>
      <c r="B351" t="s">
        <v>1066</v>
      </c>
      <c r="C351">
        <v>590000</v>
      </c>
      <c r="D351" t="s">
        <v>4</v>
      </c>
      <c r="E351" t="s">
        <v>4</v>
      </c>
      <c r="H351" s="7" t="s">
        <v>1499</v>
      </c>
    </row>
    <row r="352" spans="1:8">
      <c r="A352" t="s">
        <v>613</v>
      </c>
      <c r="B352" t="s">
        <v>1066</v>
      </c>
      <c r="C352">
        <v>590001</v>
      </c>
      <c r="D352" t="s">
        <v>4</v>
      </c>
      <c r="E352" t="s">
        <v>4</v>
      </c>
      <c r="H352" s="7" t="s">
        <v>1455</v>
      </c>
    </row>
    <row r="353" spans="1:8">
      <c r="A353" t="s">
        <v>613</v>
      </c>
      <c r="B353" t="s">
        <v>1066</v>
      </c>
      <c r="C353">
        <v>590002</v>
      </c>
      <c r="D353" t="s">
        <v>4</v>
      </c>
      <c r="E353" t="s">
        <v>4</v>
      </c>
      <c r="H353" s="7" t="s">
        <v>1500</v>
      </c>
    </row>
    <row r="354" spans="1:8">
      <c r="A354" t="s">
        <v>613</v>
      </c>
      <c r="B354" t="s">
        <v>1066</v>
      </c>
      <c r="C354">
        <v>590003</v>
      </c>
      <c r="D354" t="s">
        <v>4</v>
      </c>
      <c r="E354" t="s">
        <v>4</v>
      </c>
      <c r="H354" s="7" t="s">
        <v>1501</v>
      </c>
    </row>
    <row r="355" spans="1:8">
      <c r="A355" t="s">
        <v>613</v>
      </c>
      <c r="B355" t="s">
        <v>1066</v>
      </c>
      <c r="C355">
        <v>590004</v>
      </c>
      <c r="D355" t="s">
        <v>4</v>
      </c>
      <c r="E355" t="s">
        <v>4</v>
      </c>
      <c r="H355" s="7" t="s">
        <v>1502</v>
      </c>
    </row>
    <row r="356" spans="1:8">
      <c r="A356" t="s">
        <v>613</v>
      </c>
      <c r="B356" t="s">
        <v>1066</v>
      </c>
      <c r="C356">
        <v>590006</v>
      </c>
      <c r="D356" t="s">
        <v>4</v>
      </c>
      <c r="E356" t="s">
        <v>4</v>
      </c>
      <c r="H356" s="7" t="s">
        <v>1454</v>
      </c>
    </row>
    <row r="357" spans="1:8">
      <c r="A357" t="s">
        <v>612</v>
      </c>
      <c r="B357" t="s">
        <v>842</v>
      </c>
      <c r="C357">
        <v>599000</v>
      </c>
      <c r="D357" t="s">
        <v>4</v>
      </c>
      <c r="E357" t="s">
        <v>4</v>
      </c>
      <c r="H357" s="7" t="s">
        <v>1164</v>
      </c>
    </row>
    <row r="358" spans="1:8">
      <c r="A358" t="s">
        <v>612</v>
      </c>
      <c r="B358" t="s">
        <v>842</v>
      </c>
      <c r="C358">
        <v>599001</v>
      </c>
      <c r="D358" t="s">
        <v>4</v>
      </c>
      <c r="E358" t="s">
        <v>4</v>
      </c>
      <c r="H358" s="7" t="s">
        <v>1263</v>
      </c>
    </row>
    <row r="359" spans="1:8">
      <c r="A359" t="s">
        <v>612</v>
      </c>
      <c r="B359" t="s">
        <v>842</v>
      </c>
      <c r="C359">
        <v>599003</v>
      </c>
      <c r="D359" t="s">
        <v>4</v>
      </c>
      <c r="E359" t="s">
        <v>4</v>
      </c>
      <c r="H359" s="7" t="s">
        <v>1254</v>
      </c>
    </row>
    <row r="360" spans="1:8">
      <c r="A360" t="s">
        <v>612</v>
      </c>
      <c r="B360" t="s">
        <v>842</v>
      </c>
      <c r="C360">
        <v>599004</v>
      </c>
      <c r="D360" t="s">
        <v>4</v>
      </c>
      <c r="E360" t="s">
        <v>4</v>
      </c>
      <c r="H360" s="7" t="s">
        <v>1297</v>
      </c>
    </row>
    <row r="361" spans="1:8">
      <c r="A361" t="s">
        <v>612</v>
      </c>
      <c r="B361" t="s">
        <v>842</v>
      </c>
      <c r="C361">
        <v>599005</v>
      </c>
      <c r="D361" t="s">
        <v>4</v>
      </c>
      <c r="E361" t="s">
        <v>4</v>
      </c>
      <c r="H361" s="7" t="s">
        <v>1294</v>
      </c>
    </row>
    <row r="362" spans="1:8">
      <c r="A362" t="s">
        <v>612</v>
      </c>
      <c r="B362" t="s">
        <v>842</v>
      </c>
      <c r="C362">
        <v>599008</v>
      </c>
      <c r="D362" t="s">
        <v>4</v>
      </c>
      <c r="E362" t="s">
        <v>4</v>
      </c>
      <c r="H362" s="7" t="s">
        <v>1233</v>
      </c>
    </row>
    <row r="363" spans="1:8">
      <c r="A363" t="s">
        <v>612</v>
      </c>
      <c r="B363" t="s">
        <v>841</v>
      </c>
      <c r="C363">
        <v>599009</v>
      </c>
      <c r="D363" t="s">
        <v>4</v>
      </c>
      <c r="E363" t="s">
        <v>4</v>
      </c>
      <c r="H363" s="7" t="s">
        <v>1245</v>
      </c>
    </row>
    <row r="364" spans="1:8">
      <c r="A364" t="s">
        <v>612</v>
      </c>
      <c r="B364" t="s">
        <v>841</v>
      </c>
      <c r="C364">
        <v>599009</v>
      </c>
      <c r="D364" t="s">
        <v>4</v>
      </c>
      <c r="E364" t="s">
        <v>4</v>
      </c>
      <c r="H364" s="7" t="s">
        <v>1258</v>
      </c>
    </row>
    <row r="365" spans="1:8">
      <c r="A365" t="s">
        <v>612</v>
      </c>
      <c r="B365" t="s">
        <v>841</v>
      </c>
      <c r="C365">
        <v>599009</v>
      </c>
      <c r="D365" t="s">
        <v>4</v>
      </c>
      <c r="E365" t="s">
        <v>4</v>
      </c>
      <c r="H365" s="7" t="s">
        <v>1247</v>
      </c>
    </row>
    <row r="366" spans="1:8">
      <c r="A366" t="s">
        <v>612</v>
      </c>
      <c r="B366" t="s">
        <v>841</v>
      </c>
      <c r="C366">
        <v>599009</v>
      </c>
      <c r="D366" t="s">
        <v>4</v>
      </c>
      <c r="E366" t="s">
        <v>4</v>
      </c>
      <c r="H366" s="7" t="s">
        <v>1232</v>
      </c>
    </row>
    <row r="367" spans="1:8">
      <c r="A367" t="s">
        <v>612</v>
      </c>
      <c r="B367" t="s">
        <v>841</v>
      </c>
      <c r="C367">
        <v>599009</v>
      </c>
      <c r="D367" t="s">
        <v>4</v>
      </c>
      <c r="E367" t="s">
        <v>4</v>
      </c>
      <c r="H367" s="7" t="s">
        <v>1166</v>
      </c>
    </row>
    <row r="368" spans="1:8">
      <c r="A368" t="s">
        <v>612</v>
      </c>
      <c r="B368" t="s">
        <v>841</v>
      </c>
      <c r="C368">
        <v>599009</v>
      </c>
      <c r="D368" t="s">
        <v>4</v>
      </c>
      <c r="E368" t="s">
        <v>4</v>
      </c>
      <c r="H368" s="7" t="s">
        <v>1172</v>
      </c>
    </row>
    <row r="369" spans="1:8">
      <c r="A369" t="s">
        <v>612</v>
      </c>
      <c r="B369" t="s">
        <v>841</v>
      </c>
      <c r="C369">
        <v>599009</v>
      </c>
      <c r="D369" t="s">
        <v>4</v>
      </c>
      <c r="E369" t="s">
        <v>4</v>
      </c>
      <c r="H369" s="7" t="s">
        <v>1098</v>
      </c>
    </row>
    <row r="370" spans="1:8">
      <c r="A370" t="s">
        <v>612</v>
      </c>
      <c r="B370" t="s">
        <v>841</v>
      </c>
      <c r="C370">
        <v>599009</v>
      </c>
      <c r="D370" t="s">
        <v>4</v>
      </c>
      <c r="E370" t="s">
        <v>4</v>
      </c>
      <c r="H370" s="7" t="s">
        <v>1269</v>
      </c>
    </row>
    <row r="371" spans="1:8">
      <c r="A371" t="s">
        <v>612</v>
      </c>
      <c r="B371" t="s">
        <v>110</v>
      </c>
      <c r="C371">
        <v>619000</v>
      </c>
      <c r="D371" t="s">
        <v>4</v>
      </c>
      <c r="E371" t="s">
        <v>4</v>
      </c>
      <c r="H371" s="7" t="s">
        <v>1132</v>
      </c>
    </row>
    <row r="372" spans="1:8">
      <c r="A372" t="s">
        <v>612</v>
      </c>
      <c r="B372" t="s">
        <v>110</v>
      </c>
      <c r="C372">
        <v>619000</v>
      </c>
      <c r="D372" t="s">
        <v>4</v>
      </c>
      <c r="E372" t="s">
        <v>4</v>
      </c>
      <c r="H372" s="7" t="s">
        <v>1208</v>
      </c>
    </row>
    <row r="373" spans="1:8">
      <c r="A373" t="s">
        <v>612</v>
      </c>
      <c r="B373" t="s">
        <v>110</v>
      </c>
      <c r="C373">
        <v>619000</v>
      </c>
      <c r="D373" t="s">
        <v>4</v>
      </c>
      <c r="E373" t="s">
        <v>4</v>
      </c>
      <c r="H373" s="7" t="s">
        <v>1145</v>
      </c>
    </row>
    <row r="374" spans="1:8">
      <c r="A374" t="s">
        <v>612</v>
      </c>
      <c r="B374" t="s">
        <v>110</v>
      </c>
      <c r="C374">
        <v>631000</v>
      </c>
      <c r="D374" t="s">
        <v>4</v>
      </c>
      <c r="E374" t="s">
        <v>4</v>
      </c>
      <c r="H374" s="7" t="s">
        <v>1183</v>
      </c>
    </row>
    <row r="375" spans="1:8">
      <c r="A375" t="s">
        <v>612</v>
      </c>
      <c r="B375" t="s">
        <v>110</v>
      </c>
      <c r="C375">
        <v>631000</v>
      </c>
      <c r="D375" t="s">
        <v>4</v>
      </c>
      <c r="E375" t="s">
        <v>4</v>
      </c>
      <c r="H375" s="7" t="s">
        <v>1217</v>
      </c>
    </row>
    <row r="376" spans="1:8">
      <c r="A376" t="s">
        <v>612</v>
      </c>
      <c r="B376" t="s">
        <v>110</v>
      </c>
      <c r="C376">
        <v>631000</v>
      </c>
      <c r="D376" t="s">
        <v>4</v>
      </c>
      <c r="E376" t="s">
        <v>4</v>
      </c>
      <c r="H376" s="7" t="s">
        <v>1147</v>
      </c>
    </row>
    <row r="377" spans="1:8">
      <c r="A377" t="s">
        <v>612</v>
      </c>
      <c r="B377" t="s">
        <v>110</v>
      </c>
      <c r="C377">
        <v>671000</v>
      </c>
      <c r="D377" t="s">
        <v>4</v>
      </c>
      <c r="E377" t="s">
        <v>4</v>
      </c>
      <c r="H377" s="7" t="s">
        <v>1214</v>
      </c>
    </row>
    <row r="378" spans="1:8">
      <c r="A378" t="s">
        <v>612</v>
      </c>
      <c r="B378" t="s">
        <v>609</v>
      </c>
      <c r="C378">
        <v>671012</v>
      </c>
      <c r="D378" t="s">
        <v>4</v>
      </c>
      <c r="E378" t="s">
        <v>4</v>
      </c>
      <c r="H378" s="7" t="s">
        <v>1097</v>
      </c>
    </row>
    <row r="379" spans="1:8">
      <c r="A379" t="s">
        <v>612</v>
      </c>
      <c r="B379" t="s">
        <v>609</v>
      </c>
      <c r="C379">
        <v>671012</v>
      </c>
      <c r="D379" t="s">
        <v>4</v>
      </c>
      <c r="E379" t="s">
        <v>4</v>
      </c>
      <c r="H379" s="7" t="s">
        <v>1086</v>
      </c>
    </row>
    <row r="380" spans="1:8">
      <c r="A380" t="s">
        <v>612</v>
      </c>
      <c r="B380" t="s">
        <v>609</v>
      </c>
      <c r="C380">
        <v>671012</v>
      </c>
      <c r="D380" t="s">
        <v>4</v>
      </c>
      <c r="E380" t="s">
        <v>4</v>
      </c>
      <c r="H380" s="7" t="s">
        <v>1285</v>
      </c>
    </row>
    <row r="381" spans="1:8">
      <c r="A381" t="s">
        <v>612</v>
      </c>
      <c r="B381" t="s">
        <v>609</v>
      </c>
      <c r="C381">
        <v>671012</v>
      </c>
      <c r="D381" t="s">
        <v>4</v>
      </c>
      <c r="E381" t="s">
        <v>4</v>
      </c>
      <c r="H381" s="7" t="s">
        <v>1143</v>
      </c>
    </row>
    <row r="382" spans="1:8">
      <c r="A382" t="s">
        <v>612</v>
      </c>
      <c r="B382" t="s">
        <v>110</v>
      </c>
      <c r="C382">
        <v>754000</v>
      </c>
      <c r="D382" t="s">
        <v>4</v>
      </c>
      <c r="E382" t="s">
        <v>4</v>
      </c>
      <c r="H382" s="7" t="s">
        <v>1129</v>
      </c>
    </row>
    <row r="383" spans="1:8">
      <c r="A383" t="s">
        <v>612</v>
      </c>
      <c r="B383" t="s">
        <v>110</v>
      </c>
      <c r="C383">
        <v>754000</v>
      </c>
      <c r="D383" t="s">
        <v>4</v>
      </c>
      <c r="E383" t="s">
        <v>4</v>
      </c>
      <c r="H383" s="7" t="s">
        <v>1162</v>
      </c>
    </row>
    <row r="384" spans="1:8">
      <c r="A384" t="s">
        <v>612</v>
      </c>
      <c r="B384" t="s">
        <v>110</v>
      </c>
      <c r="C384">
        <v>754000</v>
      </c>
      <c r="D384" t="s">
        <v>4</v>
      </c>
      <c r="E384" t="s">
        <v>4</v>
      </c>
      <c r="H384" s="7" t="s">
        <v>1135</v>
      </c>
    </row>
    <row r="385" spans="1:8">
      <c r="A385" t="s">
        <v>612</v>
      </c>
      <c r="B385" t="s">
        <v>110</v>
      </c>
      <c r="C385">
        <v>759000</v>
      </c>
      <c r="D385" t="s">
        <v>4</v>
      </c>
      <c r="E385" t="s">
        <v>4</v>
      </c>
      <c r="H385" s="7" t="s">
        <v>1266</v>
      </c>
    </row>
    <row r="386" spans="1:8">
      <c r="A386" t="s">
        <v>612</v>
      </c>
      <c r="B386" t="s">
        <v>110</v>
      </c>
      <c r="C386">
        <v>774000</v>
      </c>
      <c r="D386" t="s">
        <v>4</v>
      </c>
      <c r="E386" t="s">
        <v>4</v>
      </c>
      <c r="H386" s="7" t="s">
        <v>1280</v>
      </c>
    </row>
    <row r="387" spans="1:8">
      <c r="A387" t="s">
        <v>612</v>
      </c>
      <c r="B387" t="s">
        <v>110</v>
      </c>
      <c r="C387">
        <v>779000</v>
      </c>
      <c r="D387" t="s">
        <v>4</v>
      </c>
      <c r="E387" t="s">
        <v>4</v>
      </c>
      <c r="H387" s="7" t="s">
        <v>1273</v>
      </c>
    </row>
    <row r="388" spans="1:8">
      <c r="A388" t="s">
        <v>612</v>
      </c>
      <c r="B388" t="s">
        <v>110</v>
      </c>
      <c r="C388">
        <v>779000</v>
      </c>
      <c r="D388" t="s">
        <v>4</v>
      </c>
      <c r="E388" t="s">
        <v>4</v>
      </c>
      <c r="H388" s="7" t="s">
        <v>1264</v>
      </c>
    </row>
    <row r="389" spans="1:8">
      <c r="A389" t="s">
        <v>612</v>
      </c>
      <c r="B389" t="s">
        <v>111</v>
      </c>
      <c r="C389">
        <v>779000</v>
      </c>
      <c r="D389" t="s">
        <v>4</v>
      </c>
      <c r="E389" t="s">
        <v>4</v>
      </c>
      <c r="H389" s="7" t="s">
        <v>1212</v>
      </c>
    </row>
    <row r="390" spans="1:8">
      <c r="A390" t="s">
        <v>612</v>
      </c>
      <c r="B390" t="s">
        <v>111</v>
      </c>
      <c r="C390">
        <v>779000</v>
      </c>
      <c r="D390" t="s">
        <v>4</v>
      </c>
      <c r="E390" t="s">
        <v>4</v>
      </c>
      <c r="H390" s="7" t="s">
        <v>1175</v>
      </c>
    </row>
    <row r="391" spans="1:8">
      <c r="A391" t="s">
        <v>612</v>
      </c>
      <c r="B391" t="s">
        <v>111</v>
      </c>
      <c r="C391">
        <v>779000</v>
      </c>
      <c r="D391" t="s">
        <v>4</v>
      </c>
      <c r="E391" t="s">
        <v>4</v>
      </c>
      <c r="H391" s="7" t="s">
        <v>1194</v>
      </c>
    </row>
    <row r="392" spans="1:8">
      <c r="A392" t="s">
        <v>612</v>
      </c>
      <c r="B392" t="s">
        <v>110</v>
      </c>
      <c r="C392">
        <v>779000</v>
      </c>
      <c r="D392" t="s">
        <v>4</v>
      </c>
      <c r="E392" t="s">
        <v>4</v>
      </c>
      <c r="H392" s="7" t="s">
        <v>1242</v>
      </c>
    </row>
    <row r="393" spans="1:8">
      <c r="A393" t="s">
        <v>612</v>
      </c>
      <c r="B393" t="s">
        <v>110</v>
      </c>
      <c r="C393">
        <v>791000</v>
      </c>
      <c r="D393" t="s">
        <v>4</v>
      </c>
      <c r="E393" t="s">
        <v>4</v>
      </c>
      <c r="H393" s="7" t="s">
        <v>1225</v>
      </c>
    </row>
    <row r="394" spans="1:8">
      <c r="A394" t="s">
        <v>612</v>
      </c>
      <c r="B394" t="s">
        <v>110</v>
      </c>
      <c r="C394">
        <v>791000</v>
      </c>
      <c r="D394" t="s">
        <v>4</v>
      </c>
      <c r="E394" t="s">
        <v>4</v>
      </c>
      <c r="H394" s="7" t="s">
        <v>1158</v>
      </c>
    </row>
    <row r="395" spans="1:8">
      <c r="A395" t="s">
        <v>612</v>
      </c>
      <c r="B395" t="s">
        <v>110</v>
      </c>
      <c r="C395">
        <v>791000</v>
      </c>
      <c r="D395" t="s">
        <v>4</v>
      </c>
      <c r="E395" t="s">
        <v>4</v>
      </c>
      <c r="H395" s="7" t="s">
        <v>1227</v>
      </c>
    </row>
    <row r="396" spans="1:8">
      <c r="A396" t="s">
        <v>612</v>
      </c>
      <c r="B396" t="s">
        <v>110</v>
      </c>
      <c r="C396">
        <v>792000</v>
      </c>
      <c r="D396" t="s">
        <v>4</v>
      </c>
      <c r="E396" t="s">
        <v>4</v>
      </c>
      <c r="H396" s="7" t="s">
        <v>1220</v>
      </c>
    </row>
    <row r="397" spans="1:8">
      <c r="A397" t="s">
        <v>612</v>
      </c>
      <c r="B397" t="s">
        <v>110</v>
      </c>
      <c r="C397">
        <v>792000</v>
      </c>
      <c r="D397" t="s">
        <v>4</v>
      </c>
      <c r="E397" t="s">
        <v>4</v>
      </c>
      <c r="H397" s="7" t="s">
        <v>1156</v>
      </c>
    </row>
    <row r="398" spans="1:8">
      <c r="A398" t="s">
        <v>612</v>
      </c>
      <c r="B398" t="s">
        <v>110</v>
      </c>
      <c r="C398">
        <v>792000</v>
      </c>
      <c r="D398" t="s">
        <v>4</v>
      </c>
      <c r="E398" t="s">
        <v>4</v>
      </c>
      <c r="H398" s="7" t="s">
        <v>1222</v>
      </c>
    </row>
    <row r="399" spans="1:8">
      <c r="A399" t="s">
        <v>612</v>
      </c>
      <c r="B399" t="s">
        <v>110</v>
      </c>
      <c r="C399">
        <v>811000</v>
      </c>
      <c r="D399" t="s">
        <v>4</v>
      </c>
      <c r="E399" t="s">
        <v>4</v>
      </c>
      <c r="H399" s="7" t="s">
        <v>1277</v>
      </c>
    </row>
    <row r="400" spans="1:8">
      <c r="A400" t="s">
        <v>612</v>
      </c>
      <c r="B400" t="s">
        <v>110</v>
      </c>
      <c r="C400">
        <v>811000</v>
      </c>
      <c r="D400" t="s">
        <v>4</v>
      </c>
      <c r="E400" t="s">
        <v>4</v>
      </c>
      <c r="H400" s="7" t="s">
        <v>1190</v>
      </c>
    </row>
    <row r="401" spans="1:8">
      <c r="A401" t="s">
        <v>612</v>
      </c>
      <c r="B401" t="s">
        <v>110</v>
      </c>
      <c r="C401">
        <v>811000</v>
      </c>
      <c r="D401" t="s">
        <v>4</v>
      </c>
      <c r="E401" t="s">
        <v>4</v>
      </c>
      <c r="H401" s="7" t="s">
        <v>1079</v>
      </c>
    </row>
    <row r="402" spans="1:8">
      <c r="A402" t="s">
        <v>617</v>
      </c>
      <c r="B402" t="s">
        <v>41</v>
      </c>
      <c r="C402">
        <v>899991</v>
      </c>
      <c r="D402" t="s">
        <v>6</v>
      </c>
      <c r="E402" t="s">
        <v>4</v>
      </c>
      <c r="H402" s="7" t="s">
        <v>668</v>
      </c>
    </row>
    <row r="403" spans="1:8">
      <c r="A403" t="s">
        <v>617</v>
      </c>
      <c r="B403" t="s">
        <v>42</v>
      </c>
      <c r="C403">
        <v>899991</v>
      </c>
      <c r="D403" t="s">
        <v>6</v>
      </c>
      <c r="E403" t="s">
        <v>4</v>
      </c>
      <c r="H403" s="7" t="s">
        <v>659</v>
      </c>
    </row>
    <row r="404" spans="1:8">
      <c r="A404" t="s">
        <v>617</v>
      </c>
      <c r="B404" t="s">
        <v>47</v>
      </c>
      <c r="C404">
        <v>899991</v>
      </c>
      <c r="D404" t="s">
        <v>6</v>
      </c>
      <c r="E404" t="s">
        <v>4</v>
      </c>
      <c r="H404" s="7" t="s">
        <v>660</v>
      </c>
    </row>
    <row r="405" spans="1:8">
      <c r="A405" t="s">
        <v>617</v>
      </c>
      <c r="B405" t="s">
        <v>49</v>
      </c>
      <c r="C405">
        <v>899991</v>
      </c>
      <c r="D405" t="s">
        <v>6</v>
      </c>
      <c r="E405" t="s">
        <v>4</v>
      </c>
      <c r="H405" s="7" t="s">
        <v>779</v>
      </c>
    </row>
    <row r="406" spans="1:8">
      <c r="A406" t="s">
        <v>613</v>
      </c>
      <c r="B406" t="s">
        <v>1066</v>
      </c>
      <c r="C406">
        <v>902000</v>
      </c>
      <c r="D406" t="s">
        <v>4</v>
      </c>
      <c r="E406" t="s">
        <v>4</v>
      </c>
      <c r="H406" s="7" t="s">
        <v>1503</v>
      </c>
    </row>
    <row r="407" spans="1:8">
      <c r="A407" t="s">
        <v>613</v>
      </c>
      <c r="B407" t="s">
        <v>1066</v>
      </c>
      <c r="C407">
        <v>902000</v>
      </c>
      <c r="D407" t="s">
        <v>4</v>
      </c>
      <c r="E407" t="s">
        <v>4</v>
      </c>
      <c r="H407" s="7" t="s">
        <v>1504</v>
      </c>
    </row>
    <row r="408" spans="1:8">
      <c r="A408" t="s">
        <v>1087</v>
      </c>
      <c r="B408" t="s">
        <v>1066</v>
      </c>
      <c r="C408">
        <v>902000</v>
      </c>
      <c r="D408" t="s">
        <v>4</v>
      </c>
      <c r="E408" t="s">
        <v>4</v>
      </c>
      <c r="H408" s="7" t="s">
        <v>671</v>
      </c>
    </row>
    <row r="409" spans="1:8">
      <c r="A409" t="s">
        <v>1087</v>
      </c>
      <c r="B409" t="s">
        <v>1066</v>
      </c>
      <c r="C409">
        <v>902000</v>
      </c>
      <c r="D409" t="s">
        <v>4</v>
      </c>
      <c r="E409" t="s">
        <v>4</v>
      </c>
      <c r="H409" s="7" t="s">
        <v>672</v>
      </c>
    </row>
    <row r="410" spans="1:8">
      <c r="A410" t="s">
        <v>1087</v>
      </c>
      <c r="B410" t="s">
        <v>1066</v>
      </c>
      <c r="C410">
        <v>902000</v>
      </c>
      <c r="D410" t="s">
        <v>4</v>
      </c>
      <c r="E410" t="s">
        <v>4</v>
      </c>
      <c r="H410" s="7" t="s">
        <v>673</v>
      </c>
    </row>
    <row r="411" spans="1:8">
      <c r="A411" t="s">
        <v>1087</v>
      </c>
      <c r="B411" t="s">
        <v>1066</v>
      </c>
      <c r="C411">
        <v>902000</v>
      </c>
      <c r="D411" t="s">
        <v>4</v>
      </c>
      <c r="E411" t="s">
        <v>4</v>
      </c>
      <c r="H411" s="7" t="s">
        <v>674</v>
      </c>
    </row>
    <row r="412" spans="1:8">
      <c r="A412" t="s">
        <v>1087</v>
      </c>
      <c r="B412" t="s">
        <v>1066</v>
      </c>
      <c r="C412">
        <v>902000</v>
      </c>
      <c r="D412" t="s">
        <v>4</v>
      </c>
      <c r="E412" t="s">
        <v>4</v>
      </c>
      <c r="H412" s="7" t="s">
        <v>675</v>
      </c>
    </row>
    <row r="413" spans="1:8">
      <c r="A413" t="s">
        <v>1087</v>
      </c>
      <c r="B413" t="s">
        <v>1066</v>
      </c>
      <c r="C413">
        <v>902000</v>
      </c>
      <c r="D413" t="s">
        <v>4</v>
      </c>
      <c r="E413" t="s">
        <v>4</v>
      </c>
      <c r="H413" s="7" t="s">
        <v>676</v>
      </c>
    </row>
    <row r="414" spans="1:8">
      <c r="A414" t="s">
        <v>1087</v>
      </c>
      <c r="B414" t="s">
        <v>1066</v>
      </c>
      <c r="C414">
        <v>902000</v>
      </c>
      <c r="D414" t="s">
        <v>4</v>
      </c>
      <c r="E414" t="s">
        <v>4</v>
      </c>
      <c r="H414" s="7" t="s">
        <v>677</v>
      </c>
    </row>
    <row r="415" spans="1:8">
      <c r="A415" t="s">
        <v>1087</v>
      </c>
      <c r="B415" t="s">
        <v>1066</v>
      </c>
      <c r="C415">
        <v>902000</v>
      </c>
      <c r="D415" t="s">
        <v>4</v>
      </c>
      <c r="E415" t="s">
        <v>4</v>
      </c>
      <c r="H415" s="7" t="s">
        <v>844</v>
      </c>
    </row>
    <row r="416" spans="1:8">
      <c r="A416" t="s">
        <v>1087</v>
      </c>
      <c r="B416" t="s">
        <v>1066</v>
      </c>
      <c r="C416">
        <v>902000</v>
      </c>
      <c r="D416" t="s">
        <v>4</v>
      </c>
      <c r="E416" t="s">
        <v>4</v>
      </c>
      <c r="H416" s="7" t="s">
        <v>866</v>
      </c>
    </row>
    <row r="417" spans="1:8">
      <c r="A417" t="s">
        <v>1087</v>
      </c>
      <c r="B417" t="s">
        <v>1066</v>
      </c>
      <c r="C417">
        <v>902000</v>
      </c>
      <c r="D417" t="s">
        <v>4</v>
      </c>
      <c r="E417" t="s">
        <v>4</v>
      </c>
      <c r="H417" s="7" t="s">
        <v>862</v>
      </c>
    </row>
    <row r="418" spans="1:8">
      <c r="A418" t="s">
        <v>1087</v>
      </c>
      <c r="B418" t="s">
        <v>1066</v>
      </c>
      <c r="C418">
        <v>902000</v>
      </c>
      <c r="D418" t="s">
        <v>4</v>
      </c>
      <c r="E418" t="s">
        <v>4</v>
      </c>
      <c r="H418" s="7" t="s">
        <v>846</v>
      </c>
    </row>
    <row r="419" spans="1:8">
      <c r="A419" t="s">
        <v>1087</v>
      </c>
      <c r="B419" t="s">
        <v>1066</v>
      </c>
      <c r="C419">
        <v>902000</v>
      </c>
      <c r="D419" t="s">
        <v>4</v>
      </c>
      <c r="E419" t="s">
        <v>4</v>
      </c>
      <c r="H419" s="7" t="s">
        <v>848</v>
      </c>
    </row>
    <row r="420" spans="1:8">
      <c r="A420" t="s">
        <v>1087</v>
      </c>
      <c r="B420" t="s">
        <v>1066</v>
      </c>
      <c r="C420">
        <v>902000</v>
      </c>
      <c r="D420" t="s">
        <v>4</v>
      </c>
      <c r="E420" t="s">
        <v>4</v>
      </c>
      <c r="H420" s="7" t="s">
        <v>863</v>
      </c>
    </row>
    <row r="421" spans="1:8">
      <c r="A421" t="s">
        <v>1087</v>
      </c>
      <c r="B421" t="s">
        <v>1066</v>
      </c>
      <c r="C421">
        <v>902000</v>
      </c>
      <c r="D421" t="s">
        <v>4</v>
      </c>
      <c r="E421" t="s">
        <v>4</v>
      </c>
      <c r="H421" s="7" t="s">
        <v>870</v>
      </c>
    </row>
    <row r="422" spans="1:8">
      <c r="A422" t="s">
        <v>1087</v>
      </c>
      <c r="B422" t="s">
        <v>1066</v>
      </c>
      <c r="C422">
        <v>902000</v>
      </c>
      <c r="D422" t="s">
        <v>4</v>
      </c>
      <c r="E422" t="s">
        <v>4</v>
      </c>
      <c r="H422" s="7" t="s">
        <v>872</v>
      </c>
    </row>
    <row r="423" spans="1:8">
      <c r="A423" t="s">
        <v>1087</v>
      </c>
      <c r="B423" t="s">
        <v>1066</v>
      </c>
      <c r="C423">
        <v>902000</v>
      </c>
      <c r="D423" t="s">
        <v>4</v>
      </c>
      <c r="E423" t="s">
        <v>4</v>
      </c>
      <c r="H423" s="7" t="s">
        <v>874</v>
      </c>
    </row>
    <row r="424" spans="1:8">
      <c r="A424" t="s">
        <v>1087</v>
      </c>
      <c r="B424" t="s">
        <v>1066</v>
      </c>
      <c r="C424">
        <v>902000</v>
      </c>
      <c r="D424" t="s">
        <v>4</v>
      </c>
      <c r="E424" t="s">
        <v>4</v>
      </c>
      <c r="H424" s="7" t="s">
        <v>843</v>
      </c>
    </row>
    <row r="425" spans="1:8">
      <c r="A425" t="s">
        <v>1087</v>
      </c>
      <c r="B425" t="s">
        <v>1066</v>
      </c>
      <c r="C425">
        <v>902000</v>
      </c>
      <c r="D425" t="s">
        <v>4</v>
      </c>
      <c r="E425" t="s">
        <v>4</v>
      </c>
      <c r="H425" s="7" t="s">
        <v>864</v>
      </c>
    </row>
    <row r="426" spans="1:8">
      <c r="A426" t="s">
        <v>1087</v>
      </c>
      <c r="B426" t="s">
        <v>1066</v>
      </c>
      <c r="C426">
        <v>902000</v>
      </c>
      <c r="D426" t="s">
        <v>4</v>
      </c>
      <c r="E426" t="s">
        <v>4</v>
      </c>
      <c r="H426" s="7" t="s">
        <v>850</v>
      </c>
    </row>
    <row r="427" spans="1:8">
      <c r="A427" t="s">
        <v>1087</v>
      </c>
      <c r="B427" t="s">
        <v>1066</v>
      </c>
      <c r="C427">
        <v>902000</v>
      </c>
      <c r="D427" t="s">
        <v>4</v>
      </c>
      <c r="E427" t="s">
        <v>4</v>
      </c>
      <c r="H427" s="7" t="s">
        <v>852</v>
      </c>
    </row>
    <row r="428" spans="1:8">
      <c r="A428" t="s">
        <v>1087</v>
      </c>
      <c r="B428" t="s">
        <v>1066</v>
      </c>
      <c r="C428">
        <v>902000</v>
      </c>
      <c r="D428" t="s">
        <v>4</v>
      </c>
      <c r="E428" t="s">
        <v>4</v>
      </c>
      <c r="H428" s="7" t="s">
        <v>854</v>
      </c>
    </row>
    <row r="429" spans="1:8">
      <c r="A429" t="s">
        <v>1087</v>
      </c>
      <c r="B429" t="s">
        <v>1066</v>
      </c>
      <c r="C429">
        <v>902000</v>
      </c>
      <c r="D429" t="s">
        <v>4</v>
      </c>
      <c r="E429" t="s">
        <v>4</v>
      </c>
      <c r="H429" s="7" t="s">
        <v>856</v>
      </c>
    </row>
    <row r="430" spans="1:8">
      <c r="A430" t="s">
        <v>1087</v>
      </c>
      <c r="B430" t="s">
        <v>1066</v>
      </c>
      <c r="C430">
        <v>902000</v>
      </c>
      <c r="D430" t="s">
        <v>4</v>
      </c>
      <c r="E430" t="s">
        <v>4</v>
      </c>
      <c r="H430" s="7" t="s">
        <v>858</v>
      </c>
    </row>
    <row r="431" spans="1:8">
      <c r="A431" t="s">
        <v>1087</v>
      </c>
      <c r="B431" t="s">
        <v>1066</v>
      </c>
      <c r="C431">
        <v>902000</v>
      </c>
      <c r="D431" t="s">
        <v>4</v>
      </c>
      <c r="E431" t="s">
        <v>4</v>
      </c>
      <c r="H431" s="7" t="s">
        <v>860</v>
      </c>
    </row>
    <row r="432" spans="1:8">
      <c r="A432" t="s">
        <v>1087</v>
      </c>
      <c r="B432" t="s">
        <v>1066</v>
      </c>
      <c r="C432">
        <v>902000</v>
      </c>
      <c r="D432" t="s">
        <v>4</v>
      </c>
      <c r="E432" t="s">
        <v>4</v>
      </c>
      <c r="H432" s="7" t="s">
        <v>1505</v>
      </c>
    </row>
    <row r="433" spans="1:8">
      <c r="A433" t="s">
        <v>1087</v>
      </c>
      <c r="B433" t="s">
        <v>1066</v>
      </c>
      <c r="C433">
        <v>902000</v>
      </c>
      <c r="D433" t="s">
        <v>4</v>
      </c>
      <c r="E433" t="s">
        <v>4</v>
      </c>
      <c r="H433" s="7" t="s">
        <v>1506</v>
      </c>
    </row>
    <row r="434" spans="1:8">
      <c r="A434" t="s">
        <v>1087</v>
      </c>
      <c r="B434" t="s">
        <v>1066</v>
      </c>
      <c r="C434">
        <v>902000</v>
      </c>
      <c r="D434" t="s">
        <v>4</v>
      </c>
      <c r="E434" t="s">
        <v>4</v>
      </c>
      <c r="H434" s="7" t="s">
        <v>1507</v>
      </c>
    </row>
    <row r="435" spans="1:8">
      <c r="A435" t="s">
        <v>1087</v>
      </c>
      <c r="B435" t="s">
        <v>1066</v>
      </c>
      <c r="C435">
        <v>902000</v>
      </c>
      <c r="D435" t="s">
        <v>4</v>
      </c>
      <c r="E435" t="s">
        <v>4</v>
      </c>
      <c r="H435" s="7" t="s">
        <v>1508</v>
      </c>
    </row>
    <row r="436" spans="1:8">
      <c r="A436" t="s">
        <v>1087</v>
      </c>
      <c r="B436" t="s">
        <v>1066</v>
      </c>
      <c r="C436">
        <v>902000</v>
      </c>
      <c r="D436" t="s">
        <v>4</v>
      </c>
      <c r="E436" t="s">
        <v>4</v>
      </c>
      <c r="H436" s="7" t="s">
        <v>1509</v>
      </c>
    </row>
    <row r="437" spans="1:8">
      <c r="A437" t="s">
        <v>1087</v>
      </c>
      <c r="B437" t="s">
        <v>1066</v>
      </c>
      <c r="C437">
        <v>902000</v>
      </c>
      <c r="D437" t="s">
        <v>4</v>
      </c>
      <c r="E437" t="s">
        <v>4</v>
      </c>
      <c r="H437" s="7" t="s">
        <v>1510</v>
      </c>
    </row>
    <row r="438" spans="1:8">
      <c r="A438" t="s">
        <v>1087</v>
      </c>
      <c r="B438" t="s">
        <v>1066</v>
      </c>
      <c r="C438">
        <v>902000</v>
      </c>
      <c r="D438" t="s">
        <v>4</v>
      </c>
      <c r="E438" t="s">
        <v>4</v>
      </c>
      <c r="H438" s="7" t="s">
        <v>1511</v>
      </c>
    </row>
    <row r="439" spans="1:8">
      <c r="A439" t="s">
        <v>1087</v>
      </c>
      <c r="B439" t="s">
        <v>1066</v>
      </c>
      <c r="C439">
        <v>902000</v>
      </c>
      <c r="D439" t="s">
        <v>4</v>
      </c>
      <c r="E439" t="s">
        <v>4</v>
      </c>
      <c r="H439" s="7" t="s">
        <v>1512</v>
      </c>
    </row>
    <row r="440" spans="1:8">
      <c r="A440" t="s">
        <v>1087</v>
      </c>
      <c r="B440" t="s">
        <v>1066</v>
      </c>
      <c r="C440">
        <v>902000</v>
      </c>
      <c r="D440" t="s">
        <v>4</v>
      </c>
      <c r="E440" t="s">
        <v>4</v>
      </c>
      <c r="H440" s="7" t="s">
        <v>1513</v>
      </c>
    </row>
    <row r="441" spans="1:8">
      <c r="A441" t="s">
        <v>1087</v>
      </c>
      <c r="B441" t="s">
        <v>1066</v>
      </c>
      <c r="C441">
        <v>902000</v>
      </c>
      <c r="D441" t="s">
        <v>4</v>
      </c>
      <c r="E441" t="s">
        <v>4</v>
      </c>
      <c r="H441" s="7" t="s">
        <v>1514</v>
      </c>
    </row>
    <row r="442" spans="1:8">
      <c r="A442" t="s">
        <v>1087</v>
      </c>
      <c r="B442" t="s">
        <v>1066</v>
      </c>
      <c r="C442">
        <v>902000</v>
      </c>
      <c r="D442" t="s">
        <v>4</v>
      </c>
      <c r="E442" t="s">
        <v>4</v>
      </c>
      <c r="H442" s="7" t="s">
        <v>1515</v>
      </c>
    </row>
    <row r="443" spans="1:8">
      <c r="A443" t="s">
        <v>1087</v>
      </c>
      <c r="B443" t="s">
        <v>1066</v>
      </c>
      <c r="C443">
        <v>902000</v>
      </c>
      <c r="D443" t="s">
        <v>4</v>
      </c>
      <c r="E443" t="s">
        <v>4</v>
      </c>
      <c r="H443" s="7" t="s">
        <v>1516</v>
      </c>
    </row>
    <row r="444" spans="1:8">
      <c r="A444" t="s">
        <v>1087</v>
      </c>
      <c r="B444" t="s">
        <v>1066</v>
      </c>
      <c r="C444">
        <v>902000</v>
      </c>
      <c r="D444" t="s">
        <v>4</v>
      </c>
      <c r="E444" t="s">
        <v>4</v>
      </c>
      <c r="H444" s="7" t="s">
        <v>1517</v>
      </c>
    </row>
    <row r="445" spans="1:8">
      <c r="A445" t="s">
        <v>1087</v>
      </c>
      <c r="B445" t="s">
        <v>1066</v>
      </c>
      <c r="C445">
        <v>902000</v>
      </c>
      <c r="D445" t="s">
        <v>4</v>
      </c>
      <c r="E445" t="s">
        <v>4</v>
      </c>
      <c r="H445" s="7" t="s">
        <v>1518</v>
      </c>
    </row>
    <row r="446" spans="1:8">
      <c r="A446" t="s">
        <v>1087</v>
      </c>
      <c r="B446" t="s">
        <v>1066</v>
      </c>
      <c r="C446">
        <v>902000</v>
      </c>
      <c r="D446" t="s">
        <v>4</v>
      </c>
      <c r="E446" t="s">
        <v>4</v>
      </c>
      <c r="H446" s="7" t="s">
        <v>1519</v>
      </c>
    </row>
    <row r="447" spans="1:8">
      <c r="A447" t="s">
        <v>1087</v>
      </c>
      <c r="B447" t="s">
        <v>1066</v>
      </c>
      <c r="C447">
        <v>902000</v>
      </c>
      <c r="D447" t="s">
        <v>4</v>
      </c>
      <c r="E447" t="s">
        <v>4</v>
      </c>
      <c r="H447" s="7" t="s">
        <v>1520</v>
      </c>
    </row>
    <row r="448" spans="1:8">
      <c r="A448" t="s">
        <v>1087</v>
      </c>
      <c r="B448" t="s">
        <v>1066</v>
      </c>
      <c r="C448">
        <v>902000</v>
      </c>
      <c r="D448" t="s">
        <v>4</v>
      </c>
      <c r="E448" t="s">
        <v>4</v>
      </c>
      <c r="H448" s="7" t="s">
        <v>1521</v>
      </c>
    </row>
    <row r="449" spans="1:8">
      <c r="A449" t="s">
        <v>1087</v>
      </c>
      <c r="B449" t="s">
        <v>1066</v>
      </c>
      <c r="C449">
        <v>902000</v>
      </c>
      <c r="D449" t="s">
        <v>4</v>
      </c>
      <c r="E449" t="s">
        <v>4</v>
      </c>
      <c r="H449" s="7" t="s">
        <v>1522</v>
      </c>
    </row>
    <row r="450" spans="1:8">
      <c r="A450" t="s">
        <v>1087</v>
      </c>
      <c r="B450" t="s">
        <v>1066</v>
      </c>
      <c r="C450">
        <v>902000</v>
      </c>
      <c r="D450" t="s">
        <v>4</v>
      </c>
      <c r="E450" t="s">
        <v>4</v>
      </c>
      <c r="H450" s="7" t="s">
        <v>1523</v>
      </c>
    </row>
    <row r="451" spans="1:8">
      <c r="A451" t="s">
        <v>1087</v>
      </c>
      <c r="B451" t="s">
        <v>1066</v>
      </c>
      <c r="C451">
        <v>902000</v>
      </c>
      <c r="D451" t="s">
        <v>4</v>
      </c>
      <c r="E451" t="s">
        <v>4</v>
      </c>
      <c r="H451" s="7" t="s">
        <v>1524</v>
      </c>
    </row>
    <row r="452" spans="1:8">
      <c r="A452" t="s">
        <v>1087</v>
      </c>
      <c r="B452" t="s">
        <v>1066</v>
      </c>
      <c r="C452">
        <v>902000</v>
      </c>
      <c r="D452" t="s">
        <v>4</v>
      </c>
      <c r="E452" t="s">
        <v>4</v>
      </c>
      <c r="H452" s="7" t="s">
        <v>1525</v>
      </c>
    </row>
    <row r="453" spans="1:8">
      <c r="A453" t="s">
        <v>1087</v>
      </c>
      <c r="B453" t="s">
        <v>1066</v>
      </c>
      <c r="C453">
        <v>902000</v>
      </c>
      <c r="D453" t="s">
        <v>4</v>
      </c>
      <c r="E453" t="s">
        <v>4</v>
      </c>
      <c r="H453" s="7" t="s">
        <v>1526</v>
      </c>
    </row>
    <row r="454" spans="1:8">
      <c r="A454" t="s">
        <v>1087</v>
      </c>
      <c r="B454" t="s">
        <v>1066</v>
      </c>
      <c r="C454">
        <v>902000</v>
      </c>
      <c r="D454" t="s">
        <v>4</v>
      </c>
      <c r="E454" t="s">
        <v>4</v>
      </c>
      <c r="H454" s="7" t="s">
        <v>1527</v>
      </c>
    </row>
    <row r="455" spans="1:8">
      <c r="A455" t="s">
        <v>1087</v>
      </c>
      <c r="B455" t="s">
        <v>1066</v>
      </c>
      <c r="C455">
        <v>902000</v>
      </c>
      <c r="D455" t="s">
        <v>4</v>
      </c>
      <c r="E455" t="s">
        <v>4</v>
      </c>
      <c r="H455" s="7" t="s">
        <v>1528</v>
      </c>
    </row>
    <row r="456" spans="1:8">
      <c r="A456" t="s">
        <v>1087</v>
      </c>
      <c r="B456" t="s">
        <v>1066</v>
      </c>
      <c r="C456">
        <v>902000</v>
      </c>
      <c r="D456" t="s">
        <v>4</v>
      </c>
      <c r="E456" t="s">
        <v>4</v>
      </c>
      <c r="H456" s="7" t="s">
        <v>1529</v>
      </c>
    </row>
    <row r="457" spans="1:8">
      <c r="A457" t="s">
        <v>1087</v>
      </c>
      <c r="B457" t="s">
        <v>1066</v>
      </c>
      <c r="C457">
        <v>902000</v>
      </c>
      <c r="D457" t="s">
        <v>4</v>
      </c>
      <c r="E457" t="s">
        <v>4</v>
      </c>
      <c r="H457" s="7" t="s">
        <v>1530</v>
      </c>
    </row>
    <row r="458" spans="1:8">
      <c r="A458" t="s">
        <v>1087</v>
      </c>
      <c r="B458" t="s">
        <v>1066</v>
      </c>
      <c r="C458">
        <v>902000</v>
      </c>
      <c r="D458" t="s">
        <v>4</v>
      </c>
      <c r="E458" t="s">
        <v>4</v>
      </c>
      <c r="H458" s="7" t="s">
        <v>1531</v>
      </c>
    </row>
    <row r="459" spans="1:8">
      <c r="A459" t="s">
        <v>1087</v>
      </c>
      <c r="B459" t="s">
        <v>1066</v>
      </c>
      <c r="C459">
        <v>902000</v>
      </c>
      <c r="D459" t="s">
        <v>4</v>
      </c>
      <c r="E459" t="s">
        <v>4</v>
      </c>
      <c r="H459" s="7" t="s">
        <v>1532</v>
      </c>
    </row>
    <row r="460" spans="1:8">
      <c r="A460" t="s">
        <v>1087</v>
      </c>
      <c r="B460" t="s">
        <v>1066</v>
      </c>
      <c r="C460">
        <v>902000</v>
      </c>
      <c r="D460" t="s">
        <v>4</v>
      </c>
      <c r="E460" t="s">
        <v>4</v>
      </c>
      <c r="H460" s="7" t="s">
        <v>1533</v>
      </c>
    </row>
    <row r="461" spans="1:8">
      <c r="A461" t="s">
        <v>1087</v>
      </c>
      <c r="B461" t="s">
        <v>1066</v>
      </c>
      <c r="C461">
        <v>902000</v>
      </c>
      <c r="D461" t="s">
        <v>4</v>
      </c>
      <c r="E461" t="s">
        <v>4</v>
      </c>
      <c r="H461" s="7" t="s">
        <v>1534</v>
      </c>
    </row>
    <row r="462" spans="1:8">
      <c r="A462" t="s">
        <v>1087</v>
      </c>
      <c r="B462" t="s">
        <v>1066</v>
      </c>
      <c r="C462">
        <v>902000</v>
      </c>
      <c r="D462" t="s">
        <v>4</v>
      </c>
      <c r="E462" t="s">
        <v>4</v>
      </c>
      <c r="H462" s="7" t="s">
        <v>1535</v>
      </c>
    </row>
    <row r="463" spans="1:8">
      <c r="A463" t="s">
        <v>1087</v>
      </c>
      <c r="B463" t="s">
        <v>1066</v>
      </c>
      <c r="C463">
        <v>902000</v>
      </c>
      <c r="D463" t="s">
        <v>4</v>
      </c>
      <c r="E463" t="s">
        <v>4</v>
      </c>
      <c r="H463" s="7" t="s">
        <v>1536</v>
      </c>
    </row>
    <row r="464" spans="1:8">
      <c r="A464" t="s">
        <v>1087</v>
      </c>
      <c r="B464" t="s">
        <v>1066</v>
      </c>
      <c r="C464">
        <v>902000</v>
      </c>
      <c r="D464" t="s">
        <v>4</v>
      </c>
      <c r="E464" t="s">
        <v>4</v>
      </c>
      <c r="H464" s="7" t="s">
        <v>1537</v>
      </c>
    </row>
    <row r="465" spans="1:8">
      <c r="A465" t="s">
        <v>1087</v>
      </c>
      <c r="B465" t="s">
        <v>1066</v>
      </c>
      <c r="C465">
        <v>902000</v>
      </c>
      <c r="D465" t="s">
        <v>4</v>
      </c>
      <c r="E465" t="s">
        <v>4</v>
      </c>
      <c r="H465" s="7" t="s">
        <v>1538</v>
      </c>
    </row>
    <row r="466" spans="1:8">
      <c r="A466" t="s">
        <v>1087</v>
      </c>
      <c r="B466" t="s">
        <v>1066</v>
      </c>
      <c r="C466">
        <v>902000</v>
      </c>
      <c r="D466" t="s">
        <v>4</v>
      </c>
      <c r="E466" t="s">
        <v>4</v>
      </c>
      <c r="H466" s="7" t="s">
        <v>1539</v>
      </c>
    </row>
    <row r="467" spans="1:8">
      <c r="A467" t="s">
        <v>1087</v>
      </c>
      <c r="B467" t="s">
        <v>1066</v>
      </c>
      <c r="C467">
        <v>902000</v>
      </c>
      <c r="D467" t="s">
        <v>4</v>
      </c>
      <c r="E467" t="s">
        <v>4</v>
      </c>
      <c r="H467" s="7" t="s">
        <v>1540</v>
      </c>
    </row>
    <row r="468" spans="1:8">
      <c r="A468" t="s">
        <v>613</v>
      </c>
      <c r="B468" t="s">
        <v>1066</v>
      </c>
      <c r="C468">
        <v>902500</v>
      </c>
      <c r="D468" t="s">
        <v>4</v>
      </c>
      <c r="E468" t="s">
        <v>4</v>
      </c>
      <c r="H468" s="7" t="s">
        <v>1541</v>
      </c>
    </row>
    <row r="469" spans="1:8">
      <c r="A469" t="s">
        <v>613</v>
      </c>
      <c r="B469" t="s">
        <v>1066</v>
      </c>
      <c r="C469">
        <v>902500</v>
      </c>
      <c r="D469" t="s">
        <v>4</v>
      </c>
      <c r="E469" t="s">
        <v>4</v>
      </c>
      <c r="H469" s="7" t="s">
        <v>1542</v>
      </c>
    </row>
    <row r="470" spans="1:8">
      <c r="A470" t="s">
        <v>1087</v>
      </c>
      <c r="B470" t="s">
        <v>1066</v>
      </c>
      <c r="C470">
        <v>902500</v>
      </c>
      <c r="D470" t="s">
        <v>4</v>
      </c>
      <c r="E470" t="s">
        <v>4</v>
      </c>
      <c r="H470" s="7" t="s">
        <v>694</v>
      </c>
    </row>
    <row r="471" spans="1:8">
      <c r="A471" t="s">
        <v>1087</v>
      </c>
      <c r="B471" t="s">
        <v>1066</v>
      </c>
      <c r="C471">
        <v>902500</v>
      </c>
      <c r="D471" t="s">
        <v>4</v>
      </c>
      <c r="E471" t="s">
        <v>4</v>
      </c>
      <c r="H471" s="7" t="s">
        <v>695</v>
      </c>
    </row>
    <row r="472" spans="1:8">
      <c r="A472" t="s">
        <v>1087</v>
      </c>
      <c r="B472" t="s">
        <v>1066</v>
      </c>
      <c r="C472">
        <v>902500</v>
      </c>
      <c r="D472" t="s">
        <v>4</v>
      </c>
      <c r="E472" t="s">
        <v>4</v>
      </c>
      <c r="H472" s="7" t="s">
        <v>696</v>
      </c>
    </row>
    <row r="473" spans="1:8">
      <c r="A473" t="s">
        <v>1087</v>
      </c>
      <c r="B473" t="s">
        <v>1066</v>
      </c>
      <c r="C473">
        <v>902500</v>
      </c>
      <c r="D473" t="s">
        <v>4</v>
      </c>
      <c r="E473" t="s">
        <v>4</v>
      </c>
      <c r="H473" s="7" t="s">
        <v>697</v>
      </c>
    </row>
    <row r="474" spans="1:8">
      <c r="A474" t="s">
        <v>1087</v>
      </c>
      <c r="B474" t="s">
        <v>1066</v>
      </c>
      <c r="C474">
        <v>902500</v>
      </c>
      <c r="D474" t="s">
        <v>4</v>
      </c>
      <c r="E474" t="s">
        <v>4</v>
      </c>
      <c r="H474" s="7" t="s">
        <v>698</v>
      </c>
    </row>
    <row r="475" spans="1:8">
      <c r="A475" t="s">
        <v>1087</v>
      </c>
      <c r="B475" t="s">
        <v>1066</v>
      </c>
      <c r="C475">
        <v>902500</v>
      </c>
      <c r="D475" t="s">
        <v>4</v>
      </c>
      <c r="E475" t="s">
        <v>4</v>
      </c>
      <c r="H475" s="7" t="s">
        <v>699</v>
      </c>
    </row>
    <row r="476" spans="1:8">
      <c r="A476" t="s">
        <v>1087</v>
      </c>
      <c r="B476" t="s">
        <v>1066</v>
      </c>
      <c r="C476">
        <v>902500</v>
      </c>
      <c r="D476" t="s">
        <v>4</v>
      </c>
      <c r="E476" t="s">
        <v>4</v>
      </c>
      <c r="H476" s="7" t="s">
        <v>700</v>
      </c>
    </row>
    <row r="477" spans="1:8">
      <c r="A477" t="s">
        <v>1087</v>
      </c>
      <c r="B477" t="s">
        <v>1066</v>
      </c>
      <c r="C477">
        <v>902500</v>
      </c>
      <c r="D477" t="s">
        <v>4</v>
      </c>
      <c r="E477" t="s">
        <v>4</v>
      </c>
      <c r="H477" s="7" t="s">
        <v>783</v>
      </c>
    </row>
    <row r="478" spans="1:8">
      <c r="A478" t="s">
        <v>1087</v>
      </c>
      <c r="B478" t="s">
        <v>1066</v>
      </c>
      <c r="C478">
        <v>902500</v>
      </c>
      <c r="D478" t="s">
        <v>4</v>
      </c>
      <c r="E478" t="s">
        <v>4</v>
      </c>
      <c r="H478" s="7" t="s">
        <v>784</v>
      </c>
    </row>
    <row r="479" spans="1:8">
      <c r="A479" t="s">
        <v>1087</v>
      </c>
      <c r="B479" t="s">
        <v>1066</v>
      </c>
      <c r="C479">
        <v>902500</v>
      </c>
      <c r="D479" t="s">
        <v>4</v>
      </c>
      <c r="E479" t="s">
        <v>4</v>
      </c>
      <c r="H479" s="7" t="s">
        <v>845</v>
      </c>
    </row>
    <row r="480" spans="1:8">
      <c r="A480" t="s">
        <v>1087</v>
      </c>
      <c r="B480" t="s">
        <v>1066</v>
      </c>
      <c r="C480">
        <v>902500</v>
      </c>
      <c r="D480" t="s">
        <v>4</v>
      </c>
      <c r="E480" t="s">
        <v>4</v>
      </c>
      <c r="H480" s="7" t="s">
        <v>867</v>
      </c>
    </row>
    <row r="481" spans="1:8">
      <c r="A481" t="s">
        <v>1087</v>
      </c>
      <c r="B481" t="s">
        <v>1066</v>
      </c>
      <c r="C481">
        <v>902500</v>
      </c>
      <c r="D481" t="s">
        <v>4</v>
      </c>
      <c r="E481" t="s">
        <v>4</v>
      </c>
      <c r="H481" s="7" t="s">
        <v>861</v>
      </c>
    </row>
    <row r="482" spans="1:8">
      <c r="A482" t="s">
        <v>1087</v>
      </c>
      <c r="B482" t="s">
        <v>1066</v>
      </c>
      <c r="C482">
        <v>902500</v>
      </c>
      <c r="D482" t="s">
        <v>4</v>
      </c>
      <c r="E482" t="s">
        <v>4</v>
      </c>
      <c r="H482" s="7" t="s">
        <v>847</v>
      </c>
    </row>
    <row r="483" spans="1:8">
      <c r="A483" t="s">
        <v>1087</v>
      </c>
      <c r="B483" t="s">
        <v>1066</v>
      </c>
      <c r="C483">
        <v>902500</v>
      </c>
      <c r="D483" t="s">
        <v>4</v>
      </c>
      <c r="E483" t="s">
        <v>4</v>
      </c>
      <c r="H483" s="7" t="s">
        <v>849</v>
      </c>
    </row>
    <row r="484" spans="1:8">
      <c r="A484" t="s">
        <v>1087</v>
      </c>
      <c r="B484" t="s">
        <v>1066</v>
      </c>
      <c r="C484">
        <v>902500</v>
      </c>
      <c r="D484" t="s">
        <v>4</v>
      </c>
      <c r="E484" t="s">
        <v>4</v>
      </c>
      <c r="H484" s="7" t="s">
        <v>869</v>
      </c>
    </row>
    <row r="485" spans="1:8">
      <c r="A485" t="s">
        <v>1087</v>
      </c>
      <c r="B485" t="s">
        <v>1066</v>
      </c>
      <c r="C485">
        <v>902500</v>
      </c>
      <c r="D485" t="s">
        <v>4</v>
      </c>
      <c r="E485" t="s">
        <v>4</v>
      </c>
      <c r="H485" s="7" t="s">
        <v>871</v>
      </c>
    </row>
    <row r="486" spans="1:8">
      <c r="A486" t="s">
        <v>1087</v>
      </c>
      <c r="B486" t="s">
        <v>1066</v>
      </c>
      <c r="C486">
        <v>902500</v>
      </c>
      <c r="D486" t="s">
        <v>4</v>
      </c>
      <c r="E486" t="s">
        <v>4</v>
      </c>
      <c r="H486" s="7" t="s">
        <v>873</v>
      </c>
    </row>
    <row r="487" spans="1:8">
      <c r="A487" t="s">
        <v>1087</v>
      </c>
      <c r="B487" t="s">
        <v>1066</v>
      </c>
      <c r="C487">
        <v>902500</v>
      </c>
      <c r="D487" t="s">
        <v>4</v>
      </c>
      <c r="E487" t="s">
        <v>4</v>
      </c>
      <c r="H487" s="7" t="s">
        <v>868</v>
      </c>
    </row>
    <row r="488" spans="1:8">
      <c r="A488" t="s">
        <v>1087</v>
      </c>
      <c r="B488" t="s">
        <v>1066</v>
      </c>
      <c r="C488">
        <v>902500</v>
      </c>
      <c r="D488" t="s">
        <v>4</v>
      </c>
      <c r="E488" t="s">
        <v>4</v>
      </c>
      <c r="H488" s="7" t="s">
        <v>875</v>
      </c>
    </row>
    <row r="489" spans="1:8">
      <c r="A489" t="s">
        <v>1087</v>
      </c>
      <c r="B489" t="s">
        <v>1066</v>
      </c>
      <c r="C489">
        <v>902500</v>
      </c>
      <c r="D489" t="s">
        <v>4</v>
      </c>
      <c r="E489" t="s">
        <v>4</v>
      </c>
      <c r="H489" s="7" t="s">
        <v>865</v>
      </c>
    </row>
    <row r="490" spans="1:8">
      <c r="A490" t="s">
        <v>1087</v>
      </c>
      <c r="B490" t="s">
        <v>1066</v>
      </c>
      <c r="C490">
        <v>902500</v>
      </c>
      <c r="D490" t="s">
        <v>4</v>
      </c>
      <c r="E490" t="s">
        <v>4</v>
      </c>
      <c r="H490" s="7" t="s">
        <v>851</v>
      </c>
    </row>
    <row r="491" spans="1:8">
      <c r="A491" t="s">
        <v>1087</v>
      </c>
      <c r="B491" t="s">
        <v>1066</v>
      </c>
      <c r="C491">
        <v>902500</v>
      </c>
      <c r="D491" t="s">
        <v>4</v>
      </c>
      <c r="E491" t="s">
        <v>4</v>
      </c>
      <c r="H491" s="7" t="s">
        <v>853</v>
      </c>
    </row>
    <row r="492" spans="1:8">
      <c r="A492" t="s">
        <v>1087</v>
      </c>
      <c r="B492" t="s">
        <v>1066</v>
      </c>
      <c r="C492">
        <v>902500</v>
      </c>
      <c r="D492" t="s">
        <v>4</v>
      </c>
      <c r="E492" t="s">
        <v>4</v>
      </c>
      <c r="H492" s="7" t="s">
        <v>855</v>
      </c>
    </row>
    <row r="493" spans="1:8">
      <c r="A493" t="s">
        <v>1087</v>
      </c>
      <c r="B493" t="s">
        <v>1066</v>
      </c>
      <c r="C493">
        <v>902500</v>
      </c>
      <c r="D493" t="s">
        <v>4</v>
      </c>
      <c r="E493" t="s">
        <v>4</v>
      </c>
      <c r="H493" s="7" t="s">
        <v>857</v>
      </c>
    </row>
    <row r="494" spans="1:8">
      <c r="A494" t="s">
        <v>1087</v>
      </c>
      <c r="B494" t="s">
        <v>1066</v>
      </c>
      <c r="C494">
        <v>902500</v>
      </c>
      <c r="D494" t="s">
        <v>4</v>
      </c>
      <c r="E494" t="s">
        <v>4</v>
      </c>
      <c r="H494" s="7" t="s">
        <v>859</v>
      </c>
    </row>
    <row r="495" spans="1:8">
      <c r="A495" t="s">
        <v>1087</v>
      </c>
      <c r="B495" t="s">
        <v>1066</v>
      </c>
      <c r="C495">
        <v>902500</v>
      </c>
      <c r="D495" t="s">
        <v>4</v>
      </c>
      <c r="E495" t="s">
        <v>4</v>
      </c>
      <c r="H495" s="7" t="s">
        <v>1543</v>
      </c>
    </row>
    <row r="496" spans="1:8">
      <c r="A496" t="s">
        <v>1087</v>
      </c>
      <c r="B496" t="s">
        <v>1066</v>
      </c>
      <c r="C496">
        <v>902500</v>
      </c>
      <c r="D496" t="s">
        <v>4</v>
      </c>
      <c r="E496" t="s">
        <v>4</v>
      </c>
      <c r="H496" s="7" t="s">
        <v>1544</v>
      </c>
    </row>
    <row r="497" spans="1:8">
      <c r="A497" t="s">
        <v>1087</v>
      </c>
      <c r="B497" t="s">
        <v>1066</v>
      </c>
      <c r="C497">
        <v>902500</v>
      </c>
      <c r="D497" t="s">
        <v>4</v>
      </c>
      <c r="E497" t="s">
        <v>4</v>
      </c>
      <c r="H497" s="7" t="s">
        <v>1545</v>
      </c>
    </row>
    <row r="498" spans="1:8">
      <c r="A498" t="s">
        <v>1087</v>
      </c>
      <c r="B498" t="s">
        <v>1066</v>
      </c>
      <c r="C498">
        <v>902500</v>
      </c>
      <c r="D498" t="s">
        <v>4</v>
      </c>
      <c r="E498" t="s">
        <v>4</v>
      </c>
      <c r="H498" s="7" t="s">
        <v>1546</v>
      </c>
    </row>
    <row r="499" spans="1:8">
      <c r="A499" t="s">
        <v>1087</v>
      </c>
      <c r="B499" t="s">
        <v>1066</v>
      </c>
      <c r="C499">
        <v>902500</v>
      </c>
      <c r="D499" t="s">
        <v>4</v>
      </c>
      <c r="E499" t="s">
        <v>4</v>
      </c>
      <c r="H499" s="7" t="s">
        <v>1547</v>
      </c>
    </row>
    <row r="500" spans="1:8">
      <c r="A500" t="s">
        <v>1087</v>
      </c>
      <c r="B500" t="s">
        <v>1066</v>
      </c>
      <c r="C500">
        <v>902500</v>
      </c>
      <c r="D500" t="s">
        <v>4</v>
      </c>
      <c r="E500" t="s">
        <v>4</v>
      </c>
      <c r="H500" s="7" t="s">
        <v>1548</v>
      </c>
    </row>
    <row r="501" spans="1:8">
      <c r="A501" t="s">
        <v>1087</v>
      </c>
      <c r="B501" t="s">
        <v>1066</v>
      </c>
      <c r="C501">
        <v>902500</v>
      </c>
      <c r="D501" t="s">
        <v>4</v>
      </c>
      <c r="E501" t="s">
        <v>4</v>
      </c>
      <c r="H501" s="7" t="s">
        <v>1549</v>
      </c>
    </row>
    <row r="502" spans="1:8">
      <c r="A502" t="s">
        <v>1087</v>
      </c>
      <c r="B502" t="s">
        <v>1066</v>
      </c>
      <c r="C502">
        <v>902500</v>
      </c>
      <c r="D502" t="s">
        <v>4</v>
      </c>
      <c r="E502" t="s">
        <v>4</v>
      </c>
      <c r="H502" s="7" t="s">
        <v>1550</v>
      </c>
    </row>
    <row r="503" spans="1:8">
      <c r="A503" t="s">
        <v>1087</v>
      </c>
      <c r="B503" t="s">
        <v>1066</v>
      </c>
      <c r="C503">
        <v>902500</v>
      </c>
      <c r="D503" t="s">
        <v>4</v>
      </c>
      <c r="E503" t="s">
        <v>4</v>
      </c>
      <c r="H503" s="7" t="s">
        <v>1551</v>
      </c>
    </row>
    <row r="504" spans="1:8">
      <c r="A504" t="s">
        <v>1087</v>
      </c>
      <c r="B504" t="s">
        <v>1066</v>
      </c>
      <c r="C504">
        <v>902500</v>
      </c>
      <c r="D504" t="s">
        <v>4</v>
      </c>
      <c r="E504" t="s">
        <v>4</v>
      </c>
      <c r="H504" s="7" t="s">
        <v>1552</v>
      </c>
    </row>
    <row r="505" spans="1:8">
      <c r="A505" t="s">
        <v>1087</v>
      </c>
      <c r="B505" t="s">
        <v>1066</v>
      </c>
      <c r="C505">
        <v>902500</v>
      </c>
      <c r="D505" t="s">
        <v>4</v>
      </c>
      <c r="E505" t="s">
        <v>4</v>
      </c>
      <c r="H505" s="7" t="s">
        <v>1553</v>
      </c>
    </row>
    <row r="506" spans="1:8">
      <c r="A506" t="s">
        <v>1087</v>
      </c>
      <c r="B506" t="s">
        <v>1066</v>
      </c>
      <c r="C506">
        <v>902500</v>
      </c>
      <c r="D506" t="s">
        <v>4</v>
      </c>
      <c r="E506" t="s">
        <v>4</v>
      </c>
      <c r="H506" s="7" t="s">
        <v>1554</v>
      </c>
    </row>
    <row r="507" spans="1:8">
      <c r="A507" t="s">
        <v>1087</v>
      </c>
      <c r="B507" t="s">
        <v>1066</v>
      </c>
      <c r="C507">
        <v>902500</v>
      </c>
      <c r="D507" t="s">
        <v>4</v>
      </c>
      <c r="E507" t="s">
        <v>4</v>
      </c>
      <c r="H507" s="7" t="s">
        <v>1555</v>
      </c>
    </row>
    <row r="508" spans="1:8">
      <c r="A508" t="s">
        <v>1087</v>
      </c>
      <c r="B508" t="s">
        <v>1066</v>
      </c>
      <c r="C508">
        <v>902500</v>
      </c>
      <c r="D508" t="s">
        <v>4</v>
      </c>
      <c r="E508" t="s">
        <v>4</v>
      </c>
      <c r="H508" s="7" t="s">
        <v>1556</v>
      </c>
    </row>
    <row r="509" spans="1:8">
      <c r="A509" t="s">
        <v>1087</v>
      </c>
      <c r="B509" t="s">
        <v>1066</v>
      </c>
      <c r="C509">
        <v>902500</v>
      </c>
      <c r="D509" t="s">
        <v>4</v>
      </c>
      <c r="E509" t="s">
        <v>4</v>
      </c>
      <c r="H509" s="7" t="s">
        <v>1557</v>
      </c>
    </row>
    <row r="510" spans="1:8">
      <c r="A510" t="s">
        <v>1087</v>
      </c>
      <c r="B510" t="s">
        <v>1066</v>
      </c>
      <c r="C510">
        <v>902500</v>
      </c>
      <c r="D510" t="s">
        <v>4</v>
      </c>
      <c r="E510" t="s">
        <v>4</v>
      </c>
      <c r="H510" s="7" t="s">
        <v>1558</v>
      </c>
    </row>
    <row r="511" spans="1:8">
      <c r="A511" t="s">
        <v>1087</v>
      </c>
      <c r="B511" t="s">
        <v>1066</v>
      </c>
      <c r="C511">
        <v>902500</v>
      </c>
      <c r="D511" t="s">
        <v>4</v>
      </c>
      <c r="E511" t="s">
        <v>4</v>
      </c>
      <c r="H511" s="7" t="s">
        <v>1559</v>
      </c>
    </row>
    <row r="512" spans="1:8">
      <c r="A512" t="s">
        <v>1087</v>
      </c>
      <c r="B512" t="s">
        <v>1066</v>
      </c>
      <c r="C512">
        <v>902500</v>
      </c>
      <c r="D512" t="s">
        <v>4</v>
      </c>
      <c r="E512" t="s">
        <v>4</v>
      </c>
      <c r="H512" s="7" t="s">
        <v>1560</v>
      </c>
    </row>
    <row r="513" spans="1:8">
      <c r="A513" t="s">
        <v>1087</v>
      </c>
      <c r="B513" t="s">
        <v>1066</v>
      </c>
      <c r="C513">
        <v>902500</v>
      </c>
      <c r="D513" t="s">
        <v>4</v>
      </c>
      <c r="E513" t="s">
        <v>4</v>
      </c>
      <c r="H513" s="7" t="s">
        <v>1561</v>
      </c>
    </row>
    <row r="514" spans="1:8">
      <c r="A514" t="s">
        <v>1087</v>
      </c>
      <c r="B514" t="s">
        <v>1066</v>
      </c>
      <c r="C514">
        <v>902500</v>
      </c>
      <c r="D514" t="s">
        <v>4</v>
      </c>
      <c r="E514" t="s">
        <v>4</v>
      </c>
      <c r="H514" s="7" t="s">
        <v>1562</v>
      </c>
    </row>
    <row r="515" spans="1:8">
      <c r="A515" t="s">
        <v>1087</v>
      </c>
      <c r="B515" t="s">
        <v>1066</v>
      </c>
      <c r="C515">
        <v>902500</v>
      </c>
      <c r="D515" t="s">
        <v>4</v>
      </c>
      <c r="E515" t="s">
        <v>4</v>
      </c>
      <c r="H515" s="7" t="s">
        <v>1563</v>
      </c>
    </row>
    <row r="516" spans="1:8">
      <c r="A516" t="s">
        <v>1087</v>
      </c>
      <c r="B516" t="s">
        <v>1066</v>
      </c>
      <c r="C516">
        <v>902500</v>
      </c>
      <c r="D516" t="s">
        <v>4</v>
      </c>
      <c r="E516" t="s">
        <v>4</v>
      </c>
      <c r="H516" s="7" t="s">
        <v>1564</v>
      </c>
    </row>
    <row r="517" spans="1:8">
      <c r="A517" t="s">
        <v>1087</v>
      </c>
      <c r="B517" t="s">
        <v>1066</v>
      </c>
      <c r="C517">
        <v>902500</v>
      </c>
      <c r="D517" t="s">
        <v>4</v>
      </c>
      <c r="E517" t="s">
        <v>4</v>
      </c>
      <c r="H517" s="7" t="s">
        <v>1565</v>
      </c>
    </row>
    <row r="518" spans="1:8">
      <c r="A518" t="s">
        <v>1087</v>
      </c>
      <c r="B518" t="s">
        <v>1066</v>
      </c>
      <c r="C518">
        <v>902500</v>
      </c>
      <c r="D518" t="s">
        <v>4</v>
      </c>
      <c r="E518" t="s">
        <v>4</v>
      </c>
      <c r="H518" s="7" t="s">
        <v>1566</v>
      </c>
    </row>
    <row r="519" spans="1:8">
      <c r="A519" t="s">
        <v>1087</v>
      </c>
      <c r="B519" t="s">
        <v>1066</v>
      </c>
      <c r="C519">
        <v>902500</v>
      </c>
      <c r="D519" t="s">
        <v>4</v>
      </c>
      <c r="E519" t="s">
        <v>4</v>
      </c>
      <c r="H519" s="7" t="s">
        <v>1567</v>
      </c>
    </row>
    <row r="520" spans="1:8">
      <c r="A520" t="s">
        <v>1087</v>
      </c>
      <c r="B520" t="s">
        <v>1066</v>
      </c>
      <c r="C520">
        <v>902500</v>
      </c>
      <c r="D520" t="s">
        <v>4</v>
      </c>
      <c r="E520" t="s">
        <v>4</v>
      </c>
      <c r="H520" s="7" t="s">
        <v>1568</v>
      </c>
    </row>
    <row r="521" spans="1:8">
      <c r="A521" t="s">
        <v>1087</v>
      </c>
      <c r="B521" t="s">
        <v>1066</v>
      </c>
      <c r="C521">
        <v>902500</v>
      </c>
      <c r="D521" t="s">
        <v>4</v>
      </c>
      <c r="E521" t="s">
        <v>4</v>
      </c>
      <c r="H521" s="7" t="s">
        <v>1569</v>
      </c>
    </row>
    <row r="522" spans="1:8">
      <c r="A522" t="s">
        <v>1087</v>
      </c>
      <c r="B522" t="s">
        <v>1066</v>
      </c>
      <c r="C522">
        <v>902500</v>
      </c>
      <c r="D522" t="s">
        <v>4</v>
      </c>
      <c r="E522" t="s">
        <v>4</v>
      </c>
      <c r="H522" s="7" t="s">
        <v>1570</v>
      </c>
    </row>
    <row r="523" spans="1:8">
      <c r="A523" t="s">
        <v>1087</v>
      </c>
      <c r="B523" t="s">
        <v>1066</v>
      </c>
      <c r="C523">
        <v>902500</v>
      </c>
      <c r="D523" t="s">
        <v>4</v>
      </c>
      <c r="E523" t="s">
        <v>4</v>
      </c>
      <c r="H523" s="7" t="s">
        <v>1571</v>
      </c>
    </row>
    <row r="524" spans="1:8">
      <c r="A524" t="s">
        <v>1087</v>
      </c>
      <c r="B524" t="s">
        <v>1066</v>
      </c>
      <c r="C524">
        <v>902500</v>
      </c>
      <c r="D524" t="s">
        <v>4</v>
      </c>
      <c r="E524" t="s">
        <v>4</v>
      </c>
      <c r="H524" s="7" t="s">
        <v>1572</v>
      </c>
    </row>
    <row r="525" spans="1:8">
      <c r="A525" t="s">
        <v>1087</v>
      </c>
      <c r="B525" t="s">
        <v>1066</v>
      </c>
      <c r="C525">
        <v>902500</v>
      </c>
      <c r="D525" t="s">
        <v>4</v>
      </c>
      <c r="E525" t="s">
        <v>4</v>
      </c>
      <c r="H525" s="7" t="s">
        <v>1573</v>
      </c>
    </row>
    <row r="526" spans="1:8">
      <c r="A526" t="s">
        <v>1087</v>
      </c>
      <c r="B526" t="s">
        <v>1066</v>
      </c>
      <c r="C526">
        <v>902500</v>
      </c>
      <c r="D526" t="s">
        <v>4</v>
      </c>
      <c r="E526" t="s">
        <v>4</v>
      </c>
      <c r="H526" s="7" t="s">
        <v>1574</v>
      </c>
    </row>
    <row r="527" spans="1:8">
      <c r="A527" t="s">
        <v>1087</v>
      </c>
      <c r="B527" t="s">
        <v>1066</v>
      </c>
      <c r="C527">
        <v>902500</v>
      </c>
      <c r="D527" t="s">
        <v>4</v>
      </c>
      <c r="E527" t="s">
        <v>4</v>
      </c>
      <c r="H527" s="7" t="s">
        <v>1575</v>
      </c>
    </row>
    <row r="528" spans="1:8">
      <c r="A528" t="s">
        <v>1087</v>
      </c>
      <c r="B528" t="s">
        <v>1066</v>
      </c>
      <c r="C528">
        <v>902500</v>
      </c>
      <c r="D528" t="s">
        <v>4</v>
      </c>
      <c r="E528" t="s">
        <v>4</v>
      </c>
      <c r="H528" s="7" t="s">
        <v>1576</v>
      </c>
    </row>
    <row r="529" spans="1:8">
      <c r="A529" t="s">
        <v>1087</v>
      </c>
      <c r="B529" t="s">
        <v>1066</v>
      </c>
      <c r="C529">
        <v>902500</v>
      </c>
      <c r="D529" t="s">
        <v>4</v>
      </c>
      <c r="E529" t="s">
        <v>4</v>
      </c>
      <c r="H529" s="7" t="s">
        <v>1577</v>
      </c>
    </row>
    <row r="530" spans="1:8">
      <c r="A530" t="s">
        <v>1087</v>
      </c>
      <c r="B530" t="s">
        <v>1066</v>
      </c>
      <c r="C530">
        <v>902500</v>
      </c>
      <c r="D530" t="s">
        <v>4</v>
      </c>
      <c r="E530" t="s">
        <v>4</v>
      </c>
      <c r="H530" s="7" t="s">
        <v>1578</v>
      </c>
    </row>
    <row r="531" spans="1:8">
      <c r="A531" t="s">
        <v>1087</v>
      </c>
      <c r="B531" t="s">
        <v>1066</v>
      </c>
      <c r="C531">
        <v>902500</v>
      </c>
      <c r="D531" t="s">
        <v>4</v>
      </c>
      <c r="E531" t="s">
        <v>4</v>
      </c>
      <c r="H531" s="7" t="s">
        <v>1579</v>
      </c>
    </row>
    <row r="532" spans="1:8">
      <c r="A532" t="s">
        <v>1087</v>
      </c>
      <c r="B532" t="s">
        <v>1066</v>
      </c>
      <c r="C532">
        <v>902500</v>
      </c>
      <c r="D532" t="s">
        <v>4</v>
      </c>
      <c r="E532" t="s">
        <v>4</v>
      </c>
      <c r="H532" s="7" t="s">
        <v>1580</v>
      </c>
    </row>
    <row r="533" spans="1:8">
      <c r="A533" t="s">
        <v>1087</v>
      </c>
      <c r="B533" t="s">
        <v>1066</v>
      </c>
      <c r="C533">
        <v>902500</v>
      </c>
      <c r="D533" t="s">
        <v>4</v>
      </c>
      <c r="E533" t="s">
        <v>4</v>
      </c>
      <c r="H533" s="7" t="s">
        <v>1581</v>
      </c>
    </row>
    <row r="534" spans="1:8">
      <c r="A534" t="s">
        <v>1087</v>
      </c>
      <c r="B534" t="s">
        <v>1066</v>
      </c>
      <c r="C534">
        <v>902500</v>
      </c>
      <c r="D534" t="s">
        <v>4</v>
      </c>
      <c r="E534" t="s">
        <v>4</v>
      </c>
      <c r="H534" s="7" t="s">
        <v>1582</v>
      </c>
    </row>
    <row r="535" spans="1:8">
      <c r="A535" t="s">
        <v>1087</v>
      </c>
      <c r="B535" t="s">
        <v>1066</v>
      </c>
      <c r="C535">
        <v>902500</v>
      </c>
      <c r="D535" t="s">
        <v>4</v>
      </c>
      <c r="E535" t="s">
        <v>4</v>
      </c>
      <c r="H535" s="7" t="s">
        <v>1583</v>
      </c>
    </row>
    <row r="536" spans="1:8">
      <c r="A536" t="s">
        <v>1087</v>
      </c>
      <c r="B536" t="s">
        <v>1066</v>
      </c>
      <c r="C536">
        <v>902500</v>
      </c>
      <c r="D536" t="s">
        <v>4</v>
      </c>
      <c r="E536" t="s">
        <v>4</v>
      </c>
      <c r="H536" s="7" t="s">
        <v>1584</v>
      </c>
    </row>
    <row r="537" spans="1:8">
      <c r="A537" t="s">
        <v>1087</v>
      </c>
      <c r="B537" t="s">
        <v>1066</v>
      </c>
      <c r="C537">
        <v>902500</v>
      </c>
      <c r="D537" t="s">
        <v>4</v>
      </c>
      <c r="E537" t="s">
        <v>4</v>
      </c>
      <c r="H537" s="7" t="s">
        <v>1585</v>
      </c>
    </row>
    <row r="538" spans="1:8">
      <c r="A538" t="s">
        <v>1087</v>
      </c>
      <c r="B538" t="s">
        <v>1066</v>
      </c>
      <c r="C538">
        <v>902500</v>
      </c>
      <c r="D538" t="s">
        <v>4</v>
      </c>
      <c r="E538" t="s">
        <v>4</v>
      </c>
      <c r="H538" s="7" t="s">
        <v>1586</v>
      </c>
    </row>
    <row r="539" spans="1:8">
      <c r="A539" t="s">
        <v>1087</v>
      </c>
      <c r="B539" t="s">
        <v>1066</v>
      </c>
      <c r="C539">
        <v>902500</v>
      </c>
      <c r="D539" t="s">
        <v>4</v>
      </c>
      <c r="E539" t="s">
        <v>4</v>
      </c>
      <c r="H539" s="7" t="s">
        <v>1587</v>
      </c>
    </row>
    <row r="540" spans="1:8">
      <c r="A540" t="s">
        <v>1087</v>
      </c>
      <c r="B540" t="s">
        <v>1066</v>
      </c>
      <c r="C540">
        <v>902500</v>
      </c>
      <c r="D540" t="s">
        <v>4</v>
      </c>
      <c r="E540" t="s">
        <v>4</v>
      </c>
      <c r="H540" s="7" t="s">
        <v>1588</v>
      </c>
    </row>
    <row r="541" spans="1:8">
      <c r="A541" t="s">
        <v>1087</v>
      </c>
      <c r="B541" t="s">
        <v>1066</v>
      </c>
      <c r="C541">
        <v>902500</v>
      </c>
      <c r="D541" t="s">
        <v>4</v>
      </c>
      <c r="E541" t="s">
        <v>4</v>
      </c>
      <c r="H541" s="7" t="s">
        <v>1589</v>
      </c>
    </row>
    <row r="542" spans="1:8">
      <c r="A542" t="s">
        <v>1087</v>
      </c>
      <c r="B542" t="s">
        <v>1066</v>
      </c>
      <c r="C542">
        <v>902500</v>
      </c>
      <c r="D542" t="s">
        <v>4</v>
      </c>
      <c r="E542" t="s">
        <v>4</v>
      </c>
      <c r="H542" s="7" t="s">
        <v>1590</v>
      </c>
    </row>
    <row r="543" spans="1:8">
      <c r="A543" t="s">
        <v>1087</v>
      </c>
      <c r="B543" t="s">
        <v>1066</v>
      </c>
      <c r="C543">
        <v>902500</v>
      </c>
      <c r="D543" t="s">
        <v>4</v>
      </c>
      <c r="E543" t="s">
        <v>4</v>
      </c>
      <c r="H543" s="7" t="s">
        <v>1591</v>
      </c>
    </row>
    <row r="544" spans="1:8">
      <c r="A544" t="s">
        <v>1087</v>
      </c>
      <c r="B544" t="s">
        <v>1066</v>
      </c>
      <c r="C544">
        <v>902500</v>
      </c>
      <c r="D544" t="s">
        <v>4</v>
      </c>
      <c r="E544" t="s">
        <v>4</v>
      </c>
      <c r="H544" s="7" t="s">
        <v>1592</v>
      </c>
    </row>
    <row r="545" spans="1:8">
      <c r="A545" t="s">
        <v>1087</v>
      </c>
      <c r="B545" t="s">
        <v>1066</v>
      </c>
      <c r="C545">
        <v>902500</v>
      </c>
      <c r="D545" t="s">
        <v>4</v>
      </c>
      <c r="E545" t="s">
        <v>4</v>
      </c>
      <c r="H545" s="7" t="s">
        <v>1593</v>
      </c>
    </row>
    <row r="546" spans="1:8">
      <c r="A546" t="s">
        <v>1087</v>
      </c>
      <c r="B546" t="s">
        <v>1066</v>
      </c>
      <c r="C546">
        <v>902500</v>
      </c>
      <c r="D546" t="s">
        <v>4</v>
      </c>
      <c r="E546" t="s">
        <v>4</v>
      </c>
      <c r="H546" s="7" t="s">
        <v>1594</v>
      </c>
    </row>
    <row r="547" spans="1:8">
      <c r="A547" t="s">
        <v>1087</v>
      </c>
      <c r="B547" t="s">
        <v>1066</v>
      </c>
      <c r="C547">
        <v>902500</v>
      </c>
      <c r="D547" t="s">
        <v>4</v>
      </c>
      <c r="E547" t="s">
        <v>4</v>
      </c>
      <c r="H547" s="7" t="s">
        <v>1595</v>
      </c>
    </row>
    <row r="548" spans="1:8">
      <c r="A548" t="s">
        <v>1087</v>
      </c>
      <c r="B548" t="s">
        <v>1066</v>
      </c>
      <c r="C548">
        <v>902500</v>
      </c>
      <c r="D548" t="s">
        <v>4</v>
      </c>
      <c r="E548" t="s">
        <v>4</v>
      </c>
      <c r="H548" s="7" t="s">
        <v>1596</v>
      </c>
    </row>
    <row r="549" spans="1:8">
      <c r="A549" t="s">
        <v>1087</v>
      </c>
      <c r="B549" t="s">
        <v>1066</v>
      </c>
      <c r="C549">
        <v>902500</v>
      </c>
      <c r="D549" t="s">
        <v>4</v>
      </c>
      <c r="E549" t="s">
        <v>4</v>
      </c>
      <c r="H549" s="7" t="s">
        <v>1597</v>
      </c>
    </row>
    <row r="550" spans="1:8">
      <c r="A550" t="s">
        <v>1087</v>
      </c>
      <c r="B550" t="s">
        <v>1066</v>
      </c>
      <c r="C550">
        <v>902500</v>
      </c>
      <c r="D550" t="s">
        <v>4</v>
      </c>
      <c r="E550" t="s">
        <v>4</v>
      </c>
      <c r="H550" s="7" t="s">
        <v>1598</v>
      </c>
    </row>
    <row r="551" spans="1:8">
      <c r="A551" t="s">
        <v>1087</v>
      </c>
      <c r="B551" t="s">
        <v>1066</v>
      </c>
      <c r="C551">
        <v>902500</v>
      </c>
      <c r="D551" t="s">
        <v>4</v>
      </c>
      <c r="E551" t="s">
        <v>4</v>
      </c>
      <c r="H551" s="7" t="s">
        <v>1599</v>
      </c>
    </row>
    <row r="552" spans="1:8">
      <c r="A552" t="s">
        <v>1087</v>
      </c>
      <c r="B552" t="s">
        <v>1066</v>
      </c>
      <c r="C552">
        <v>902500</v>
      </c>
      <c r="D552" t="s">
        <v>4</v>
      </c>
      <c r="E552" t="s">
        <v>4</v>
      </c>
      <c r="H552" s="7" t="s">
        <v>1600</v>
      </c>
    </row>
    <row r="553" spans="1:8">
      <c r="A553" t="s">
        <v>1087</v>
      </c>
      <c r="B553" t="s">
        <v>1066</v>
      </c>
      <c r="C553">
        <v>902500</v>
      </c>
      <c r="D553" t="s">
        <v>4</v>
      </c>
      <c r="E553" t="s">
        <v>4</v>
      </c>
      <c r="H553" s="7" t="s">
        <v>1601</v>
      </c>
    </row>
    <row r="554" spans="1:8">
      <c r="A554" t="s">
        <v>1087</v>
      </c>
      <c r="B554" t="s">
        <v>1066</v>
      </c>
      <c r="C554">
        <v>902500</v>
      </c>
      <c r="D554" t="s">
        <v>4</v>
      </c>
      <c r="E554" t="s">
        <v>4</v>
      </c>
      <c r="H554" s="7" t="s">
        <v>1602</v>
      </c>
    </row>
    <row r="555" spans="1:8">
      <c r="A555" t="s">
        <v>1087</v>
      </c>
      <c r="B555" t="s">
        <v>1066</v>
      </c>
      <c r="C555">
        <v>902500</v>
      </c>
      <c r="D555" t="s">
        <v>4</v>
      </c>
      <c r="E555" t="s">
        <v>4</v>
      </c>
      <c r="H555" s="7" t="s">
        <v>1603</v>
      </c>
    </row>
    <row r="556" spans="1:8">
      <c r="A556" t="s">
        <v>618</v>
      </c>
      <c r="B556" t="s">
        <v>725</v>
      </c>
      <c r="C556">
        <v>904000</v>
      </c>
      <c r="D556" t="s">
        <v>4</v>
      </c>
      <c r="E556" t="s">
        <v>4</v>
      </c>
      <c r="H556" s="7" t="s">
        <v>777</v>
      </c>
    </row>
    <row r="557" spans="1:8">
      <c r="A557" t="s">
        <v>617</v>
      </c>
      <c r="B557" t="s">
        <v>45</v>
      </c>
      <c r="C557">
        <v>906000</v>
      </c>
      <c r="D557" t="s">
        <v>6</v>
      </c>
      <c r="E557" t="s">
        <v>4</v>
      </c>
      <c r="H557" s="7" t="s">
        <v>666</v>
      </c>
    </row>
    <row r="558" spans="1:8">
      <c r="A558" t="s">
        <v>615</v>
      </c>
      <c r="B558" t="s">
        <v>252</v>
      </c>
      <c r="C558">
        <v>907000</v>
      </c>
      <c r="D558" t="s">
        <v>4</v>
      </c>
      <c r="E558" t="s">
        <v>4</v>
      </c>
      <c r="H558" s="7" t="s">
        <v>665</v>
      </c>
    </row>
    <row r="559" spans="1:8">
      <c r="A559" t="s">
        <v>615</v>
      </c>
      <c r="B559" t="s">
        <v>253</v>
      </c>
      <c r="C559">
        <v>907010</v>
      </c>
      <c r="D559" t="s">
        <v>4</v>
      </c>
      <c r="E559" t="s">
        <v>4</v>
      </c>
      <c r="H559" s="7" t="s">
        <v>1104</v>
      </c>
    </row>
  </sheetData>
  <hyperlinks>
    <hyperlink ref="H2" location="'AR_Posting profile'!$E$14" display="14,5"/>
    <hyperlink ref="H3" location="'AR_Posting profile'!$E$15" display="15,5"/>
    <hyperlink ref="H4" location="'AR_Posting profile'!$E$16" display="16,5"/>
    <hyperlink ref="H5" location="'AR_Posting profile'!$E$17" display="17,5"/>
    <hyperlink ref="H6" location="'AR_Posting profile'!$E$23" display="23,5"/>
    <hyperlink ref="H7" location="'AR_Posting profile'!$G$23" display="23,7"/>
    <hyperlink ref="H8" location="'AR_Posting profile'!$G$3" display="3,7"/>
    <hyperlink ref="H9" location="'AR_Posting profile'!$G$4" display="4,7"/>
    <hyperlink ref="H10" location="'AR_Posting profile'!$G$5" display="5,7"/>
    <hyperlink ref="H11" location="'AR_Posting profile'!$G$6" display="6,7"/>
    <hyperlink ref="H12" location="'AR_Posting profile'!$G$7" display="7,7"/>
    <hyperlink ref="H13" location="'AR_Posting profile'!$G$8" display="8,7"/>
    <hyperlink ref="H14" location="'AR_Posting profile'!$G$9" display="9,7"/>
    <hyperlink ref="H15" location="'AR_Posting profile'!$G$10" display="10,7"/>
    <hyperlink ref="H16" location="'AR_Posting profile'!$G$11" display="11,7"/>
    <hyperlink ref="H17" location="'AR_Posting profile'!$G$12" display="12,7"/>
    <hyperlink ref="H18" location="'AR_Posting profile'!$G$13" display="13,7"/>
    <hyperlink ref="H19" location="'AR_Posting profile'!$G$14" display="14,7"/>
    <hyperlink ref="H20" location="'AR_Posting profile'!$G$15" display="15,7"/>
    <hyperlink ref="H21" location="'AR_Posting profile'!$G$16" display="16,7"/>
    <hyperlink ref="H22" location="'AR_Posting profile'!$G$17" display="17,7"/>
    <hyperlink ref="H23" location="'IM_Posting profile'!$J$152" display="152,10"/>
    <hyperlink ref="H24" location="'IM_Posting profile'!$J$10" display="10,10"/>
    <hyperlink ref="H25" location="'IM_Posting profile'!$J$39" display="39,10"/>
    <hyperlink ref="H26" location="'IM_Posting profile'!$J$71" display="71,10"/>
    <hyperlink ref="H27" location="'IM_Posting profile'!$J$78" display="78,10"/>
    <hyperlink ref="H28" location="'IM_Posting profile'!$J$86" display="86,10"/>
    <hyperlink ref="H29" location="'IM_Posting profile'!$J$102" display="102,10"/>
    <hyperlink ref="H30" location="'IM_Posting profile'!$J$110" display="110,10"/>
    <hyperlink ref="H31" location="'IM_Posting profile'!$J$118" display="118,10"/>
    <hyperlink ref="H32" location="'IM_Posting profile'!$J$124" display="124,10"/>
    <hyperlink ref="H33" location="'IM_Posting profile'!$J$9" display="9,10"/>
    <hyperlink ref="H34" location="'IM_Posting profile'!$J$38" display="38,10"/>
    <hyperlink ref="H35" location="'IM_Posting profile'!$J$70" display="70,10"/>
    <hyperlink ref="H36" location="'IM_Posting profile'!$J$77" display="77,10"/>
    <hyperlink ref="H37" location="'IM_Posting profile'!$J$85" display="85,10"/>
    <hyperlink ref="H38" location="'IM_Posting profile'!$J$101" display="101,10"/>
    <hyperlink ref="H39" location="'IM_Posting profile'!$J$109" display="109,10"/>
    <hyperlink ref="H40" location="'IM_Posting profile'!$J$117" display="117,10"/>
    <hyperlink ref="H41" location="'IM_Posting profile'!$J$123" display="123,10"/>
    <hyperlink ref="H42" location="'IM_Posting profile'!$J$89" display="89,10"/>
    <hyperlink ref="H43" location="'IM_Posting profile'!$J$90" display="90,10"/>
    <hyperlink ref="H44" location="'IM_Posting profile'!$J$91" display="91,10"/>
    <hyperlink ref="H45" location="'IM_Posting profile'!$J$92" display="92,10"/>
    <hyperlink ref="H46" location="'IM_Posting profile'!$J$97" display="97,10"/>
    <hyperlink ref="H47" location="'IM_Posting profile'!$J$98" display="98,10"/>
    <hyperlink ref="H48" location="'IM_Posting profile'!$J$99" display="99,10"/>
    <hyperlink ref="H49" location="'IM_Posting profile'!$J$100" display="100,10"/>
    <hyperlink ref="H50" location="'IM_Posting profile'!$J$93" display="93,10"/>
    <hyperlink ref="H51" location="'IM_Posting profile'!$J$94" display="94,10"/>
    <hyperlink ref="H52" location="'IM_Posting profile'!$J$95" display="95,10"/>
    <hyperlink ref="H53" location="'IM_Posting profile'!$J$96" display="96,10"/>
    <hyperlink ref="H54" location="'IM_Posting profile'!$J$11" display="11,10"/>
    <hyperlink ref="H55" location="'IM_Posting profile'!$J$40" display="40,10"/>
    <hyperlink ref="H56" location="'IM_Posting profile'!$J$72" display="72,10"/>
    <hyperlink ref="H57" location="'IM_Posting profile'!$J$79" display="79,10"/>
    <hyperlink ref="H58" location="'IM_Posting profile'!$J$87" display="87,10"/>
    <hyperlink ref="H59" location="'IM_Posting profile'!$J$103" display="103,10"/>
    <hyperlink ref="H60" location="'IM_Posting profile'!$J$111" display="111,10"/>
    <hyperlink ref="H61" location="'IM_Posting profile'!$J$112" display="112,10"/>
    <hyperlink ref="H62" location="'IM_Posting profile'!$J$119" display="119,10"/>
    <hyperlink ref="H63" location="'IM_Posting profile'!$J$125" display="125,10"/>
    <hyperlink ref="H64" location="'IM_Posting profile'!$J$184" display="184,10"/>
    <hyperlink ref="H65" location="'IM_Posting profile'!$J$186" display="186,10"/>
    <hyperlink ref="H66" location="'AR_Posting profile'!$G$18" display="18,7"/>
    <hyperlink ref="H67" location="'AR_Posting profile'!$E$19" display="19,5"/>
    <hyperlink ref="H68" location="'AR_Posting profile'!$E$20" display="20,5"/>
    <hyperlink ref="H69" location="'AR_Posting profile'!$E$22" display="22,5"/>
    <hyperlink ref="H70" location="'AR_Posting profile'!$E$21" display="21,5"/>
    <hyperlink ref="H71" location="'AP_Posting profile'!$E$14" display="14,5"/>
    <hyperlink ref="H72" location="'FA_Posting profile'!$D$7" display="7,4"/>
    <hyperlink ref="H73" location="'FA_Posting profile'!$D$16" display="16,4"/>
    <hyperlink ref="H74" location="'FA_Disposal profile'!$H$42" display="42,8"/>
    <hyperlink ref="H75" location="'FA_Disposal profile'!$H$43" display="43,8"/>
    <hyperlink ref="H76" location="'FA_Disposal profile'!$H$108" display="108,8"/>
    <hyperlink ref="H77" location="'FA_Posting profile'!$D$4" display="4,4"/>
    <hyperlink ref="H78" location="'FA_Posting profile'!$D$13" display="13,4"/>
    <hyperlink ref="H79" location="'FA_Disposal profile'!$H$36" display="36,8"/>
    <hyperlink ref="H80" location="'FA_Disposal profile'!$H$37" display="37,8"/>
    <hyperlink ref="H81" location="'FA_Disposal profile'!$H$105" display="105,8"/>
    <hyperlink ref="H82" location="'IM_Posting profile'!$J$31" display="31,10"/>
    <hyperlink ref="H83" location="'IM_Posting profile'!$J$58" display="58,10"/>
    <hyperlink ref="H84" location="'IM_Posting profile'!$J$165" display="165,10"/>
    <hyperlink ref="H85" location="'IM_Posting profile'!$J$25" display="25,10"/>
    <hyperlink ref="H86" location="'IM_Posting profile'!$J$52" display="52,10"/>
    <hyperlink ref="H87" location="'IM_Posting profile'!$J$161" display="161,10"/>
    <hyperlink ref="H88" location="'FA_Posting profile'!$D$3" display="3,4"/>
    <hyperlink ref="H89" location="'FA_Posting profile'!$D$12" display="12,4"/>
    <hyperlink ref="H90" location="'FA_Disposal profile'!$H$34" display="34,8"/>
    <hyperlink ref="H91" location="'FA_Disposal profile'!$H$35" display="35,8"/>
    <hyperlink ref="H92" location="'FA_Disposal profile'!$H$104" display="104,8"/>
    <hyperlink ref="H93" location="'IM_Posting profile'!$J$30" display="30,10"/>
    <hyperlink ref="H94" location="'IM_Posting profile'!$J$57" display="57,10"/>
    <hyperlink ref="H95" location="'IM_Posting profile'!$J$164" display="164,10"/>
    <hyperlink ref="H96" location="'IM_Posting profile'!$J$37" display="37,10"/>
    <hyperlink ref="H97" location="'IM_Posting profile'!$J$64" display="64,10"/>
    <hyperlink ref="H98" location="'IM_Posting profile'!$J$170" display="170,10"/>
    <hyperlink ref="H99" location="'IM_Posting profile'!$J$18" display="18,10"/>
    <hyperlink ref="H100" location="'IM_Posting profile'!$J$45" display="45,10"/>
    <hyperlink ref="H101" location="'IM_Posting profile'!$J$157" display="157,10"/>
    <hyperlink ref="H102" location="'FA_Posting profile'!$D$11" display="11,4"/>
    <hyperlink ref="H103" location="'FA_Posting profile'!$D$20" display="20,4"/>
    <hyperlink ref="H104" location="'FA_Disposal profile'!$H$50" display="50,8"/>
    <hyperlink ref="H105" location="'FA_Disposal profile'!$H$51" display="51,8"/>
    <hyperlink ref="H106" location="'FA_Disposal profile'!$H$112" display="112,8"/>
    <hyperlink ref="H107" location="'IM_Posting profile'!$J$32" display="32,10"/>
    <hyperlink ref="H108" location="'IM_Posting profile'!$J$59" display="59,10"/>
    <hyperlink ref="H109" location="'IM_Posting profile'!$J$166" display="166,10"/>
    <hyperlink ref="H110" location="'FA_Posting profile'!$D$5" display="5,4"/>
    <hyperlink ref="H111" location="'FA_Posting profile'!$D$6" display="6,4"/>
    <hyperlink ref="H112" location="'FA_Posting profile'!$D$8" display="8,4"/>
    <hyperlink ref="H113" location="'FA_Posting profile'!$D$14" display="14,4"/>
    <hyperlink ref="H114" location="'FA_Posting profile'!$D$15" display="15,4"/>
    <hyperlink ref="H115" location="'FA_Posting profile'!$D$17" display="17,4"/>
    <hyperlink ref="H116" location="'FA_Disposal profile'!$H$38" display="38,8"/>
    <hyperlink ref="H117" location="'FA_Disposal profile'!$H$39" display="39,8"/>
    <hyperlink ref="H118" location="'FA_Disposal profile'!$H$40" display="40,8"/>
    <hyperlink ref="H119" location="'FA_Disposal profile'!$H$41" display="41,8"/>
    <hyperlink ref="H120" location="'FA_Disposal profile'!$H$44" display="44,8"/>
    <hyperlink ref="H121" location="'FA_Disposal profile'!$H$45" display="45,8"/>
    <hyperlink ref="H122" location="'FA_Disposal profile'!$H$106" display="106,8"/>
    <hyperlink ref="H123" location="'FA_Disposal profile'!$H$107" display="107,8"/>
    <hyperlink ref="H124" location="'FA_Disposal profile'!$H$109" display="109,8"/>
    <hyperlink ref="H125" location="'FA_Posting profile'!$D$9" display="9,4"/>
    <hyperlink ref="H126" location="'FA_Posting profile'!$D$18" display="18,4"/>
    <hyperlink ref="H127" location="'FA_Disposal profile'!$H$46" display="46,8"/>
    <hyperlink ref="H128" location="'FA_Disposal profile'!$H$47" display="47,8"/>
    <hyperlink ref="H129" location="'FA_Disposal profile'!$H$110" display="110,8"/>
    <hyperlink ref="H130" location="'FA_Posting profile'!$D$10" display="10,4"/>
    <hyperlink ref="H131" location="'FA_Posting profile'!$D$19" display="19,4"/>
    <hyperlink ref="H132" location="'FA_Disposal profile'!$H$48" display="48,8"/>
    <hyperlink ref="H133" location="'FA_Disposal profile'!$H$49" display="49,8"/>
    <hyperlink ref="H134" location="'FA_Disposal profile'!$H$111" display="111,8"/>
    <hyperlink ref="H135" location="'FA_Posting profile'!$D$22" display="22,4"/>
    <hyperlink ref="H136" location="'FA_Disposal profile'!$H$5" display="5,8"/>
    <hyperlink ref="H137" location="'FA_Disposal profile'!$H$6" display="6,8"/>
    <hyperlink ref="H138" location="'FA_Disposal profile'!$H$20" display="20,8"/>
    <hyperlink ref="H139" location="'FA_Disposal profile'!$H$21" display="21,8"/>
    <hyperlink ref="H140" location="'FA_Disposal profile'!$H$89" display="89,8"/>
    <hyperlink ref="H141" location="'FA_Disposal profile'!$H$97" display="97,8"/>
    <hyperlink ref="H142" location="'FA_Posting profile'!$D$21" display="21,4"/>
    <hyperlink ref="H143" location="'FA_Disposal profile'!$H$3" display="3,8"/>
    <hyperlink ref="H144" location="'FA_Disposal profile'!$H$4" display="4,8"/>
    <hyperlink ref="H145" location="'FA_Disposal profile'!$H$18" display="18,8"/>
    <hyperlink ref="H146" location="'FA_Disposal profile'!$H$19" display="19,8"/>
    <hyperlink ref="H147" location="'FA_Disposal profile'!$H$88" display="88,8"/>
    <hyperlink ref="H148" location="'FA_Disposal profile'!$H$96" display="96,8"/>
    <hyperlink ref="H149" location="'FA_Posting profile'!$D$28" display="28,4"/>
    <hyperlink ref="H150" location="'FA_Disposal profile'!$H$17" display="17,8"/>
    <hyperlink ref="H151" location="'FA_Disposal profile'!$H$32" display="32,8"/>
    <hyperlink ref="H152" location="'FA_Disposal profile'!$H$33" display="33,8"/>
    <hyperlink ref="H153" location="'FA_Disposal profile'!$H$95" display="95,8"/>
    <hyperlink ref="H154" location="'FA_Disposal profile'!$H$103" display="103,8"/>
    <hyperlink ref="H155" location="'FA_Posting profile'!$D$23" display="23,4"/>
    <hyperlink ref="H156" location="'FA_Posting profile'!$D$24" display="24,4"/>
    <hyperlink ref="H157" location="'FA_Posting profile'!$D$25" display="25,4"/>
    <hyperlink ref="H158" location="'FA_Disposal profile'!$H$7" display="7,8"/>
    <hyperlink ref="H159" location="'FA_Disposal profile'!$H$8" display="8,8"/>
    <hyperlink ref="H160" location="'FA_Disposal profile'!$H$9" display="9,8"/>
    <hyperlink ref="H161" location="'FA_Disposal profile'!$H$10" display="10,8"/>
    <hyperlink ref="H162" location="'FA_Disposal profile'!$H$11" display="11,8"/>
    <hyperlink ref="H163" location="'FA_Disposal profile'!$H$12" display="12,8"/>
    <hyperlink ref="H164" location="'FA_Disposal profile'!$H$22" display="22,8"/>
    <hyperlink ref="H165" location="'FA_Disposal profile'!$H$23" display="23,8"/>
    <hyperlink ref="H166" location="'FA_Disposal profile'!$H$24" display="24,8"/>
    <hyperlink ref="H167" location="'FA_Disposal profile'!$H$25" display="25,8"/>
    <hyperlink ref="H168" location="'FA_Disposal profile'!$H$26" display="26,8"/>
    <hyperlink ref="H169" location="'FA_Disposal profile'!$H$27" display="27,8"/>
    <hyperlink ref="H170" location="'FA_Disposal profile'!$H$90" display="90,8"/>
    <hyperlink ref="H171" location="'FA_Disposal profile'!$H$91" display="91,8"/>
    <hyperlink ref="H172" location="'FA_Disposal profile'!$H$92" display="92,8"/>
    <hyperlink ref="H173" location="'FA_Disposal profile'!$H$98" display="98,8"/>
    <hyperlink ref="H174" location="'FA_Disposal profile'!$H$99" display="99,8"/>
    <hyperlink ref="H175" location="'FA_Disposal profile'!$H$100" display="100,8"/>
    <hyperlink ref="H176" location="'FA_Posting profile'!$D$26" display="26,4"/>
    <hyperlink ref="H177" location="'FA_Disposal profile'!$H$13" display="13,8"/>
    <hyperlink ref="H178" location="'FA_Disposal profile'!$H$14" display="14,8"/>
    <hyperlink ref="H179" location="'FA_Disposal profile'!$H$28" display="28,8"/>
    <hyperlink ref="H180" location="'FA_Disposal profile'!$H$29" display="29,8"/>
    <hyperlink ref="H181" location="'FA_Disposal profile'!$H$93" display="93,8"/>
    <hyperlink ref="H182" location="'FA_Disposal profile'!$H$101" display="101,8"/>
    <hyperlink ref="H183" location="'FA_Posting profile'!$D$27" display="27,4"/>
    <hyperlink ref="H184" location="'FA_Disposal profile'!$H$15" display="15,8"/>
    <hyperlink ref="H185" location="'FA_Disposal profile'!$H$16" display="16,8"/>
    <hyperlink ref="H186" location="'FA_Disposal profile'!$H$30" display="30,8"/>
    <hyperlink ref="H187" location="'FA_Disposal profile'!$H$31" display="31,8"/>
    <hyperlink ref="H188" location="'FA_Disposal profile'!$H$94" display="94,8"/>
    <hyperlink ref="H189" location="'FA_Disposal profile'!$H$102" display="102,8"/>
    <hyperlink ref="H190" location="'AP_Posting profile'!$E$13" display="13,5"/>
    <hyperlink ref="H191" location="'ARAP_Misc charge'!$L$15" display="15,12"/>
    <hyperlink ref="H192" location="'ARAP_Misc charge'!$L$12" display="12,12"/>
    <hyperlink ref="H193" location="'ARAP_Misc charge'!$L$9" display="9,12"/>
    <hyperlink ref="H194" location="'ARAP_Misc charge'!$L$10" display="10,12"/>
    <hyperlink ref="H195" location="'ARAP_Misc charge'!$L$11" display="11,12"/>
    <hyperlink ref="H196" location="'ARAP_Misc charge'!$L$14" display="14,12"/>
    <hyperlink ref="H197" location="'IM_Posting profile'!$J$14" display="14,10"/>
    <hyperlink ref="H198" location="'IM_Posting profile'!$J$153" display="153,10"/>
    <hyperlink ref="H199" location="'GL_Sales tax'!$C$4" display="4,3"/>
    <hyperlink ref="H200" location="'GL_Sales tax'!$C$5" display="5,3"/>
    <hyperlink ref="H201" location="'GL_Sales tax'!$D$4" display="4,4"/>
    <hyperlink ref="H202" location="'GL_Sales tax'!$D$5" display="5,4"/>
    <hyperlink ref="H203" location="'GL_Sales tax'!$D$7" display="7,4"/>
    <hyperlink ref="H204" location="'GL_Sales tax'!$F$6" display="6,6"/>
    <hyperlink ref="H205" location="'GL_Sales tax'!$E$6" display="6,5"/>
    <hyperlink ref="H206" location="'GL_System accounts'!$B$3" display="3,2"/>
    <hyperlink ref="H207" location="'AP_Posting profile'!$E$10" display="10,5"/>
    <hyperlink ref="H208" location="'AP_Posting profile'!$E$11" display="11,5"/>
    <hyperlink ref="H209" location="'AP_Posting profile'!$E$7" display="7,5"/>
    <hyperlink ref="H210" location="'AP_Posting profile'!$E$9" display="9,5"/>
    <hyperlink ref="H211" location="'AR_Posting profile'!$E$3" display="3,5"/>
    <hyperlink ref="H212" location="'AR_Posting profile'!$E$4" display="4,5"/>
    <hyperlink ref="H213" location="'AR_Posting profile'!$E$13" display="13,5"/>
    <hyperlink ref="H214" location="'AP_Posting profile'!$E$4" display="4,5"/>
    <hyperlink ref="H215" location="'AR_Posting profile'!$E$6" display="6,5"/>
    <hyperlink ref="H216" location="'AP_Posting profile'!$E$6" display="6,5"/>
    <hyperlink ref="H217" location="'AP_Posting profile'!$E$5" display="5,5"/>
    <hyperlink ref="H218" location="'AR_Posting profile'!$E$5" display="5,5"/>
    <hyperlink ref="H219" location="'AP_Posting profile'!$E$8" display="8,5"/>
    <hyperlink ref="H220" location="'AR_Posting profile'!$E$10" display="10,5"/>
    <hyperlink ref="H221" location="'AP_Posting profile'!$E$3" display="3,5"/>
    <hyperlink ref="H222" location="'AR_Posting profile'!$E$7" display="7,5"/>
    <hyperlink ref="H223" location="'AP_Posting profile'!$E$12" display="12,5"/>
    <hyperlink ref="H224" location="'AR_Posting profile'!$E$8" display="8,5"/>
    <hyperlink ref="H225" location="'AR_Posting profile'!$E$9" display="9,5"/>
    <hyperlink ref="H226" location="'GL_System accounts'!$B$4" display="4,2"/>
    <hyperlink ref="H227" location="'GL_System accounts'!$B$8" display="8,2"/>
    <hyperlink ref="H228" location="'GL_System accounts'!$B$7" display="7,2"/>
    <hyperlink ref="H229" location="'IM_Posting profile'!$J$135" display="135,10"/>
    <hyperlink ref="H230" location="'IM_Posting profile'!$J$138" display="138,10"/>
    <hyperlink ref="H231" location="'IM_Posting profile'!$J$141" display="141,10"/>
    <hyperlink ref="H232" location="'IM_Posting profile'!$J$151" display="151,10"/>
    <hyperlink ref="H233" location="'GL_System accounts'!$B$12" display="12,2"/>
    <hyperlink ref="H234" location="'ARAP_Misc charge'!$H$7" display="7,8"/>
    <hyperlink ref="H235" location="'ARAP_Misc charge'!$L$6" display="6,12"/>
    <hyperlink ref="H236" location="'IM_Posting profile'!$J$144" display="144,10"/>
    <hyperlink ref="H237" location="'IM_Posting profile'!$J$145" display="145,10"/>
    <hyperlink ref="H238" location="'IM_Posting profile'!$J$146" display="146,10"/>
    <hyperlink ref="H239" location="'IM_Posting profile'!$J$147" display="147,10"/>
    <hyperlink ref="H240" location="'IM_Posting profile'!$J$148" display="148,10"/>
    <hyperlink ref="H241" location="'ARAP_Misc charge'!$L$3" display="3,12"/>
    <hyperlink ref="H242" location="'ARAP_Misc charge'!$L$4" display="4,12"/>
    <hyperlink ref="H243" location="'GL_System accounts'!$B$10" display="10,2"/>
    <hyperlink ref="H244" location="'ARAP_Cash discount'!$I$3" display="3,9"/>
    <hyperlink ref="H245" location="'ARAP_Cash discount'!$I$4" display="4,9"/>
    <hyperlink ref="H246" location="'ARAP_Cash discount'!$I$5" display="5,9"/>
    <hyperlink ref="H247" location="'ARAP_Cash discount'!$I$6" display="6,9"/>
    <hyperlink ref="H248" location="'ARAP_Cash discount'!$I$7" display="7,9"/>
    <hyperlink ref="H249" location="'ARAP_Cash discount'!$I$8" display="8,9"/>
    <hyperlink ref="H250" location="'ARAP_Cash discount'!$I$9" display="9,9"/>
    <hyperlink ref="H251" location="'ARAP_Cash discount'!$I$10" display="10,9"/>
    <hyperlink ref="H252" location="'ARAP_Cash discount'!$I$11" display="11,9"/>
    <hyperlink ref="H253" location="'ARAP_Cash discount'!$I$12" display="12,9"/>
    <hyperlink ref="H254" location="'ARAP_Cash discount'!$I$13" display="13,9"/>
    <hyperlink ref="H255" location="'ARAP_Cash discount'!$I$14" display="14,9"/>
    <hyperlink ref="H256" location="'ARAP_Cash discount'!$I$15" display="15,9"/>
    <hyperlink ref="H257" location="'ARAP_Cash discount'!$I$16" display="16,9"/>
    <hyperlink ref="H258" location="'ARAP_Cash discount'!$I$17" display="17,9"/>
    <hyperlink ref="H259" location="'ARAP_Cash discount'!$I$18" display="18,9"/>
    <hyperlink ref="H260" location="'ARAP_Cash discount'!$I$19" display="19,9"/>
    <hyperlink ref="H261" location="'ARAP_Cash discount'!$I$20" display="20,9"/>
    <hyperlink ref="H262" location="'IM_Posting profile'!$J$134" display="134,10"/>
    <hyperlink ref="H263" location="'IM_Posting profile'!$J$137" display="137,10"/>
    <hyperlink ref="H264" location="'IM_Posting profile'!$J$140" display="140,10"/>
    <hyperlink ref="H265" location="'IM_Posting profile'!$J$133" display="133,10"/>
    <hyperlink ref="H266" location="'IM_Posting profile'!$J$136" display="136,10"/>
    <hyperlink ref="H267" location="'IM_Posting profile'!$J$139" display="139,10"/>
    <hyperlink ref="H268" location="'IM_Posting profile'!$J$172" display="172,10"/>
    <hyperlink ref="H269" location="'IM_Posting profile'!$J$88" display="88,10"/>
    <hyperlink ref="H270" location="'IM_Posting profile'!$J$104" display="104,10"/>
    <hyperlink ref="H271" location="'IM_Posting profile'!$J$7" display="7,10"/>
    <hyperlink ref="H272" location="'IM_Posting profile'!$J$29" display="29,10"/>
    <hyperlink ref="H273" location="'IM_Posting profile'!$J$56" display="56,10"/>
    <hyperlink ref="H274" location="'IM_Posting profile'!$J$173" display="173,10"/>
    <hyperlink ref="H275" location="'ARAP_Misc charge'!$L$5" display="5,12"/>
    <hyperlink ref="H276" location="'IM_Posting profile'!$J$75" display="75,10"/>
    <hyperlink ref="H277" location="'IM_Posting profile'!$J$82" display="82,10"/>
    <hyperlink ref="H278" location="'IM_Posting profile'!$J$74" display="74,10"/>
    <hyperlink ref="H279" location="'IM_Posting profile'!$J$81" display="81,10"/>
    <hyperlink ref="H280" location="'IM_Posting profile'!$J$76" display="76,10"/>
    <hyperlink ref="H281" location="'IM_Posting profile'!$J$83" display="83,10"/>
    <hyperlink ref="H282" location="'ARAP_Misc charge'!$L$18" display="18,12"/>
    <hyperlink ref="H283" location="'IM_Posting profile'!$J$66" display="66,10"/>
    <hyperlink ref="H284" location="'IM_Posting profile'!$J$129" display="129,10"/>
    <hyperlink ref="H285" location="'IM_Posting profile'!$J$128" display="128,10"/>
    <hyperlink ref="H286" location="'IM_Posting profile'!$J$175" display="175,10"/>
    <hyperlink ref="H287" location="'IM_Posting profile'!$J$177" display="177,10"/>
    <hyperlink ref="H288" location="'IM_Posting profile'!$J$130" display="130,10"/>
    <hyperlink ref="H289" location="'IM_Posting profile'!$J$176" display="176,10"/>
    <hyperlink ref="H290" location="'IM_Posting profile'!$J$178" display="178,10"/>
    <hyperlink ref="H291" location="'IM_Posting profile'!$J$122" display="122,10"/>
    <hyperlink ref="H292" location="'IM_Posting profile'!$J$65" display="65,10"/>
    <hyperlink ref="H293" location="'IM_Posting profile'!$J$67" display="67,10"/>
    <hyperlink ref="H294" location="'IM_Posting profile'!$J$185" display="185,10"/>
    <hyperlink ref="H295" location="'IM_Posting profile'!$J$187" display="187,10"/>
    <hyperlink ref="H296" location="'ARAP_Cash discount'!$G$3" display="3,7"/>
    <hyperlink ref="H297" location="'ARAP_Cash discount'!$G$4" display="4,7"/>
    <hyperlink ref="H298" location="'ARAP_Cash discount'!$G$5" display="5,7"/>
    <hyperlink ref="H299" location="'ARAP_Cash discount'!$G$6" display="6,7"/>
    <hyperlink ref="H300" location="'ARAP_Cash discount'!$G$7" display="7,7"/>
    <hyperlink ref="H301" location="'ARAP_Cash discount'!$G$8" display="8,7"/>
    <hyperlink ref="H302" location="'ARAP_Cash discount'!$G$9" display="9,7"/>
    <hyperlink ref="H303" location="'ARAP_Cash discount'!$G$10" display="10,7"/>
    <hyperlink ref="H304" location="'ARAP_Cash discount'!$G$11" display="11,7"/>
    <hyperlink ref="H305" location="'ARAP_Cash discount'!$G$12" display="12,7"/>
    <hyperlink ref="H306" location="'ARAP_Cash discount'!$G$13" display="13,7"/>
    <hyperlink ref="H307" location="'ARAP_Cash discount'!$G$14" display="14,7"/>
    <hyperlink ref="H308" location="'ARAP_Cash discount'!$G$15" display="15,7"/>
    <hyperlink ref="H309" location="'ARAP_Cash discount'!$G$16" display="16,7"/>
    <hyperlink ref="H310" location="'ARAP_Cash discount'!$G$17" display="17,7"/>
    <hyperlink ref="H311" location="'ARAP_Cash discount'!$G$18" display="18,7"/>
    <hyperlink ref="H312" location="'ARAP_Cash discount'!$G$19" display="19,7"/>
    <hyperlink ref="H313" location="'ARAP_Cash discount'!$G$20" display="20,7"/>
    <hyperlink ref="H314" location="'IM_Posting profile'!$J$120" display="120,10"/>
    <hyperlink ref="H315" location="'IM_Posting profile'!$J$121" display="121,10"/>
    <hyperlink ref="H316" location="'IM_Posting profile'!$J$126" display="126,10"/>
    <hyperlink ref="H317" location="'IM_Posting profile'!$J$127" display="127,10"/>
    <hyperlink ref="H318" location="'IM_Posting profile'!$J$131" display="131,10"/>
    <hyperlink ref="H319" location="'IM_Posting profile'!$J$132" display="132,10"/>
    <hyperlink ref="H320" location="'IM_Posting profile'!$J$34" display="34,10"/>
    <hyperlink ref="H321" location="'IM_Posting profile'!$J$61" display="61,10"/>
    <hyperlink ref="H322" location="'IM_Posting profile'!$J$168" display="168,10"/>
    <hyperlink ref="H323" location="'IM_Posting profile'!$J$33" display="33,10"/>
    <hyperlink ref="H324" location="'IM_Posting profile'!$J$60" display="60,10"/>
    <hyperlink ref="H325" location="'IM_Posting profile'!$J$167" display="167,10"/>
    <hyperlink ref="H326" location="'IM_Posting profile'!$J$35" display="35,10"/>
    <hyperlink ref="H327" location="'IM_Posting profile'!$J$62" display="62,10"/>
    <hyperlink ref="H328" location="'IM_Posting profile'!$J$169" display="169,10"/>
    <hyperlink ref="H329" location="'IM_Posting profile'!$J$15" display="15,10"/>
    <hyperlink ref="H330" location="'IM_Posting profile'!$J$42" display="42,10"/>
    <hyperlink ref="H331" location="'IM_Posting profile'!$J$154" display="154,10"/>
    <hyperlink ref="H332" location="'IM_Posting profile'!$J$16" display="16,10"/>
    <hyperlink ref="H333" location="'IM_Posting profile'!$J$43" display="43,10"/>
    <hyperlink ref="H334" location="'IM_Posting profile'!$J$155" display="155,10"/>
    <hyperlink ref="H335" location="'IM_Posting profile'!$J$17" display="17,10"/>
    <hyperlink ref="H336" location="'IM_Posting profile'!$J$44" display="44,10"/>
    <hyperlink ref="H337" location="'IM_Posting profile'!$J$156" display="156,10"/>
    <hyperlink ref="H338" location="'IM_Journal name'!$C$5" display="5,3"/>
    <hyperlink ref="H339" location="'IM_Posting profile'!$J$5" display="5,10"/>
    <hyperlink ref="H340" location="'IM_Posting profile'!$J$24" display="24,10"/>
    <hyperlink ref="H341" location="'IM_Posting profile'!$J$51" display="51,10"/>
    <hyperlink ref="H342" location="'IM_Posting profile'!$J$20" display="20,10"/>
    <hyperlink ref="H343" location="'IM_Posting profile'!$J$47" display="47,10"/>
    <hyperlink ref="H344" location="'IM_Posting profile'!$J$158" display="158,10"/>
    <hyperlink ref="H345" location="'IM_Posting profile'!$J$22" display="22,10"/>
    <hyperlink ref="H346" location="'IM_Posting profile'!$J$49" display="49,10"/>
    <hyperlink ref="H347" location="'IM_Posting profile'!$J$160" display="160,10"/>
    <hyperlink ref="H348" location="'IM_Posting profile'!$J$21" display="21,10"/>
    <hyperlink ref="H349" location="'IM_Posting profile'!$J$48" display="48,10"/>
    <hyperlink ref="H350" location="'IM_Posting profile'!$J$159" display="159,10"/>
    <hyperlink ref="H351" location="'FA_Posting profile'!$E$27" display="27,5"/>
    <hyperlink ref="H352" location="'FA_Posting profile'!$E$21" display="21,5"/>
    <hyperlink ref="H353" location="'FA_Posting profile'!$E$28" display="28,5"/>
    <hyperlink ref="H354" location="'FA_Posting profile'!$E$25" display="25,5"/>
    <hyperlink ref="H355" location="'FA_Posting profile'!$E$26" display="26,5"/>
    <hyperlink ref="H356" location="'FA_Posting profile'!$E$22" display="22,5"/>
    <hyperlink ref="H357" location="'IM_Posting profile'!$J$183" display="183,10"/>
    <hyperlink ref="H358" location="'IM_Posting profile'!$J$180" display="180,10"/>
    <hyperlink ref="H359" location="'IM_Posting profile'!$J$174" display="174,10"/>
    <hyperlink ref="H360" location="'IM_Posting profile'!$J$181" display="181,10"/>
    <hyperlink ref="H361" location="'IM_Posting profile'!$J$182" display="182,10"/>
    <hyperlink ref="H362" location="'IM_Posting profile'!$J$179" display="179,10"/>
    <hyperlink ref="H363" location="'IM_Posting profile'!$J$105" display="105,10"/>
    <hyperlink ref="H364" location="'IM_Posting profile'!$J$106" display="106,10"/>
    <hyperlink ref="H365" location="'IM_Posting profile'!$J$107" display="107,10"/>
    <hyperlink ref="H366" location="'IM_Posting profile'!$J$108" display="108,10"/>
    <hyperlink ref="H367" location="'IM_Posting profile'!$J$113" display="113,10"/>
    <hyperlink ref="H368" location="'IM_Posting profile'!$J$114" display="114,10"/>
    <hyperlink ref="H369" location="'IM_Posting profile'!$J$115" display="115,10"/>
    <hyperlink ref="H370" location="'IM_Posting profile'!$J$116" display="116,10"/>
    <hyperlink ref="H371" location="'IM_Posting profile'!$J$4" display="4,10"/>
    <hyperlink ref="H372" location="'IM_Posting profile'!$J$23" display="23,10"/>
    <hyperlink ref="H373" location="'IM_Posting profile'!$J$50" display="50,10"/>
    <hyperlink ref="H374" location="'IM_Posting profile'!$J$6" display="6,10"/>
    <hyperlink ref="H375" location="'IM_Posting profile'!$J$26" display="26,10"/>
    <hyperlink ref="H376" location="'IM_Posting profile'!$J$53" display="53,10"/>
    <hyperlink ref="H377" location="'IM_Posting profile'!$J$12" display="12,10"/>
    <hyperlink ref="H378" location="'IM_Posting profile'!$J$142" display="142,10"/>
    <hyperlink ref="H379" location="'IM_Posting profile'!$J$143" display="143,10"/>
    <hyperlink ref="H380" location="'IM_Posting profile'!$J$149" display="149,10"/>
    <hyperlink ref="H381" location="'IM_Posting profile'!$J$150" display="150,10"/>
    <hyperlink ref="H382" location="'IM_Posting profile'!$J$8" display="8,10"/>
    <hyperlink ref="H383" location="'IM_Posting profile'!$J$36" display="36,10"/>
    <hyperlink ref="H384" location="'IM_Posting profile'!$J$63" display="63,10"/>
    <hyperlink ref="H385" location="'IM_Posting profile'!$J$68" display="68,10"/>
    <hyperlink ref="H386" location="'IM_Posting profile'!$J$13" display="13,10"/>
    <hyperlink ref="H387" location="'IM_Posting profile'!$J$41" display="41,10"/>
    <hyperlink ref="H388" location="'IM_Posting profile'!$J$69" display="69,10"/>
    <hyperlink ref="H389" location="'IM_Posting profile'!$J$73" display="73,10"/>
    <hyperlink ref="H390" location="'IM_Posting profile'!$J$80" display="80,10"/>
    <hyperlink ref="H391" location="'IM_Posting profile'!$J$84" display="84,10"/>
    <hyperlink ref="H392" location="'IM_Posting profile'!$J$171" display="171,10"/>
    <hyperlink ref="H393" location="'IM_Posting profile'!$J$28" display="28,10"/>
    <hyperlink ref="H394" location="'IM_Posting profile'!$J$55" display="55,10"/>
    <hyperlink ref="H395" location="'IM_Posting profile'!$J$163" display="163,10"/>
    <hyperlink ref="H396" location="'IM_Posting profile'!$J$27" display="27,10"/>
    <hyperlink ref="H397" location="'IM_Posting profile'!$J$54" display="54,10"/>
    <hyperlink ref="H398" location="'IM_Posting profile'!$J$162" display="162,10"/>
    <hyperlink ref="H399" location="'IM_Posting profile'!$J$3" display="3,10"/>
    <hyperlink ref="H400" location="'IM_Posting profile'!$J$19" display="19,10"/>
    <hyperlink ref="H401" location="'IM_Posting profile'!$J$46" display="46,10"/>
    <hyperlink ref="H402" location="'GL_System accounts'!$B$5" display="5,2"/>
    <hyperlink ref="H403" location="'GL_System accounts'!$B$6" display="6,2"/>
    <hyperlink ref="H404" location="'GL_System accounts'!$B$11" display="11,2"/>
    <hyperlink ref="H405" location="'GL_System accounts'!$B$13" display="13,2"/>
    <hyperlink ref="H406" location="'FA_Posting profile'!$D$29" display="29,4"/>
    <hyperlink ref="H407" location="'FA_Posting profile'!$E$29" display="29,5"/>
    <hyperlink ref="H408" location="'FA_Disposal profile'!$I$4" display="4,9"/>
    <hyperlink ref="H409" location="'FA_Disposal profile'!$I$6" display="6,9"/>
    <hyperlink ref="H410" location="'FA_Disposal profile'!$I$8" display="8,9"/>
    <hyperlink ref="H411" location="'FA_Disposal profile'!$I$10" display="10,9"/>
    <hyperlink ref="H412" location="'FA_Disposal profile'!$I$12" display="12,9"/>
    <hyperlink ref="H413" location="'FA_Disposal profile'!$I$14" display="14,9"/>
    <hyperlink ref="H414" location="'FA_Disposal profile'!$I$16" display="16,9"/>
    <hyperlink ref="H415" location="'FA_Disposal profile'!$I$19" display="19,9"/>
    <hyperlink ref="H416" location="'FA_Disposal profile'!$I$21" display="21,9"/>
    <hyperlink ref="H417" location="'FA_Disposal profile'!$I$23" display="23,9"/>
    <hyperlink ref="H418" location="'FA_Disposal profile'!$I$25" display="25,9"/>
    <hyperlink ref="H419" location="'FA_Disposal profile'!$I$27" display="27,9"/>
    <hyperlink ref="H420" location="'FA_Disposal profile'!$I$29" display="29,9"/>
    <hyperlink ref="H421" location="'FA_Disposal profile'!$I$31" display="31,9"/>
    <hyperlink ref="H422" location="'FA_Disposal profile'!$I$33" display="33,9"/>
    <hyperlink ref="H423" location="'FA_Disposal profile'!$I$35" display="35,9"/>
    <hyperlink ref="H424" location="'FA_Disposal profile'!$I$37" display="37,9"/>
    <hyperlink ref="H425" location="'FA_Disposal profile'!$I$39" display="39,9"/>
    <hyperlink ref="H426" location="'FA_Disposal profile'!$I$41" display="41,9"/>
    <hyperlink ref="H427" location="'FA_Disposal profile'!$I$43" display="43,9"/>
    <hyperlink ref="H428" location="'FA_Disposal profile'!$I$45" display="45,9"/>
    <hyperlink ref="H429" location="'FA_Disposal profile'!$I$47" display="47,9"/>
    <hyperlink ref="H430" location="'FA_Disposal profile'!$I$49" display="49,9"/>
    <hyperlink ref="H431" location="'FA_Disposal profile'!$I$51" display="51,9"/>
    <hyperlink ref="H432" location="'FA_Disposal profile'!$H$53" display="53,8"/>
    <hyperlink ref="H433" location="'FA_Disposal profile'!$I$53" display="53,9"/>
    <hyperlink ref="H434" location="'FA_Disposal profile'!$H$55" display="55,8"/>
    <hyperlink ref="H435" location="'FA_Disposal profile'!$I$55" display="55,9"/>
    <hyperlink ref="H436" location="'FA_Disposal profile'!$H$57" display="57,8"/>
    <hyperlink ref="H437" location="'FA_Disposal profile'!$I$57" display="57,9"/>
    <hyperlink ref="H438" location="'FA_Disposal profile'!$H$59" display="59,8"/>
    <hyperlink ref="H439" location="'FA_Disposal profile'!$I$59" display="59,9"/>
    <hyperlink ref="H440" location="'FA_Disposal profile'!$H$61" display="61,8"/>
    <hyperlink ref="H441" location="'FA_Disposal profile'!$I$61" display="61,9"/>
    <hyperlink ref="H442" location="'FA_Disposal profile'!$H$63" display="63,8"/>
    <hyperlink ref="H443" location="'FA_Disposal profile'!$I$63" display="63,9"/>
    <hyperlink ref="H444" location="'FA_Disposal profile'!$H$65" display="65,8"/>
    <hyperlink ref="H445" location="'FA_Disposal profile'!$I$65" display="65,9"/>
    <hyperlink ref="H446" location="'FA_Disposal profile'!$H$67" display="67,8"/>
    <hyperlink ref="H447" location="'FA_Disposal profile'!$I$67" display="67,9"/>
    <hyperlink ref="H448" location="'FA_Disposal profile'!$H$69" display="69,8"/>
    <hyperlink ref="H449" location="'FA_Disposal profile'!$I$69" display="69,9"/>
    <hyperlink ref="H450" location="'FA_Disposal profile'!$H$71" display="71,8"/>
    <hyperlink ref="H451" location="'FA_Disposal profile'!$I$71" display="71,9"/>
    <hyperlink ref="H452" location="'FA_Disposal profile'!$H$73" display="73,8"/>
    <hyperlink ref="H453" location="'FA_Disposal profile'!$I$73" display="73,9"/>
    <hyperlink ref="H454" location="'FA_Disposal profile'!$H$75" display="75,8"/>
    <hyperlink ref="H455" location="'FA_Disposal profile'!$I$75" display="75,9"/>
    <hyperlink ref="H456" location="'FA_Disposal profile'!$H$77" display="77,8"/>
    <hyperlink ref="H457" location="'FA_Disposal profile'!$I$77" display="77,9"/>
    <hyperlink ref="H458" location="'FA_Disposal profile'!$H$79" display="79,8"/>
    <hyperlink ref="H459" location="'FA_Disposal profile'!$I$79" display="79,9"/>
    <hyperlink ref="H460" location="'FA_Disposal profile'!$H$81" display="81,8"/>
    <hyperlink ref="H461" location="'FA_Disposal profile'!$I$81" display="81,9"/>
    <hyperlink ref="H462" location="'FA_Disposal profile'!$H$83" display="83,8"/>
    <hyperlink ref="H463" location="'FA_Disposal profile'!$I$83" display="83,9"/>
    <hyperlink ref="H464" location="'FA_Disposal profile'!$H$85" display="85,8"/>
    <hyperlink ref="H465" location="'FA_Disposal profile'!$I$85" display="85,9"/>
    <hyperlink ref="H466" location="'FA_Disposal profile'!$H$87" display="87,8"/>
    <hyperlink ref="H467" location="'FA_Disposal profile'!$I$87" display="87,9"/>
    <hyperlink ref="H468" location="'FA_Posting profile'!$D$30" display="30,4"/>
    <hyperlink ref="H469" location="'FA_Posting profile'!$E$30" display="30,5"/>
    <hyperlink ref="H470" location="'FA_Disposal profile'!$I$3" display="3,9"/>
    <hyperlink ref="H471" location="'FA_Disposal profile'!$I$5" display="5,9"/>
    <hyperlink ref="H472" location="'FA_Disposal profile'!$I$7" display="7,9"/>
    <hyperlink ref="H473" location="'FA_Disposal profile'!$I$9" display="9,9"/>
    <hyperlink ref="H474" location="'FA_Disposal profile'!$I$11" display="11,9"/>
    <hyperlink ref="H475" location="'FA_Disposal profile'!$I$13" display="13,9"/>
    <hyperlink ref="H476" location="'FA_Disposal profile'!$I$15" display="15,9"/>
    <hyperlink ref="H477" location="'FA_Disposal profile'!$I$17" display="17,9"/>
    <hyperlink ref="H478" location="'FA_Disposal profile'!$I$18" display="18,9"/>
    <hyperlink ref="H479" location="'FA_Disposal profile'!$I$20" display="20,9"/>
    <hyperlink ref="H480" location="'FA_Disposal profile'!$I$22" display="22,9"/>
    <hyperlink ref="H481" location="'FA_Disposal profile'!$I$24" display="24,9"/>
    <hyperlink ref="H482" location="'FA_Disposal profile'!$I$26" display="26,9"/>
    <hyperlink ref="H483" location="'FA_Disposal profile'!$I$28" display="28,9"/>
    <hyperlink ref="H484" location="'FA_Disposal profile'!$I$30" display="30,9"/>
    <hyperlink ref="H485" location="'FA_Disposal profile'!$I$32" display="32,9"/>
    <hyperlink ref="H486" location="'FA_Disposal profile'!$I$34" display="34,9"/>
    <hyperlink ref="H487" location="'FA_Disposal profile'!$I$36" display="36,9"/>
    <hyperlink ref="H488" location="'FA_Disposal profile'!$I$38" display="38,9"/>
    <hyperlink ref="H489" location="'FA_Disposal profile'!$I$40" display="40,9"/>
    <hyperlink ref="H490" location="'FA_Disposal profile'!$I$42" display="42,9"/>
    <hyperlink ref="H491" location="'FA_Disposal profile'!$I$44" display="44,9"/>
    <hyperlink ref="H492" location="'FA_Disposal profile'!$I$46" display="46,9"/>
    <hyperlink ref="H493" location="'FA_Disposal profile'!$I$48" display="48,9"/>
    <hyperlink ref="H494" location="'FA_Disposal profile'!$I$50" display="50,9"/>
    <hyperlink ref="H495" location="'FA_Disposal profile'!$H$52" display="52,8"/>
    <hyperlink ref="H496" location="'FA_Disposal profile'!$I$52" display="52,9"/>
    <hyperlink ref="H497" location="'FA_Disposal profile'!$H$54" display="54,8"/>
    <hyperlink ref="H498" location="'FA_Disposal profile'!$I$54" display="54,9"/>
    <hyperlink ref="H499" location="'FA_Disposal profile'!$H$56" display="56,8"/>
    <hyperlink ref="H500" location="'FA_Disposal profile'!$I$56" display="56,9"/>
    <hyperlink ref="H501" location="'FA_Disposal profile'!$H$58" display="58,8"/>
    <hyperlink ref="H502" location="'FA_Disposal profile'!$I$58" display="58,9"/>
    <hyperlink ref="H503" location="'FA_Disposal profile'!$H$60" display="60,8"/>
    <hyperlink ref="H504" location="'FA_Disposal profile'!$I$60" display="60,9"/>
    <hyperlink ref="H505" location="'FA_Disposal profile'!$H$62" display="62,8"/>
    <hyperlink ref="H506" location="'FA_Disposal profile'!$I$62" display="62,9"/>
    <hyperlink ref="H507" location="'FA_Disposal profile'!$H$64" display="64,8"/>
    <hyperlink ref="H508" location="'FA_Disposal profile'!$I$64" display="64,9"/>
    <hyperlink ref="H509" location="'FA_Disposal profile'!$H$66" display="66,8"/>
    <hyperlink ref="H510" location="'FA_Disposal profile'!$I$66" display="66,9"/>
    <hyperlink ref="H511" location="'FA_Disposal profile'!$H$68" display="68,8"/>
    <hyperlink ref="H512" location="'FA_Disposal profile'!$I$68" display="68,9"/>
    <hyperlink ref="H513" location="'FA_Disposal profile'!$H$70" display="70,8"/>
    <hyperlink ref="H514" location="'FA_Disposal profile'!$I$70" display="70,9"/>
    <hyperlink ref="H515" location="'FA_Disposal profile'!$H$72" display="72,8"/>
    <hyperlink ref="H516" location="'FA_Disposal profile'!$I$72" display="72,9"/>
    <hyperlink ref="H517" location="'FA_Disposal profile'!$H$74" display="74,8"/>
    <hyperlink ref="H518" location="'FA_Disposal profile'!$I$74" display="74,9"/>
    <hyperlink ref="H519" location="'FA_Disposal profile'!$H$76" display="76,8"/>
    <hyperlink ref="H520" location="'FA_Disposal profile'!$I$76" display="76,9"/>
    <hyperlink ref="H521" location="'FA_Disposal profile'!$H$78" display="78,8"/>
    <hyperlink ref="H522" location="'FA_Disposal profile'!$I$78" display="78,9"/>
    <hyperlink ref="H523" location="'FA_Disposal profile'!$H$80" display="80,8"/>
    <hyperlink ref="H524" location="'FA_Disposal profile'!$I$80" display="80,9"/>
    <hyperlink ref="H525" location="'FA_Disposal profile'!$H$82" display="82,8"/>
    <hyperlink ref="H526" location="'FA_Disposal profile'!$I$82" display="82,9"/>
    <hyperlink ref="H527" location="'FA_Disposal profile'!$H$84" display="84,8"/>
    <hyperlink ref="H528" location="'FA_Disposal profile'!$I$84" display="84,9"/>
    <hyperlink ref="H529" location="'FA_Disposal profile'!$H$86" display="86,8"/>
    <hyperlink ref="H530" location="'FA_Disposal profile'!$I$86" display="86,9"/>
    <hyperlink ref="H531" location="'FA_Disposal profile'!$I$88" display="88,9"/>
    <hyperlink ref="H532" location="'FA_Disposal profile'!$I$89" display="89,9"/>
    <hyperlink ref="H533" location="'FA_Disposal profile'!$I$90" display="90,9"/>
    <hyperlink ref="H534" location="'FA_Disposal profile'!$I$91" display="91,9"/>
    <hyperlink ref="H535" location="'FA_Disposal profile'!$I$92" display="92,9"/>
    <hyperlink ref="H536" location="'FA_Disposal profile'!$I$93" display="93,9"/>
    <hyperlink ref="H537" location="'FA_Disposal profile'!$I$94" display="94,9"/>
    <hyperlink ref="H538" location="'FA_Disposal profile'!$I$95" display="95,9"/>
    <hyperlink ref="H539" location="'FA_Disposal profile'!$I$96" display="96,9"/>
    <hyperlink ref="H540" location="'FA_Disposal profile'!$I$97" display="97,9"/>
    <hyperlink ref="H541" location="'FA_Disposal profile'!$I$98" display="98,9"/>
    <hyperlink ref="H542" location="'FA_Disposal profile'!$I$99" display="99,9"/>
    <hyperlink ref="H543" location="'FA_Disposal profile'!$I$100" display="100,9"/>
    <hyperlink ref="H544" location="'FA_Disposal profile'!$I$101" display="101,9"/>
    <hyperlink ref="H545" location="'FA_Disposal profile'!$I$102" display="102,9"/>
    <hyperlink ref="H546" location="'FA_Disposal profile'!$I$103" display="103,9"/>
    <hyperlink ref="H547" location="'FA_Disposal profile'!$I$104" display="104,9"/>
    <hyperlink ref="H548" location="'FA_Disposal profile'!$I$105" display="105,9"/>
    <hyperlink ref="H549" location="'FA_Disposal profile'!$I$106" display="106,9"/>
    <hyperlink ref="H550" location="'FA_Disposal profile'!$I$107" display="107,9"/>
    <hyperlink ref="H551" location="'FA_Disposal profile'!$I$108" display="108,9"/>
    <hyperlink ref="H552" location="'FA_Disposal profile'!$I$109" display="109,9"/>
    <hyperlink ref="H553" location="'FA_Disposal profile'!$I$110" display="110,9"/>
    <hyperlink ref="H554" location="'FA_Disposal profile'!$I$111" display="111,9"/>
    <hyperlink ref="H555" location="'FA_Disposal profile'!$I$112" display="112,9"/>
    <hyperlink ref="H556" location="'IM_Journal name'!$C$4" display="4,3"/>
    <hyperlink ref="H557" location="'GL_System accounts'!$B$9" display="9,2"/>
    <hyperlink ref="H558" location="'ARAP_Misc charge'!$L$8" display="8,12"/>
    <hyperlink ref="H559" location="'ARAP_Misc charge'!$H$19" display="19,8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76"/>
  <sheetViews>
    <sheetView workbookViewId="0">
      <pane xSplit="1" ySplit="3" topLeftCell="G13" activePane="bottomRight" state="frozen"/>
      <selection pane="topRight" activeCell="B1" sqref="B1"/>
      <selection pane="bottomLeft" activeCell="A2" sqref="A2"/>
      <selection pane="bottomRight" activeCell="J34" sqref="J34"/>
    </sheetView>
  </sheetViews>
  <sheetFormatPr defaultColWidth="9" defaultRowHeight="15"/>
  <cols>
    <col min="1" max="1" width="9.140625" style="1" customWidth="1"/>
    <col min="2" max="2" width="43.140625" style="1" customWidth="1"/>
    <col min="3" max="3" width="8.5703125" style="1" customWidth="1"/>
    <col min="4" max="4" width="13.5703125" style="1" customWidth="1"/>
    <col min="5" max="5" width="13.42578125" style="1" customWidth="1"/>
    <col min="6" max="6" width="7.42578125" style="9" customWidth="1"/>
    <col min="7" max="8" width="9.28515625" style="1" customWidth="1"/>
    <col min="9" max="9" width="14" style="1" customWidth="1"/>
    <col min="10" max="10" width="21.140625" style="2" customWidth="1"/>
    <col min="11" max="11" width="20.140625" style="1" customWidth="1"/>
    <col min="12" max="12" width="11.7109375" style="1" customWidth="1"/>
    <col min="13" max="13" width="17.7109375" style="1" customWidth="1"/>
    <col min="14" max="14" width="8.7109375" style="1" customWidth="1"/>
    <col min="15" max="15" width="72.140625" style="1" customWidth="1"/>
    <col min="16" max="16384" width="9" style="1"/>
  </cols>
  <sheetData>
    <row r="1" spans="1:15" ht="18.75" customHeight="1">
      <c r="F1" s="11" t="s">
        <v>462</v>
      </c>
    </row>
    <row r="2" spans="1:15" ht="18.75" customHeight="1">
      <c r="F2" s="8" t="s">
        <v>461</v>
      </c>
    </row>
    <row r="3" spans="1:15">
      <c r="A3" t="s">
        <v>0</v>
      </c>
      <c r="B3" t="s">
        <v>1</v>
      </c>
      <c r="C3" t="s">
        <v>113</v>
      </c>
      <c r="D3" t="s">
        <v>114</v>
      </c>
      <c r="E3" t="s">
        <v>2</v>
      </c>
      <c r="F3" t="s">
        <v>3</v>
      </c>
      <c r="G3" t="s">
        <v>279</v>
      </c>
      <c r="H3" t="s">
        <v>280</v>
      </c>
      <c r="I3" t="s">
        <v>281</v>
      </c>
      <c r="J3" t="s">
        <v>282</v>
      </c>
      <c r="K3" t="s">
        <v>283</v>
      </c>
      <c r="L3" t="s">
        <v>284</v>
      </c>
      <c r="M3" t="s">
        <v>285</v>
      </c>
      <c r="N3" t="s">
        <v>286</v>
      </c>
      <c r="O3" t="s">
        <v>115</v>
      </c>
    </row>
    <row r="4" spans="1:15">
      <c r="A4" s="3" t="s">
        <v>877</v>
      </c>
      <c r="B4" s="3" t="s">
        <v>878</v>
      </c>
      <c r="C4" s="3" t="s">
        <v>116</v>
      </c>
      <c r="D4" s="3" t="s">
        <v>116</v>
      </c>
      <c r="E4" s="3" t="s">
        <v>117</v>
      </c>
      <c r="F4" s="12" t="s">
        <v>4</v>
      </c>
      <c r="G4" s="3" t="s">
        <v>4</v>
      </c>
      <c r="H4" s="3" t="s">
        <v>116</v>
      </c>
      <c r="I4" s="3" t="s">
        <v>116</v>
      </c>
      <c r="J4" s="5">
        <v>1</v>
      </c>
      <c r="K4" s="5" t="s">
        <v>458</v>
      </c>
      <c r="L4" s="5" t="s">
        <v>459</v>
      </c>
      <c r="M4" s="5" t="s">
        <v>460</v>
      </c>
      <c r="N4" s="5" t="s">
        <v>458</v>
      </c>
      <c r="O4" s="5"/>
    </row>
    <row r="5" spans="1:15">
      <c r="A5" s="3" t="s">
        <v>320</v>
      </c>
      <c r="B5" s="3" t="s">
        <v>118</v>
      </c>
      <c r="C5" s="3" t="s">
        <v>116</v>
      </c>
      <c r="D5" s="3" t="s">
        <v>116</v>
      </c>
      <c r="E5" s="3" t="s">
        <v>117</v>
      </c>
      <c r="F5" s="12" t="s">
        <v>6</v>
      </c>
      <c r="G5" s="3" t="s">
        <v>4</v>
      </c>
      <c r="H5" s="3" t="s">
        <v>116</v>
      </c>
      <c r="I5" s="3" t="s">
        <v>1616</v>
      </c>
      <c r="J5" s="5"/>
      <c r="K5" s="5"/>
      <c r="L5" s="5"/>
      <c r="M5" s="5"/>
      <c r="N5" s="5"/>
      <c r="O5" s="5"/>
    </row>
    <row r="6" spans="1:15">
      <c r="A6" s="3" t="s">
        <v>1617</v>
      </c>
      <c r="B6" s="3" t="s">
        <v>1618</v>
      </c>
      <c r="C6" s="3" t="s">
        <v>116</v>
      </c>
      <c r="D6" s="3" t="s">
        <v>116</v>
      </c>
      <c r="E6" s="3" t="s">
        <v>117</v>
      </c>
      <c r="F6" s="12" t="s">
        <v>6</v>
      </c>
      <c r="G6" s="3" t="s">
        <v>4</v>
      </c>
      <c r="H6" s="3" t="s">
        <v>116</v>
      </c>
      <c r="I6" s="3" t="s">
        <v>1616</v>
      </c>
      <c r="J6" s="5"/>
      <c r="K6" s="5"/>
      <c r="L6" s="5"/>
      <c r="M6" s="5"/>
      <c r="N6" s="5"/>
      <c r="O6" s="5"/>
    </row>
    <row r="7" spans="1:15">
      <c r="A7" s="3" t="s">
        <v>1619</v>
      </c>
      <c r="B7" s="3" t="s">
        <v>1620</v>
      </c>
      <c r="C7" s="3" t="s">
        <v>116</v>
      </c>
      <c r="D7" s="3" t="s">
        <v>116</v>
      </c>
      <c r="E7" s="3" t="s">
        <v>117</v>
      </c>
      <c r="F7" s="12" t="s">
        <v>6</v>
      </c>
      <c r="G7" s="3" t="s">
        <v>4</v>
      </c>
      <c r="H7" s="3" t="s">
        <v>116</v>
      </c>
      <c r="I7" s="3" t="s">
        <v>1616</v>
      </c>
      <c r="J7" s="5"/>
      <c r="K7" s="5"/>
      <c r="L7" s="5"/>
      <c r="M7" s="5"/>
      <c r="N7" s="5"/>
      <c r="O7" s="5"/>
    </row>
    <row r="8" spans="1:15">
      <c r="A8" s="3" t="s">
        <v>321</v>
      </c>
      <c r="B8" s="3" t="s">
        <v>119</v>
      </c>
      <c r="C8" s="3" t="s">
        <v>116</v>
      </c>
      <c r="D8" s="3" t="s">
        <v>116</v>
      </c>
      <c r="E8" s="3" t="s">
        <v>117</v>
      </c>
      <c r="F8" s="12" t="s">
        <v>4</v>
      </c>
      <c r="G8" s="3" t="s">
        <v>4</v>
      </c>
      <c r="H8" s="3" t="s">
        <v>116</v>
      </c>
      <c r="I8" s="3" t="s">
        <v>116</v>
      </c>
      <c r="J8" s="5"/>
      <c r="K8" s="5"/>
      <c r="L8" s="5"/>
      <c r="M8" s="5"/>
      <c r="N8" s="5"/>
      <c r="O8" s="5"/>
    </row>
    <row r="9" spans="1:15">
      <c r="A9" s="3" t="s">
        <v>736</v>
      </c>
      <c r="B9" s="3" t="s">
        <v>737</v>
      </c>
      <c r="C9" s="3" t="s">
        <v>116</v>
      </c>
      <c r="D9" s="3" t="s">
        <v>116</v>
      </c>
      <c r="E9" s="3" t="s">
        <v>117</v>
      </c>
      <c r="F9" s="12" t="s">
        <v>4</v>
      </c>
      <c r="G9" s="3" t="s">
        <v>4</v>
      </c>
      <c r="H9" s="3" t="s">
        <v>116</v>
      </c>
      <c r="I9" s="3" t="s">
        <v>116</v>
      </c>
      <c r="J9" s="5"/>
      <c r="K9" s="5"/>
      <c r="L9" s="5"/>
      <c r="M9" s="5"/>
      <c r="N9" s="5"/>
      <c r="O9" s="5"/>
    </row>
    <row r="10" spans="1:15">
      <c r="A10" s="3" t="s">
        <v>879</v>
      </c>
      <c r="B10" s="3" t="s">
        <v>880</v>
      </c>
      <c r="C10" s="3" t="s">
        <v>116</v>
      </c>
      <c r="D10" s="3" t="s">
        <v>116</v>
      </c>
      <c r="E10" s="3" t="s">
        <v>117</v>
      </c>
      <c r="F10" s="12" t="s">
        <v>4</v>
      </c>
      <c r="G10" s="3" t="s">
        <v>4</v>
      </c>
      <c r="H10" s="3" t="s">
        <v>116</v>
      </c>
      <c r="I10" s="3" t="s">
        <v>116</v>
      </c>
      <c r="J10" s="5"/>
      <c r="K10" s="5"/>
      <c r="L10" s="5"/>
      <c r="M10" s="5"/>
      <c r="N10" s="5"/>
      <c r="O10" s="5"/>
    </row>
    <row r="11" spans="1:15">
      <c r="A11" s="3" t="s">
        <v>322</v>
      </c>
      <c r="B11" s="3" t="s">
        <v>120</v>
      </c>
      <c r="C11" s="3" t="s">
        <v>116</v>
      </c>
      <c r="D11" s="3" t="s">
        <v>116</v>
      </c>
      <c r="E11" s="3" t="s">
        <v>117</v>
      </c>
      <c r="F11" s="12" t="s">
        <v>4</v>
      </c>
      <c r="G11" s="3" t="s">
        <v>4</v>
      </c>
      <c r="H11" s="3" t="s">
        <v>116</v>
      </c>
      <c r="I11" s="3" t="s">
        <v>116</v>
      </c>
      <c r="J11" s="5"/>
      <c r="K11" s="5"/>
      <c r="L11" s="5"/>
      <c r="M11" s="5"/>
      <c r="N11" s="5"/>
      <c r="O11" s="5"/>
    </row>
    <row r="12" spans="1:15">
      <c r="A12" s="3" t="s">
        <v>5</v>
      </c>
      <c r="B12" s="3" t="s">
        <v>121</v>
      </c>
      <c r="C12" s="3" t="s">
        <v>116</v>
      </c>
      <c r="D12" s="3" t="s">
        <v>116</v>
      </c>
      <c r="E12" s="3" t="s">
        <v>117</v>
      </c>
      <c r="F12" s="12" t="s">
        <v>6</v>
      </c>
      <c r="G12" s="3" t="s">
        <v>4</v>
      </c>
      <c r="H12" s="3" t="s">
        <v>116</v>
      </c>
      <c r="I12" s="3" t="s">
        <v>1621</v>
      </c>
      <c r="J12" s="5"/>
      <c r="K12" s="5"/>
      <c r="L12" s="5"/>
      <c r="M12" s="5"/>
      <c r="N12" s="5"/>
      <c r="O12" s="5"/>
    </row>
    <row r="13" spans="1:15">
      <c r="A13" s="3" t="s">
        <v>7</v>
      </c>
      <c r="B13" s="3" t="s">
        <v>122</v>
      </c>
      <c r="C13" s="3" t="s">
        <v>116</v>
      </c>
      <c r="D13" s="3" t="s">
        <v>116</v>
      </c>
      <c r="E13" s="3" t="s">
        <v>117</v>
      </c>
      <c r="F13" s="12" t="s">
        <v>4</v>
      </c>
      <c r="G13" s="3" t="s">
        <v>4</v>
      </c>
      <c r="H13" s="3" t="s">
        <v>116</v>
      </c>
      <c r="I13" s="3" t="s">
        <v>116</v>
      </c>
      <c r="J13" s="5"/>
      <c r="K13" s="5"/>
      <c r="L13" s="5"/>
      <c r="M13" s="5"/>
      <c r="N13" s="5"/>
      <c r="O13" s="5"/>
    </row>
    <row r="14" spans="1:15">
      <c r="A14" s="3" t="s">
        <v>685</v>
      </c>
      <c r="B14" s="3" t="s">
        <v>686</v>
      </c>
      <c r="C14" s="3" t="s">
        <v>116</v>
      </c>
      <c r="D14" s="3" t="s">
        <v>116</v>
      </c>
      <c r="E14" s="3" t="s">
        <v>117</v>
      </c>
      <c r="F14" s="12" t="s">
        <v>4</v>
      </c>
      <c r="G14" s="3" t="s">
        <v>4</v>
      </c>
      <c r="H14" s="3" t="s">
        <v>116</v>
      </c>
      <c r="I14" s="3" t="s">
        <v>116</v>
      </c>
      <c r="J14" s="5"/>
      <c r="K14" s="5"/>
      <c r="L14" s="5"/>
      <c r="M14" s="5"/>
      <c r="N14" s="5"/>
      <c r="O14" s="5"/>
    </row>
    <row r="15" spans="1:15">
      <c r="A15" s="3" t="s">
        <v>8</v>
      </c>
      <c r="B15" s="3" t="s">
        <v>123</v>
      </c>
      <c r="C15" s="3" t="s">
        <v>116</v>
      </c>
      <c r="D15" s="3" t="s">
        <v>116</v>
      </c>
      <c r="E15" s="3" t="s">
        <v>117</v>
      </c>
      <c r="F15" s="12" t="s">
        <v>4</v>
      </c>
      <c r="G15" s="3" t="s">
        <v>4</v>
      </c>
      <c r="H15" s="3" t="s">
        <v>116</v>
      </c>
      <c r="I15" s="3" t="s">
        <v>116</v>
      </c>
      <c r="J15" s="5"/>
      <c r="K15" s="5"/>
      <c r="L15" s="5"/>
      <c r="M15" s="5"/>
      <c r="N15" s="5"/>
      <c r="O15" s="5"/>
    </row>
    <row r="16" spans="1:15">
      <c r="A16" s="3" t="s">
        <v>592</v>
      </c>
      <c r="B16" s="3" t="s">
        <v>593</v>
      </c>
      <c r="C16" s="3" t="s">
        <v>116</v>
      </c>
      <c r="D16" s="3" t="s">
        <v>116</v>
      </c>
      <c r="E16" s="3" t="s">
        <v>117</v>
      </c>
      <c r="F16" s="12" t="s">
        <v>4</v>
      </c>
      <c r="G16" s="3" t="s">
        <v>4</v>
      </c>
      <c r="H16" s="3" t="s">
        <v>116</v>
      </c>
      <c r="I16" s="3" t="s">
        <v>116</v>
      </c>
      <c r="J16" s="5"/>
      <c r="K16" s="5"/>
      <c r="L16" s="5"/>
      <c r="M16" s="5"/>
      <c r="N16" s="5"/>
      <c r="O16" s="5"/>
    </row>
    <row r="17" spans="1:15">
      <c r="A17" s="3" t="s">
        <v>881</v>
      </c>
      <c r="B17" s="3" t="s">
        <v>882</v>
      </c>
      <c r="C17" s="3" t="s">
        <v>116</v>
      </c>
      <c r="D17" s="3" t="s">
        <v>116</v>
      </c>
      <c r="E17" s="3" t="s">
        <v>117</v>
      </c>
      <c r="F17" s="12" t="s">
        <v>4</v>
      </c>
      <c r="G17" s="3" t="s">
        <v>4</v>
      </c>
      <c r="H17" s="3" t="s">
        <v>116</v>
      </c>
      <c r="I17" s="3" t="s">
        <v>116</v>
      </c>
      <c r="J17" s="5"/>
      <c r="K17" s="5"/>
      <c r="L17" s="5"/>
      <c r="M17" s="5"/>
      <c r="N17" s="5"/>
      <c r="O17" s="5"/>
    </row>
    <row r="18" spans="1:15">
      <c r="A18" s="3" t="s">
        <v>306</v>
      </c>
      <c r="B18" s="3" t="s">
        <v>124</v>
      </c>
      <c r="C18" s="3" t="s">
        <v>116</v>
      </c>
      <c r="D18" s="3" t="s">
        <v>116</v>
      </c>
      <c r="E18" s="3" t="s">
        <v>117</v>
      </c>
      <c r="F18" s="12" t="s">
        <v>6</v>
      </c>
      <c r="G18" s="3" t="s">
        <v>4</v>
      </c>
      <c r="H18" s="3" t="s">
        <v>116</v>
      </c>
      <c r="I18" s="3" t="s">
        <v>1622</v>
      </c>
      <c r="J18" s="5"/>
      <c r="K18" s="5"/>
      <c r="L18" s="5"/>
      <c r="M18" s="5"/>
      <c r="N18" s="5"/>
      <c r="O18" s="5"/>
    </row>
    <row r="19" spans="1:15">
      <c r="A19" s="3" t="s">
        <v>305</v>
      </c>
      <c r="B19" s="3" t="s">
        <v>125</v>
      </c>
      <c r="C19" s="3" t="s">
        <v>116</v>
      </c>
      <c r="D19" s="3" t="s">
        <v>116</v>
      </c>
      <c r="E19" s="3" t="s">
        <v>117</v>
      </c>
      <c r="F19" s="12" t="s">
        <v>6</v>
      </c>
      <c r="G19" s="3" t="s">
        <v>4</v>
      </c>
      <c r="H19" s="3" t="s">
        <v>116</v>
      </c>
      <c r="I19" s="3" t="s">
        <v>1623</v>
      </c>
      <c r="J19" s="5"/>
      <c r="K19" s="5"/>
      <c r="L19" s="5"/>
      <c r="M19" s="5"/>
      <c r="N19" s="5"/>
      <c r="O19" s="5"/>
    </row>
    <row r="20" spans="1:15">
      <c r="A20" s="3" t="s">
        <v>444</v>
      </c>
      <c r="B20" s="3" t="s">
        <v>445</v>
      </c>
      <c r="C20" s="3" t="s">
        <v>116</v>
      </c>
      <c r="D20" s="3" t="s">
        <v>116</v>
      </c>
      <c r="E20" s="3" t="s">
        <v>117</v>
      </c>
      <c r="F20" s="12" t="s">
        <v>6</v>
      </c>
      <c r="G20" s="3" t="s">
        <v>4</v>
      </c>
      <c r="H20" s="3" t="s">
        <v>116</v>
      </c>
      <c r="I20" s="3" t="s">
        <v>1623</v>
      </c>
      <c r="J20" s="5"/>
      <c r="K20" s="5"/>
      <c r="L20" s="5"/>
      <c r="M20" s="5"/>
      <c r="N20" s="5"/>
      <c r="O20" s="5"/>
    </row>
    <row r="21" spans="1:15">
      <c r="A21" s="3" t="s">
        <v>446</v>
      </c>
      <c r="B21" s="3" t="s">
        <v>447</v>
      </c>
      <c r="C21" s="3" t="s">
        <v>116</v>
      </c>
      <c r="D21" s="3" t="s">
        <v>116</v>
      </c>
      <c r="E21" s="3" t="s">
        <v>117</v>
      </c>
      <c r="F21" s="12" t="s">
        <v>6</v>
      </c>
      <c r="G21" s="3" t="s">
        <v>4</v>
      </c>
      <c r="H21" s="3" t="s">
        <v>116</v>
      </c>
      <c r="I21" s="3" t="s">
        <v>1623</v>
      </c>
      <c r="J21" s="5"/>
      <c r="K21" s="5"/>
      <c r="L21" s="5"/>
      <c r="M21" s="5"/>
      <c r="N21" s="5"/>
      <c r="O21" s="5"/>
    </row>
    <row r="22" spans="1:15">
      <c r="A22" s="3" t="s">
        <v>307</v>
      </c>
      <c r="B22" s="3" t="s">
        <v>126</v>
      </c>
      <c r="C22" s="3" t="s">
        <v>116</v>
      </c>
      <c r="D22" s="3" t="s">
        <v>116</v>
      </c>
      <c r="E22" s="3" t="s">
        <v>117</v>
      </c>
      <c r="F22" s="12" t="s">
        <v>6</v>
      </c>
      <c r="G22" s="3" t="s">
        <v>4</v>
      </c>
      <c r="H22" s="3" t="s">
        <v>116</v>
      </c>
      <c r="I22" s="3" t="s">
        <v>1623</v>
      </c>
      <c r="J22" s="5"/>
      <c r="K22" s="5"/>
      <c r="L22" s="5"/>
      <c r="M22" s="5"/>
      <c r="N22" s="5"/>
      <c r="O22" s="5"/>
    </row>
    <row r="23" spans="1:15">
      <c r="A23" s="3" t="s">
        <v>403</v>
      </c>
      <c r="B23" s="3" t="s">
        <v>404</v>
      </c>
      <c r="C23" s="3" t="s">
        <v>116</v>
      </c>
      <c r="D23" s="3" t="s">
        <v>116</v>
      </c>
      <c r="E23" s="3" t="s">
        <v>117</v>
      </c>
      <c r="F23" s="12" t="s">
        <v>4</v>
      </c>
      <c r="G23" s="3" t="s">
        <v>4</v>
      </c>
      <c r="H23" s="3" t="s">
        <v>116</v>
      </c>
      <c r="I23" s="3" t="s">
        <v>116</v>
      </c>
      <c r="J23" s="5"/>
      <c r="K23" s="5"/>
      <c r="L23" s="5"/>
      <c r="M23" s="5"/>
      <c r="N23" s="5"/>
      <c r="O23" s="5"/>
    </row>
    <row r="24" spans="1:15">
      <c r="A24" s="3" t="s">
        <v>738</v>
      </c>
      <c r="B24" s="3" t="s">
        <v>739</v>
      </c>
      <c r="C24" s="3" t="s">
        <v>116</v>
      </c>
      <c r="D24" s="3" t="s">
        <v>116</v>
      </c>
      <c r="E24" s="3" t="s">
        <v>117</v>
      </c>
      <c r="F24" s="12" t="s">
        <v>4</v>
      </c>
      <c r="G24" s="3" t="s">
        <v>4</v>
      </c>
      <c r="H24" s="3" t="s">
        <v>116</v>
      </c>
      <c r="I24" s="3" t="s">
        <v>116</v>
      </c>
      <c r="J24" s="5"/>
      <c r="K24" s="5"/>
      <c r="L24" s="5"/>
      <c r="M24" s="5"/>
      <c r="N24" s="5"/>
      <c r="O24" s="5"/>
    </row>
    <row r="25" spans="1:15">
      <c r="A25" s="3" t="s">
        <v>405</v>
      </c>
      <c r="B25" s="3" t="s">
        <v>406</v>
      </c>
      <c r="C25" s="3" t="s">
        <v>116</v>
      </c>
      <c r="D25" s="3" t="s">
        <v>116</v>
      </c>
      <c r="E25" s="3" t="s">
        <v>117</v>
      </c>
      <c r="F25" s="12" t="s">
        <v>4</v>
      </c>
      <c r="G25" s="3" t="s">
        <v>4</v>
      </c>
      <c r="H25" s="3" t="s">
        <v>116</v>
      </c>
      <c r="I25" s="3" t="s">
        <v>116</v>
      </c>
      <c r="J25" s="5"/>
      <c r="K25" s="5"/>
      <c r="L25" s="5"/>
      <c r="M25" s="5"/>
      <c r="N25" s="5"/>
      <c r="O25" s="5"/>
    </row>
    <row r="26" spans="1:15">
      <c r="A26" s="3" t="s">
        <v>883</v>
      </c>
      <c r="B26" s="3" t="s">
        <v>884</v>
      </c>
      <c r="C26" s="3" t="s">
        <v>116</v>
      </c>
      <c r="D26" s="3" t="s">
        <v>116</v>
      </c>
      <c r="E26" s="3" t="s">
        <v>117</v>
      </c>
      <c r="F26" s="12" t="s">
        <v>6</v>
      </c>
      <c r="G26" s="3" t="s">
        <v>4</v>
      </c>
      <c r="H26" s="3" t="s">
        <v>116</v>
      </c>
      <c r="I26" s="3" t="s">
        <v>1623</v>
      </c>
      <c r="J26" s="5"/>
      <c r="K26" s="5"/>
      <c r="L26" s="5"/>
      <c r="M26" s="5"/>
      <c r="N26" s="5"/>
      <c r="O26" s="5"/>
    </row>
    <row r="27" spans="1:15">
      <c r="A27" s="3" t="s">
        <v>323</v>
      </c>
      <c r="B27" s="3" t="s">
        <v>127</v>
      </c>
      <c r="C27" s="3" t="s">
        <v>116</v>
      </c>
      <c r="D27" s="3" t="s">
        <v>116</v>
      </c>
      <c r="E27" s="3" t="s">
        <v>117</v>
      </c>
      <c r="F27" s="12" t="s">
        <v>4</v>
      </c>
      <c r="G27" s="3" t="s">
        <v>4</v>
      </c>
      <c r="H27" s="3" t="s">
        <v>116</v>
      </c>
      <c r="I27" s="3" t="s">
        <v>116</v>
      </c>
      <c r="J27" s="5"/>
      <c r="K27" s="5"/>
      <c r="L27" s="5"/>
      <c r="M27" s="5"/>
      <c r="N27" s="5"/>
      <c r="O27" s="5"/>
    </row>
    <row r="28" spans="1:15">
      <c r="A28" s="3" t="s">
        <v>324</v>
      </c>
      <c r="B28" s="3" t="s">
        <v>128</v>
      </c>
      <c r="C28" s="3" t="s">
        <v>116</v>
      </c>
      <c r="D28" s="3" t="s">
        <v>116</v>
      </c>
      <c r="E28" s="3" t="s">
        <v>117</v>
      </c>
      <c r="F28" s="12" t="s">
        <v>4</v>
      </c>
      <c r="G28" s="3" t="s">
        <v>4</v>
      </c>
      <c r="H28" s="3" t="s">
        <v>116</v>
      </c>
      <c r="I28" s="3" t="s">
        <v>116</v>
      </c>
      <c r="J28" s="5"/>
      <c r="K28" s="5"/>
      <c r="L28" s="5"/>
      <c r="M28" s="5"/>
      <c r="N28" s="5"/>
      <c r="O28" s="5"/>
    </row>
    <row r="29" spans="1:15">
      <c r="A29" s="3" t="s">
        <v>589</v>
      </c>
      <c r="B29" s="3" t="s">
        <v>599</v>
      </c>
      <c r="C29" s="3" t="s">
        <v>116</v>
      </c>
      <c r="D29" s="3" t="s">
        <v>116</v>
      </c>
      <c r="E29" s="3" t="s">
        <v>117</v>
      </c>
      <c r="F29" s="12" t="s">
        <v>4</v>
      </c>
      <c r="G29" s="3" t="s">
        <v>4</v>
      </c>
      <c r="H29" s="3" t="s">
        <v>116</v>
      </c>
      <c r="I29" s="3" t="s">
        <v>116</v>
      </c>
      <c r="J29" s="5"/>
      <c r="K29" s="5"/>
      <c r="L29" s="5"/>
      <c r="M29" s="5"/>
      <c r="N29" s="5"/>
      <c r="O29" s="5"/>
    </row>
    <row r="30" spans="1:15">
      <c r="A30" s="3" t="s">
        <v>588</v>
      </c>
      <c r="B30" s="3" t="s">
        <v>600</v>
      </c>
      <c r="C30" s="3" t="s">
        <v>116</v>
      </c>
      <c r="D30" s="3" t="s">
        <v>116</v>
      </c>
      <c r="E30" s="3" t="s">
        <v>117</v>
      </c>
      <c r="F30" s="12" t="s">
        <v>4</v>
      </c>
      <c r="G30" s="3" t="s">
        <v>4</v>
      </c>
      <c r="H30" s="3" t="s">
        <v>116</v>
      </c>
      <c r="I30" s="3" t="s">
        <v>116</v>
      </c>
      <c r="J30" s="5"/>
      <c r="K30" s="5"/>
      <c r="L30" s="5"/>
      <c r="M30" s="5"/>
      <c r="N30" s="5"/>
      <c r="O30" s="5"/>
    </row>
    <row r="31" spans="1:15">
      <c r="A31" s="3" t="s">
        <v>325</v>
      </c>
      <c r="B31" s="3" t="s">
        <v>129</v>
      </c>
      <c r="C31" s="3" t="s">
        <v>116</v>
      </c>
      <c r="D31" s="3" t="s">
        <v>116</v>
      </c>
      <c r="E31" s="3" t="s">
        <v>117</v>
      </c>
      <c r="F31" s="12" t="s">
        <v>4</v>
      </c>
      <c r="G31" s="3" t="s">
        <v>4</v>
      </c>
      <c r="H31" s="3" t="s">
        <v>116</v>
      </c>
      <c r="I31" s="3" t="s">
        <v>116</v>
      </c>
      <c r="J31" s="5"/>
      <c r="K31" s="5"/>
      <c r="L31" s="5"/>
      <c r="M31" s="5"/>
      <c r="N31" s="5"/>
      <c r="O31" s="5"/>
    </row>
    <row r="32" spans="1:15">
      <c r="A32" s="3" t="s">
        <v>407</v>
      </c>
      <c r="B32" s="3" t="s">
        <v>408</v>
      </c>
      <c r="C32" s="3" t="s">
        <v>116</v>
      </c>
      <c r="D32" s="3" t="s">
        <v>116</v>
      </c>
      <c r="E32" s="3" t="s">
        <v>117</v>
      </c>
      <c r="F32" s="12" t="s">
        <v>4</v>
      </c>
      <c r="G32" s="3" t="s">
        <v>4</v>
      </c>
      <c r="H32" s="3" t="s">
        <v>116</v>
      </c>
      <c r="I32" s="3" t="s">
        <v>116</v>
      </c>
      <c r="J32" s="5"/>
      <c r="K32" s="5"/>
      <c r="L32" s="5"/>
      <c r="M32" s="5"/>
      <c r="N32" s="5"/>
      <c r="O32" s="5"/>
    </row>
    <row r="33" spans="1:15">
      <c r="A33" s="3" t="s">
        <v>463</v>
      </c>
      <c r="B33" s="3" t="s">
        <v>464</v>
      </c>
      <c r="C33" s="3" t="s">
        <v>116</v>
      </c>
      <c r="D33" s="3" t="s">
        <v>116</v>
      </c>
      <c r="E33" s="3" t="s">
        <v>117</v>
      </c>
      <c r="F33" s="12" t="s">
        <v>4</v>
      </c>
      <c r="G33" s="3" t="s">
        <v>4</v>
      </c>
      <c r="H33" s="3" t="s">
        <v>116</v>
      </c>
      <c r="I33" s="3" t="s">
        <v>116</v>
      </c>
      <c r="J33" s="5"/>
      <c r="K33" s="5"/>
      <c r="L33" s="5"/>
      <c r="M33" s="5"/>
      <c r="N33" s="5"/>
      <c r="O33" s="5"/>
    </row>
    <row r="34" spans="1:15">
      <c r="A34" s="3" t="s">
        <v>326</v>
      </c>
      <c r="B34" s="3" t="s">
        <v>130</v>
      </c>
      <c r="C34" s="3" t="s">
        <v>116</v>
      </c>
      <c r="D34" s="3" t="s">
        <v>116</v>
      </c>
      <c r="E34" s="3" t="s">
        <v>117</v>
      </c>
      <c r="F34" s="12" t="s">
        <v>4</v>
      </c>
      <c r="G34" s="3" t="s">
        <v>4</v>
      </c>
      <c r="H34" s="3" t="s">
        <v>116</v>
      </c>
      <c r="I34" s="3" t="s">
        <v>116</v>
      </c>
      <c r="J34" s="5"/>
      <c r="K34" s="5"/>
      <c r="L34" s="5"/>
      <c r="M34" s="5"/>
      <c r="N34" s="5"/>
      <c r="O34" s="5"/>
    </row>
    <row r="35" spans="1:15">
      <c r="A35" s="3" t="s">
        <v>740</v>
      </c>
      <c r="B35" s="3" t="s">
        <v>741</v>
      </c>
      <c r="C35" s="3" t="s">
        <v>116</v>
      </c>
      <c r="D35" s="3" t="s">
        <v>116</v>
      </c>
      <c r="E35" s="3" t="s">
        <v>117</v>
      </c>
      <c r="F35" s="12" t="s">
        <v>4</v>
      </c>
      <c r="G35" s="3" t="s">
        <v>4</v>
      </c>
      <c r="H35" s="3" t="s">
        <v>116</v>
      </c>
      <c r="I35" s="3" t="s">
        <v>116</v>
      </c>
      <c r="J35" s="5"/>
      <c r="K35" s="5"/>
      <c r="L35" s="5"/>
      <c r="M35" s="5"/>
      <c r="N35" s="5"/>
      <c r="O35" s="5"/>
    </row>
    <row r="36" spans="1:15">
      <c r="A36" s="3" t="s">
        <v>719</v>
      </c>
      <c r="B36" s="3" t="s">
        <v>742</v>
      </c>
      <c r="C36" s="3" t="s">
        <v>116</v>
      </c>
      <c r="D36" s="3" t="s">
        <v>116</v>
      </c>
      <c r="E36" s="3" t="s">
        <v>117</v>
      </c>
      <c r="F36" s="12" t="s">
        <v>4</v>
      </c>
      <c r="G36" s="3" t="s">
        <v>4</v>
      </c>
      <c r="H36" s="3" t="s">
        <v>116</v>
      </c>
      <c r="I36" s="3" t="s">
        <v>116</v>
      </c>
      <c r="J36" s="5"/>
      <c r="K36" s="5"/>
      <c r="L36" s="5"/>
      <c r="M36" s="5"/>
      <c r="N36" s="5"/>
      <c r="O36" s="5"/>
    </row>
    <row r="37" spans="1:15">
      <c r="A37" s="3" t="s">
        <v>683</v>
      </c>
      <c r="B37" s="3" t="s">
        <v>687</v>
      </c>
      <c r="C37" s="3" t="s">
        <v>116</v>
      </c>
      <c r="D37" s="3" t="s">
        <v>116</v>
      </c>
      <c r="E37" s="3" t="s">
        <v>117</v>
      </c>
      <c r="F37" s="12" t="s">
        <v>4</v>
      </c>
      <c r="G37" s="3" t="s">
        <v>4</v>
      </c>
      <c r="H37" s="3" t="s">
        <v>116</v>
      </c>
      <c r="I37" s="3" t="s">
        <v>116</v>
      </c>
      <c r="J37" s="5"/>
      <c r="K37" s="5"/>
      <c r="L37" s="5"/>
      <c r="M37" s="5"/>
      <c r="N37" s="5"/>
      <c r="O37" s="5"/>
    </row>
    <row r="38" spans="1:15">
      <c r="A38" s="3" t="s">
        <v>327</v>
      </c>
      <c r="B38" s="3" t="s">
        <v>131</v>
      </c>
      <c r="C38" s="3" t="s">
        <v>116</v>
      </c>
      <c r="D38" s="3" t="s">
        <v>116</v>
      </c>
      <c r="E38" s="3" t="s">
        <v>117</v>
      </c>
      <c r="F38" s="12" t="s">
        <v>4</v>
      </c>
      <c r="G38" s="3" t="s">
        <v>4</v>
      </c>
      <c r="H38" s="3" t="s">
        <v>116</v>
      </c>
      <c r="I38" s="3" t="s">
        <v>116</v>
      </c>
      <c r="J38" s="5"/>
      <c r="K38" s="5"/>
      <c r="L38" s="5"/>
      <c r="M38" s="5"/>
      <c r="N38" s="5"/>
      <c r="O38" s="5"/>
    </row>
    <row r="39" spans="1:15">
      <c r="A39" s="3" t="s">
        <v>682</v>
      </c>
      <c r="B39" s="3" t="s">
        <v>688</v>
      </c>
      <c r="C39" s="3" t="s">
        <v>116</v>
      </c>
      <c r="D39" s="3" t="s">
        <v>116</v>
      </c>
      <c r="E39" s="3" t="s">
        <v>117</v>
      </c>
      <c r="F39" s="12" t="s">
        <v>4</v>
      </c>
      <c r="G39" s="3" t="s">
        <v>4</v>
      </c>
      <c r="H39" s="3" t="s">
        <v>116</v>
      </c>
      <c r="I39" s="3" t="s">
        <v>116</v>
      </c>
      <c r="J39" s="5"/>
      <c r="K39" s="5"/>
      <c r="L39" s="5"/>
      <c r="M39" s="5"/>
      <c r="N39" s="5"/>
      <c r="O39" s="5"/>
    </row>
    <row r="40" spans="1:15">
      <c r="A40" s="3" t="s">
        <v>684</v>
      </c>
      <c r="B40" s="3" t="s">
        <v>689</v>
      </c>
      <c r="C40" s="3" t="s">
        <v>116</v>
      </c>
      <c r="D40" s="3" t="s">
        <v>116</v>
      </c>
      <c r="E40" s="3" t="s">
        <v>117</v>
      </c>
      <c r="F40" s="12" t="s">
        <v>4</v>
      </c>
      <c r="G40" s="3" t="s">
        <v>4</v>
      </c>
      <c r="H40" s="3" t="s">
        <v>116</v>
      </c>
      <c r="I40" s="3" t="s">
        <v>116</v>
      </c>
      <c r="J40" s="5"/>
      <c r="K40" s="5"/>
      <c r="L40" s="5"/>
      <c r="M40" s="5"/>
      <c r="N40" s="5"/>
      <c r="O40" s="5"/>
    </row>
    <row r="41" spans="1:15">
      <c r="A41" s="3" t="s">
        <v>309</v>
      </c>
      <c r="B41" s="3" t="s">
        <v>9</v>
      </c>
      <c r="C41" s="3" t="s">
        <v>116</v>
      </c>
      <c r="D41" s="3" t="s">
        <v>116</v>
      </c>
      <c r="E41" s="3" t="s">
        <v>117</v>
      </c>
      <c r="F41" s="12" t="s">
        <v>4</v>
      </c>
      <c r="G41" s="3" t="s">
        <v>4</v>
      </c>
      <c r="H41" s="3" t="s">
        <v>116</v>
      </c>
      <c r="I41" s="3" t="s">
        <v>116</v>
      </c>
      <c r="J41" s="5"/>
      <c r="K41" s="5"/>
      <c r="L41" s="5"/>
      <c r="M41" s="5"/>
      <c r="N41" s="5"/>
      <c r="O41" s="5"/>
    </row>
    <row r="42" spans="1:15">
      <c r="A42" s="3" t="s">
        <v>311</v>
      </c>
      <c r="B42" s="3" t="s">
        <v>132</v>
      </c>
      <c r="C42" s="3" t="s">
        <v>116</v>
      </c>
      <c r="D42" s="3" t="s">
        <v>1314</v>
      </c>
      <c r="E42" s="3" t="s">
        <v>117</v>
      </c>
      <c r="F42" s="12" t="s">
        <v>4</v>
      </c>
      <c r="G42" s="3" t="s">
        <v>4</v>
      </c>
      <c r="H42" s="3" t="s">
        <v>116</v>
      </c>
      <c r="I42" s="3" t="s">
        <v>116</v>
      </c>
      <c r="J42" s="5"/>
      <c r="K42" s="5"/>
      <c r="L42" s="5"/>
      <c r="M42" s="5"/>
      <c r="N42" s="5"/>
      <c r="O42" s="5"/>
    </row>
    <row r="43" spans="1:15">
      <c r="A43" s="3" t="s">
        <v>448</v>
      </c>
      <c r="B43" s="3" t="s">
        <v>449</v>
      </c>
      <c r="C43" s="3" t="s">
        <v>116</v>
      </c>
      <c r="D43" s="3" t="s">
        <v>116</v>
      </c>
      <c r="E43" s="3" t="s">
        <v>117</v>
      </c>
      <c r="F43" s="12" t="s">
        <v>4</v>
      </c>
      <c r="G43" s="3" t="s">
        <v>4</v>
      </c>
      <c r="H43" s="3" t="s">
        <v>116</v>
      </c>
      <c r="I43" s="3" t="s">
        <v>116</v>
      </c>
      <c r="J43" s="5"/>
      <c r="K43" s="5"/>
      <c r="L43" s="5"/>
      <c r="M43" s="5"/>
      <c r="N43" s="5"/>
      <c r="O43" s="5"/>
    </row>
    <row r="44" spans="1:15">
      <c r="A44" s="3" t="s">
        <v>328</v>
      </c>
      <c r="B44" s="3" t="s">
        <v>133</v>
      </c>
      <c r="C44" s="3" t="s">
        <v>116</v>
      </c>
      <c r="D44" s="3" t="s">
        <v>116</v>
      </c>
      <c r="E44" s="3" t="s">
        <v>117</v>
      </c>
      <c r="F44" s="12" t="s">
        <v>4</v>
      </c>
      <c r="G44" s="3" t="s">
        <v>4</v>
      </c>
      <c r="H44" s="3" t="s">
        <v>116</v>
      </c>
      <c r="I44" s="3" t="s">
        <v>116</v>
      </c>
      <c r="J44" s="5"/>
      <c r="K44" s="5"/>
      <c r="L44" s="5"/>
      <c r="M44" s="5"/>
      <c r="N44" s="5"/>
      <c r="O44" s="5"/>
    </row>
    <row r="45" spans="1:15">
      <c r="A45" s="3" t="s">
        <v>885</v>
      </c>
      <c r="B45" s="3" t="s">
        <v>886</v>
      </c>
      <c r="C45" s="3" t="s">
        <v>116</v>
      </c>
      <c r="D45" s="3" t="s">
        <v>116</v>
      </c>
      <c r="E45" s="3" t="s">
        <v>117</v>
      </c>
      <c r="F45" s="12" t="s">
        <v>4</v>
      </c>
      <c r="G45" s="3" t="s">
        <v>4</v>
      </c>
      <c r="H45" s="3" t="s">
        <v>116</v>
      </c>
      <c r="I45" s="3" t="s">
        <v>116</v>
      </c>
      <c r="J45" s="5"/>
      <c r="K45" s="5"/>
      <c r="L45" s="5"/>
      <c r="M45" s="5"/>
      <c r="N45" s="5"/>
      <c r="O45" s="5"/>
    </row>
    <row r="46" spans="1:15">
      <c r="A46" s="3" t="s">
        <v>887</v>
      </c>
      <c r="B46" s="3" t="s">
        <v>888</v>
      </c>
      <c r="C46" s="3" t="s">
        <v>116</v>
      </c>
      <c r="D46" s="3" t="s">
        <v>116</v>
      </c>
      <c r="E46" s="3" t="s">
        <v>117</v>
      </c>
      <c r="F46" s="12" t="s">
        <v>4</v>
      </c>
      <c r="G46" s="3" t="s">
        <v>4</v>
      </c>
      <c r="H46" s="3" t="s">
        <v>116</v>
      </c>
      <c r="I46" s="3" t="s">
        <v>116</v>
      </c>
      <c r="J46" s="5"/>
      <c r="K46" s="5"/>
      <c r="L46" s="5"/>
      <c r="M46" s="5"/>
      <c r="N46" s="5"/>
      <c r="O46" s="5"/>
    </row>
    <row r="47" spans="1:15">
      <c r="A47" s="3" t="s">
        <v>329</v>
      </c>
      <c r="B47" s="3" t="s">
        <v>134</v>
      </c>
      <c r="C47" s="3" t="s">
        <v>116</v>
      </c>
      <c r="D47" s="3" t="s">
        <v>116</v>
      </c>
      <c r="E47" s="3" t="s">
        <v>117</v>
      </c>
      <c r="F47" s="12" t="s">
        <v>4</v>
      </c>
      <c r="G47" s="3" t="s">
        <v>4</v>
      </c>
      <c r="H47" s="3" t="s">
        <v>116</v>
      </c>
      <c r="I47" s="3" t="s">
        <v>116</v>
      </c>
      <c r="J47" s="5"/>
      <c r="K47" s="5"/>
      <c r="L47" s="5"/>
      <c r="M47" s="5"/>
      <c r="N47" s="5"/>
      <c r="O47" s="5"/>
    </row>
    <row r="48" spans="1:15">
      <c r="A48" s="3" t="s">
        <v>720</v>
      </c>
      <c r="B48" s="3" t="s">
        <v>743</v>
      </c>
      <c r="C48" s="3" t="s">
        <v>116</v>
      </c>
      <c r="D48" s="3" t="s">
        <v>116</v>
      </c>
      <c r="E48" s="3" t="s">
        <v>117</v>
      </c>
      <c r="F48" s="12" t="s">
        <v>4</v>
      </c>
      <c r="G48" s="3" t="s">
        <v>4</v>
      </c>
      <c r="H48" s="3" t="s">
        <v>116</v>
      </c>
      <c r="I48" s="3" t="s">
        <v>116</v>
      </c>
      <c r="J48" s="5"/>
      <c r="K48" s="5"/>
      <c r="L48" s="5"/>
      <c r="M48" s="5"/>
      <c r="N48" s="5"/>
      <c r="O48" s="5"/>
    </row>
    <row r="49" spans="1:15">
      <c r="A49" s="3" t="s">
        <v>330</v>
      </c>
      <c r="B49" s="3" t="s">
        <v>135</v>
      </c>
      <c r="C49" s="3" t="s">
        <v>116</v>
      </c>
      <c r="D49" s="3" t="s">
        <v>116</v>
      </c>
      <c r="E49" s="3" t="s">
        <v>117</v>
      </c>
      <c r="F49" s="12" t="s">
        <v>4</v>
      </c>
      <c r="G49" s="3" t="s">
        <v>4</v>
      </c>
      <c r="H49" s="3" t="s">
        <v>116</v>
      </c>
      <c r="I49" s="3" t="s">
        <v>1604</v>
      </c>
      <c r="J49" s="5"/>
      <c r="K49" s="5"/>
      <c r="L49" s="5"/>
      <c r="M49" s="5"/>
      <c r="N49" s="5"/>
      <c r="O49" s="5"/>
    </row>
    <row r="50" spans="1:15">
      <c r="A50" s="3" t="s">
        <v>722</v>
      </c>
      <c r="B50" s="3" t="s">
        <v>744</v>
      </c>
      <c r="C50" s="3" t="s">
        <v>116</v>
      </c>
      <c r="D50" s="3" t="s">
        <v>116</v>
      </c>
      <c r="E50" s="3" t="s">
        <v>117</v>
      </c>
      <c r="F50" s="12" t="s">
        <v>4</v>
      </c>
      <c r="G50" s="3" t="s">
        <v>4</v>
      </c>
      <c r="H50" s="3" t="s">
        <v>116</v>
      </c>
      <c r="I50" s="3" t="s">
        <v>116</v>
      </c>
      <c r="J50" s="5"/>
      <c r="K50" s="5"/>
      <c r="L50" s="5"/>
      <c r="M50" s="5"/>
      <c r="N50" s="5"/>
      <c r="O50" s="5"/>
    </row>
    <row r="51" spans="1:15">
      <c r="A51" s="3" t="s">
        <v>331</v>
      </c>
      <c r="B51" s="3" t="s">
        <v>136</v>
      </c>
      <c r="C51" s="3" t="s">
        <v>116</v>
      </c>
      <c r="D51" s="3" t="s">
        <v>116</v>
      </c>
      <c r="E51" s="3" t="s">
        <v>117</v>
      </c>
      <c r="F51" s="12" t="s">
        <v>4</v>
      </c>
      <c r="G51" s="3" t="s">
        <v>4</v>
      </c>
      <c r="H51" s="3" t="s">
        <v>116</v>
      </c>
      <c r="I51" s="3" t="s">
        <v>116</v>
      </c>
      <c r="J51" s="5"/>
      <c r="K51" s="5"/>
      <c r="L51" s="5"/>
      <c r="M51" s="5"/>
      <c r="N51" s="5"/>
      <c r="O51" s="5"/>
    </row>
    <row r="52" spans="1:15">
      <c r="A52" s="3" t="s">
        <v>332</v>
      </c>
      <c r="B52" s="3" t="s">
        <v>137</v>
      </c>
      <c r="C52" s="3" t="s">
        <v>116</v>
      </c>
      <c r="D52" s="3" t="s">
        <v>116</v>
      </c>
      <c r="E52" s="3" t="s">
        <v>117</v>
      </c>
      <c r="F52" s="12" t="s">
        <v>4</v>
      </c>
      <c r="G52" s="3" t="s">
        <v>4</v>
      </c>
      <c r="H52" s="3" t="s">
        <v>116</v>
      </c>
      <c r="I52" s="3" t="s">
        <v>116</v>
      </c>
      <c r="J52" s="5"/>
      <c r="K52" s="5"/>
      <c r="L52" s="5"/>
      <c r="M52" s="5"/>
      <c r="N52" s="5"/>
      <c r="O52" s="5"/>
    </row>
    <row r="53" spans="1:15">
      <c r="A53" s="3" t="s">
        <v>333</v>
      </c>
      <c r="B53" s="3" t="s">
        <v>138</v>
      </c>
      <c r="C53" s="3" t="s">
        <v>116</v>
      </c>
      <c r="D53" s="3" t="s">
        <v>116</v>
      </c>
      <c r="E53" s="3" t="s">
        <v>117</v>
      </c>
      <c r="F53" s="12" t="s">
        <v>4</v>
      </c>
      <c r="G53" s="3" t="s">
        <v>4</v>
      </c>
      <c r="H53" s="3" t="s">
        <v>116</v>
      </c>
      <c r="I53" s="3" t="s">
        <v>116</v>
      </c>
      <c r="J53" s="5"/>
      <c r="K53" s="5"/>
      <c r="L53" s="5"/>
      <c r="M53" s="5"/>
      <c r="N53" s="5"/>
      <c r="O53" s="5"/>
    </row>
    <row r="54" spans="1:15">
      <c r="A54" s="3" t="s">
        <v>334</v>
      </c>
      <c r="B54" s="3" t="s">
        <v>139</v>
      </c>
      <c r="C54" s="3" t="s">
        <v>116</v>
      </c>
      <c r="D54" s="3" t="s">
        <v>116</v>
      </c>
      <c r="E54" s="3" t="s">
        <v>117</v>
      </c>
      <c r="F54" s="12" t="s">
        <v>4</v>
      </c>
      <c r="G54" s="3" t="s">
        <v>4</v>
      </c>
      <c r="H54" s="3" t="s">
        <v>116</v>
      </c>
      <c r="I54" s="3" t="s">
        <v>116</v>
      </c>
      <c r="J54" s="5"/>
      <c r="K54" s="5"/>
      <c r="L54" s="5"/>
      <c r="M54" s="5"/>
      <c r="N54" s="5"/>
      <c r="O54" s="5"/>
    </row>
    <row r="55" spans="1:15">
      <c r="A55" s="3" t="s">
        <v>889</v>
      </c>
      <c r="B55" s="3" t="s">
        <v>890</v>
      </c>
      <c r="C55" s="3" t="s">
        <v>116</v>
      </c>
      <c r="D55" s="3" t="s">
        <v>116</v>
      </c>
      <c r="E55" s="3" t="s">
        <v>117</v>
      </c>
      <c r="F55" s="12" t="s">
        <v>4</v>
      </c>
      <c r="G55" s="3" t="s">
        <v>4</v>
      </c>
      <c r="H55" s="3" t="s">
        <v>116</v>
      </c>
      <c r="I55" s="3" t="s">
        <v>116</v>
      </c>
      <c r="J55" s="5"/>
      <c r="K55" s="5"/>
      <c r="L55" s="5"/>
      <c r="M55" s="5"/>
      <c r="N55" s="5"/>
      <c r="O55" s="5"/>
    </row>
    <row r="56" spans="1:15">
      <c r="A56" s="3" t="s">
        <v>891</v>
      </c>
      <c r="B56" s="3" t="s">
        <v>892</v>
      </c>
      <c r="C56" s="3" t="s">
        <v>116</v>
      </c>
      <c r="D56" s="3" t="s">
        <v>116</v>
      </c>
      <c r="E56" s="3" t="s">
        <v>117</v>
      </c>
      <c r="F56" s="12" t="s">
        <v>4</v>
      </c>
      <c r="G56" s="3" t="s">
        <v>4</v>
      </c>
      <c r="H56" s="3" t="s">
        <v>116</v>
      </c>
      <c r="I56" s="3" t="s">
        <v>116</v>
      </c>
      <c r="J56" s="5"/>
      <c r="K56" s="5"/>
      <c r="L56" s="5"/>
      <c r="M56" s="5"/>
      <c r="N56" s="5"/>
      <c r="O56" s="5"/>
    </row>
    <row r="57" spans="1:15">
      <c r="A57" s="3" t="s">
        <v>893</v>
      </c>
      <c r="B57" s="3" t="s">
        <v>894</v>
      </c>
      <c r="C57" s="3" t="s">
        <v>116</v>
      </c>
      <c r="D57" s="3" t="s">
        <v>116</v>
      </c>
      <c r="E57" s="3" t="s">
        <v>117</v>
      </c>
      <c r="F57" s="12" t="s">
        <v>4</v>
      </c>
      <c r="G57" s="3" t="s">
        <v>4</v>
      </c>
      <c r="H57" s="3" t="s">
        <v>116</v>
      </c>
      <c r="I57" s="3" t="s">
        <v>116</v>
      </c>
      <c r="J57" s="5"/>
      <c r="K57" s="5"/>
      <c r="L57" s="5"/>
      <c r="M57" s="5"/>
      <c r="N57" s="5"/>
      <c r="O57" s="5"/>
    </row>
    <row r="58" spans="1:15">
      <c r="A58" s="3" t="s">
        <v>605</v>
      </c>
      <c r="B58" s="3" t="s">
        <v>1605</v>
      </c>
      <c r="C58" s="3" t="s">
        <v>116</v>
      </c>
      <c r="D58" s="3" t="s">
        <v>116</v>
      </c>
      <c r="E58" s="3" t="s">
        <v>117</v>
      </c>
      <c r="F58" s="12" t="s">
        <v>4</v>
      </c>
      <c r="G58" s="3" t="s">
        <v>4</v>
      </c>
      <c r="H58" s="3" t="s">
        <v>116</v>
      </c>
      <c r="I58" s="3" t="s">
        <v>1606</v>
      </c>
      <c r="J58" s="5"/>
      <c r="K58" s="5"/>
      <c r="L58" s="5"/>
      <c r="M58" s="5"/>
      <c r="N58" s="5"/>
      <c r="O58" s="5"/>
    </row>
    <row r="59" spans="1:15">
      <c r="A59" s="3" t="s">
        <v>335</v>
      </c>
      <c r="B59" s="3" t="s">
        <v>140</v>
      </c>
      <c r="C59" s="3" t="s">
        <v>116</v>
      </c>
      <c r="D59" s="3" t="s">
        <v>116</v>
      </c>
      <c r="E59" s="3" t="s">
        <v>117</v>
      </c>
      <c r="F59" s="12" t="s">
        <v>4</v>
      </c>
      <c r="G59" s="3" t="s">
        <v>4</v>
      </c>
      <c r="H59" s="3" t="s">
        <v>116</v>
      </c>
      <c r="I59" s="3" t="s">
        <v>116</v>
      </c>
      <c r="J59" s="5"/>
      <c r="K59" s="5"/>
      <c r="L59" s="5"/>
      <c r="M59" s="5"/>
      <c r="N59" s="5"/>
      <c r="O59" s="5"/>
    </row>
    <row r="60" spans="1:15">
      <c r="A60" s="3" t="s">
        <v>690</v>
      </c>
      <c r="B60" s="3" t="s">
        <v>691</v>
      </c>
      <c r="C60" s="3" t="s">
        <v>116</v>
      </c>
      <c r="D60" s="3" t="s">
        <v>116</v>
      </c>
      <c r="E60" s="3" t="s">
        <v>117</v>
      </c>
      <c r="F60" s="12" t="s">
        <v>4</v>
      </c>
      <c r="G60" s="3" t="s">
        <v>4</v>
      </c>
      <c r="H60" s="3" t="s">
        <v>116</v>
      </c>
      <c r="I60" s="3" t="s">
        <v>116</v>
      </c>
      <c r="J60" s="5"/>
      <c r="K60" s="5"/>
      <c r="L60" s="5"/>
      <c r="M60" s="5"/>
      <c r="N60" s="5"/>
      <c r="O60" s="5"/>
    </row>
    <row r="61" spans="1:15">
      <c r="A61" s="3" t="s">
        <v>895</v>
      </c>
      <c r="B61" s="3" t="s">
        <v>896</v>
      </c>
      <c r="C61" s="3" t="s">
        <v>116</v>
      </c>
      <c r="D61" s="3" t="s">
        <v>116</v>
      </c>
      <c r="E61" s="3" t="s">
        <v>117</v>
      </c>
      <c r="F61" s="12" t="s">
        <v>4</v>
      </c>
      <c r="G61" s="3" t="s">
        <v>4</v>
      </c>
      <c r="H61" s="3" t="s">
        <v>116</v>
      </c>
      <c r="I61" s="3" t="s">
        <v>116</v>
      </c>
      <c r="J61" s="5"/>
      <c r="K61" s="5"/>
      <c r="L61" s="5"/>
      <c r="M61" s="5"/>
      <c r="N61" s="5"/>
      <c r="O61" s="5"/>
    </row>
    <row r="62" spans="1:15">
      <c r="A62" s="3" t="s">
        <v>336</v>
      </c>
      <c r="B62" s="3" t="s">
        <v>141</v>
      </c>
      <c r="C62" s="3" t="s">
        <v>116</v>
      </c>
      <c r="D62" s="3" t="s">
        <v>116</v>
      </c>
      <c r="E62" s="3" t="s">
        <v>117</v>
      </c>
      <c r="F62" s="12" t="s">
        <v>4</v>
      </c>
      <c r="G62" s="3" t="s">
        <v>4</v>
      </c>
      <c r="H62" s="3" t="s">
        <v>116</v>
      </c>
      <c r="I62" s="3" t="s">
        <v>116</v>
      </c>
      <c r="J62" s="5"/>
      <c r="K62" s="5"/>
      <c r="L62" s="5"/>
      <c r="M62" s="5"/>
      <c r="N62" s="5"/>
      <c r="O62" s="5"/>
    </row>
    <row r="63" spans="1:15">
      <c r="A63" s="3" t="s">
        <v>897</v>
      </c>
      <c r="B63" s="3" t="s">
        <v>898</v>
      </c>
      <c r="C63" s="3" t="s">
        <v>116</v>
      </c>
      <c r="D63" s="3" t="s">
        <v>116</v>
      </c>
      <c r="E63" s="3" t="s">
        <v>117</v>
      </c>
      <c r="F63" s="12" t="s">
        <v>4</v>
      </c>
      <c r="G63" s="3" t="s">
        <v>4</v>
      </c>
      <c r="H63" s="3" t="s">
        <v>116</v>
      </c>
      <c r="I63" s="3" t="s">
        <v>116</v>
      </c>
      <c r="J63" s="5"/>
      <c r="K63" s="5"/>
      <c r="L63" s="5"/>
      <c r="M63" s="5"/>
      <c r="N63" s="5"/>
      <c r="O63" s="5"/>
    </row>
    <row r="64" spans="1:15">
      <c r="A64" s="3" t="s">
        <v>337</v>
      </c>
      <c r="B64" s="3" t="s">
        <v>142</v>
      </c>
      <c r="C64" s="3" t="s">
        <v>116</v>
      </c>
      <c r="D64" s="3" t="s">
        <v>116</v>
      </c>
      <c r="E64" s="3" t="s">
        <v>117</v>
      </c>
      <c r="F64" s="12" t="s">
        <v>4</v>
      </c>
      <c r="G64" s="3" t="s">
        <v>4</v>
      </c>
      <c r="H64" s="3" t="s">
        <v>116</v>
      </c>
      <c r="I64" s="3" t="s">
        <v>116</v>
      </c>
      <c r="J64" s="5"/>
      <c r="K64" s="5"/>
      <c r="L64" s="5"/>
      <c r="M64" s="5"/>
      <c r="N64" s="5"/>
      <c r="O64" s="5"/>
    </row>
    <row r="65" spans="1:15">
      <c r="A65" s="3" t="s">
        <v>899</v>
      </c>
      <c r="B65" s="3" t="s">
        <v>900</v>
      </c>
      <c r="C65" s="3" t="s">
        <v>116</v>
      </c>
      <c r="D65" s="3" t="s">
        <v>116</v>
      </c>
      <c r="E65" s="3" t="s">
        <v>117</v>
      </c>
      <c r="F65" s="12" t="s">
        <v>4</v>
      </c>
      <c r="G65" s="3" t="s">
        <v>4</v>
      </c>
      <c r="H65" s="3" t="s">
        <v>116</v>
      </c>
      <c r="I65" s="3" t="s">
        <v>116</v>
      </c>
      <c r="J65" s="5"/>
      <c r="K65" s="5"/>
      <c r="L65" s="5"/>
      <c r="M65" s="5"/>
      <c r="N65" s="5"/>
      <c r="O65" s="5"/>
    </row>
    <row r="66" spans="1:15">
      <c r="A66" s="3" t="s">
        <v>10</v>
      </c>
      <c r="B66" s="3" t="s">
        <v>143</v>
      </c>
      <c r="C66" s="3" t="s">
        <v>116</v>
      </c>
      <c r="D66" s="3" t="s">
        <v>116</v>
      </c>
      <c r="E66" s="3" t="s">
        <v>117</v>
      </c>
      <c r="F66" s="12" t="s">
        <v>6</v>
      </c>
      <c r="G66" s="3" t="s">
        <v>4</v>
      </c>
      <c r="H66" s="3" t="s">
        <v>116</v>
      </c>
      <c r="I66" s="3" t="s">
        <v>1607</v>
      </c>
      <c r="J66" s="5"/>
      <c r="K66" s="5"/>
      <c r="L66" s="5"/>
      <c r="M66" s="5"/>
      <c r="N66" s="5"/>
      <c r="O66" s="5"/>
    </row>
    <row r="67" spans="1:15">
      <c r="A67" s="3" t="s">
        <v>256</v>
      </c>
      <c r="B67" s="3" t="s">
        <v>535</v>
      </c>
      <c r="C67" s="3" t="s">
        <v>116</v>
      </c>
      <c r="D67" s="3" t="s">
        <v>116</v>
      </c>
      <c r="E67" s="3" t="s">
        <v>117</v>
      </c>
      <c r="F67" s="12" t="s">
        <v>4</v>
      </c>
      <c r="G67" s="3" t="s">
        <v>4</v>
      </c>
      <c r="H67" s="3" t="s">
        <v>116</v>
      </c>
      <c r="I67" s="3" t="s">
        <v>116</v>
      </c>
      <c r="J67" s="5"/>
      <c r="K67" s="5"/>
      <c r="L67" s="5"/>
      <c r="M67" s="5"/>
      <c r="N67" s="5"/>
      <c r="O67" s="5"/>
    </row>
    <row r="68" spans="1:15">
      <c r="A68" s="3" t="s">
        <v>144</v>
      </c>
      <c r="B68" s="3" t="s">
        <v>536</v>
      </c>
      <c r="C68" s="3" t="s">
        <v>116</v>
      </c>
      <c r="D68" s="3" t="s">
        <v>116</v>
      </c>
      <c r="E68" s="3" t="s">
        <v>117</v>
      </c>
      <c r="F68" s="12" t="s">
        <v>4</v>
      </c>
      <c r="G68" s="3" t="s">
        <v>4</v>
      </c>
      <c r="H68" s="3" t="s">
        <v>116</v>
      </c>
      <c r="I68" s="3" t="s">
        <v>116</v>
      </c>
      <c r="J68" s="5"/>
      <c r="K68" s="5"/>
      <c r="L68" s="5"/>
      <c r="M68" s="5"/>
      <c r="N68" s="5"/>
      <c r="O68" s="5"/>
    </row>
    <row r="69" spans="1:15">
      <c r="A69" s="3" t="s">
        <v>257</v>
      </c>
      <c r="B69" s="3" t="s">
        <v>537</v>
      </c>
      <c r="C69" s="3" t="s">
        <v>116</v>
      </c>
      <c r="D69" s="3" t="s">
        <v>116</v>
      </c>
      <c r="E69" s="3" t="s">
        <v>117</v>
      </c>
      <c r="F69" s="12" t="s">
        <v>4</v>
      </c>
      <c r="G69" s="3" t="s">
        <v>4</v>
      </c>
      <c r="H69" s="3" t="s">
        <v>116</v>
      </c>
      <c r="I69" s="3" t="s">
        <v>116</v>
      </c>
      <c r="J69" s="5"/>
      <c r="K69" s="5"/>
      <c r="L69" s="5"/>
      <c r="M69" s="5"/>
      <c r="N69" s="5"/>
      <c r="O69" s="5"/>
    </row>
    <row r="70" spans="1:15">
      <c r="A70" s="3" t="s">
        <v>901</v>
      </c>
      <c r="B70" s="3" t="s">
        <v>902</v>
      </c>
      <c r="C70" s="3" t="s">
        <v>116</v>
      </c>
      <c r="D70" s="3" t="s">
        <v>116</v>
      </c>
      <c r="E70" s="3" t="s">
        <v>117</v>
      </c>
      <c r="F70" s="12" t="s">
        <v>4</v>
      </c>
      <c r="G70" s="3" t="s">
        <v>4</v>
      </c>
      <c r="H70" s="3" t="s">
        <v>116</v>
      </c>
      <c r="I70" s="3" t="s">
        <v>116</v>
      </c>
      <c r="J70" s="5"/>
      <c r="K70" s="5"/>
      <c r="L70" s="5"/>
      <c r="M70" s="5"/>
      <c r="N70" s="5"/>
      <c r="O70" s="5"/>
    </row>
    <row r="71" spans="1:15">
      <c r="A71" s="3" t="s">
        <v>450</v>
      </c>
      <c r="B71" s="3" t="s">
        <v>451</v>
      </c>
      <c r="C71" s="3" t="s">
        <v>116</v>
      </c>
      <c r="D71" s="3" t="s">
        <v>116</v>
      </c>
      <c r="E71" s="3" t="s">
        <v>117</v>
      </c>
      <c r="F71" s="12" t="s">
        <v>4</v>
      </c>
      <c r="G71" s="3" t="s">
        <v>4</v>
      </c>
      <c r="H71" s="3" t="s">
        <v>116</v>
      </c>
      <c r="I71" s="3" t="s">
        <v>1607</v>
      </c>
      <c r="J71" s="5"/>
      <c r="K71" s="5"/>
      <c r="L71" s="5"/>
      <c r="M71" s="5"/>
      <c r="N71" s="5"/>
      <c r="O71" s="5"/>
    </row>
    <row r="72" spans="1:15">
      <c r="A72" s="3" t="s">
        <v>903</v>
      </c>
      <c r="B72" s="3" t="s">
        <v>904</v>
      </c>
      <c r="C72" s="3" t="s">
        <v>116</v>
      </c>
      <c r="D72" s="3" t="s">
        <v>116</v>
      </c>
      <c r="E72" s="3" t="s">
        <v>117</v>
      </c>
      <c r="F72" s="12" t="s">
        <v>4</v>
      </c>
      <c r="G72" s="3" t="s">
        <v>4</v>
      </c>
      <c r="H72" s="3" t="s">
        <v>116</v>
      </c>
      <c r="I72" s="3" t="s">
        <v>116</v>
      </c>
      <c r="J72" s="5"/>
      <c r="K72" s="5"/>
      <c r="L72" s="5"/>
      <c r="M72" s="5"/>
      <c r="N72" s="5"/>
      <c r="O72" s="5"/>
    </row>
    <row r="73" spans="1:15">
      <c r="A73" s="3" t="s">
        <v>338</v>
      </c>
      <c r="B73" s="3" t="s">
        <v>145</v>
      </c>
      <c r="C73" s="3" t="s">
        <v>116</v>
      </c>
      <c r="D73" s="3" t="s">
        <v>116</v>
      </c>
      <c r="E73" s="3" t="s">
        <v>117</v>
      </c>
      <c r="F73" s="12" t="s">
        <v>4</v>
      </c>
      <c r="G73" s="3" t="s">
        <v>4</v>
      </c>
      <c r="H73" s="3" t="s">
        <v>116</v>
      </c>
      <c r="I73" s="3" t="s">
        <v>116</v>
      </c>
      <c r="J73" s="5"/>
      <c r="K73" s="5"/>
      <c r="L73" s="5"/>
      <c r="M73" s="5"/>
      <c r="N73" s="5"/>
      <c r="O73" s="5"/>
    </row>
    <row r="74" spans="1:15">
      <c r="A74" s="3" t="s">
        <v>339</v>
      </c>
      <c r="B74" s="3" t="s">
        <v>146</v>
      </c>
      <c r="C74" s="3" t="s">
        <v>116</v>
      </c>
      <c r="D74" s="3" t="s">
        <v>116</v>
      </c>
      <c r="E74" s="3" t="s">
        <v>117</v>
      </c>
      <c r="F74" s="12" t="s">
        <v>4</v>
      </c>
      <c r="G74" s="3" t="s">
        <v>4</v>
      </c>
      <c r="H74" s="3" t="s">
        <v>116</v>
      </c>
      <c r="I74" s="3" t="s">
        <v>116</v>
      </c>
      <c r="J74" s="5"/>
      <c r="K74" s="5"/>
      <c r="L74" s="5"/>
      <c r="M74" s="5"/>
      <c r="N74" s="5"/>
      <c r="O74" s="5"/>
    </row>
    <row r="75" spans="1:15">
      <c r="A75" s="3" t="s">
        <v>591</v>
      </c>
      <c r="B75" s="3" t="s">
        <v>692</v>
      </c>
      <c r="C75" s="3" t="s">
        <v>116</v>
      </c>
      <c r="D75" s="3" t="s">
        <v>116</v>
      </c>
      <c r="E75" s="3" t="s">
        <v>117</v>
      </c>
      <c r="F75" s="12" t="s">
        <v>4</v>
      </c>
      <c r="G75" s="3" t="s">
        <v>4</v>
      </c>
      <c r="H75" s="3" t="s">
        <v>116</v>
      </c>
      <c r="I75" s="3" t="s">
        <v>116</v>
      </c>
      <c r="J75" s="5"/>
      <c r="K75" s="5"/>
      <c r="L75" s="5"/>
      <c r="M75" s="5"/>
      <c r="N75" s="5"/>
      <c r="O75" s="5"/>
    </row>
    <row r="76" spans="1:15">
      <c r="A76" s="3" t="s">
        <v>340</v>
      </c>
      <c r="B76" s="3" t="s">
        <v>409</v>
      </c>
      <c r="C76" s="3" t="s">
        <v>116</v>
      </c>
      <c r="D76" s="3" t="s">
        <v>116</v>
      </c>
      <c r="E76" s="3" t="s">
        <v>117</v>
      </c>
      <c r="F76" s="12" t="s">
        <v>4</v>
      </c>
      <c r="G76" s="3" t="s">
        <v>6</v>
      </c>
      <c r="H76" s="3" t="s">
        <v>116</v>
      </c>
      <c r="I76" s="3" t="s">
        <v>116</v>
      </c>
      <c r="J76" s="5"/>
      <c r="K76" s="5"/>
      <c r="L76" s="5"/>
      <c r="M76" s="5"/>
      <c r="N76" s="5"/>
      <c r="O76" s="5"/>
    </row>
    <row r="77" spans="1:15">
      <c r="A77" s="3" t="s">
        <v>465</v>
      </c>
      <c r="B77" s="3" t="s">
        <v>466</v>
      </c>
      <c r="C77" s="3" t="s">
        <v>116</v>
      </c>
      <c r="D77" s="3" t="s">
        <v>116</v>
      </c>
      <c r="E77" s="3" t="s">
        <v>117</v>
      </c>
      <c r="F77" s="12" t="s">
        <v>4</v>
      </c>
      <c r="G77" s="3" t="s">
        <v>4</v>
      </c>
      <c r="H77" s="3" t="s">
        <v>116</v>
      </c>
      <c r="I77" s="3" t="s">
        <v>116</v>
      </c>
      <c r="J77" s="5"/>
      <c r="K77" s="5"/>
      <c r="L77" s="5"/>
      <c r="M77" s="5"/>
      <c r="N77" s="5"/>
      <c r="O77" s="5"/>
    </row>
    <row r="78" spans="1:15">
      <c r="A78" s="3" t="s">
        <v>467</v>
      </c>
      <c r="B78" s="3" t="s">
        <v>468</v>
      </c>
      <c r="C78" s="3" t="s">
        <v>116</v>
      </c>
      <c r="D78" s="3" t="s">
        <v>116</v>
      </c>
      <c r="E78" s="3" t="s">
        <v>117</v>
      </c>
      <c r="F78" s="12" t="s">
        <v>4</v>
      </c>
      <c r="G78" s="3" t="s">
        <v>4</v>
      </c>
      <c r="H78" s="3" t="s">
        <v>116</v>
      </c>
      <c r="I78" s="3" t="s">
        <v>116</v>
      </c>
      <c r="J78" s="5"/>
      <c r="K78" s="5"/>
      <c r="L78" s="5"/>
      <c r="M78" s="5"/>
      <c r="N78" s="5"/>
      <c r="O78" s="5"/>
    </row>
    <row r="79" spans="1:15">
      <c r="A79" s="3" t="s">
        <v>905</v>
      </c>
      <c r="B79" s="3" t="s">
        <v>906</v>
      </c>
      <c r="C79" s="3" t="s">
        <v>116</v>
      </c>
      <c r="D79" s="3" t="s">
        <v>116</v>
      </c>
      <c r="E79" s="3" t="s">
        <v>117</v>
      </c>
      <c r="F79" s="12" t="s">
        <v>4</v>
      </c>
      <c r="G79" s="3" t="s">
        <v>4</v>
      </c>
      <c r="H79" s="3" t="s">
        <v>116</v>
      </c>
      <c r="I79" s="3" t="s">
        <v>116</v>
      </c>
      <c r="J79" s="5"/>
      <c r="K79" s="5"/>
      <c r="L79" s="5"/>
      <c r="M79" s="5"/>
      <c r="N79" s="5"/>
      <c r="O79" s="5"/>
    </row>
    <row r="80" spans="1:15">
      <c r="A80" s="3" t="s">
        <v>907</v>
      </c>
      <c r="B80" s="3" t="s">
        <v>908</v>
      </c>
      <c r="C80" s="3" t="s">
        <v>116</v>
      </c>
      <c r="D80" s="3" t="s">
        <v>116</v>
      </c>
      <c r="E80" s="3" t="s">
        <v>117</v>
      </c>
      <c r="F80" s="12" t="s">
        <v>4</v>
      </c>
      <c r="G80" s="3" t="s">
        <v>4</v>
      </c>
      <c r="H80" s="3" t="s">
        <v>116</v>
      </c>
      <c r="I80" s="3" t="s">
        <v>116</v>
      </c>
      <c r="J80" s="5"/>
      <c r="K80" s="5"/>
      <c r="L80" s="5"/>
      <c r="M80" s="5"/>
      <c r="N80" s="5"/>
      <c r="O80" s="5"/>
    </row>
    <row r="81" spans="1:15">
      <c r="A81" s="3" t="s">
        <v>341</v>
      </c>
      <c r="B81" s="3" t="s">
        <v>147</v>
      </c>
      <c r="C81" s="3" t="s">
        <v>116</v>
      </c>
      <c r="D81" s="3" t="s">
        <v>116</v>
      </c>
      <c r="E81" s="3" t="s">
        <v>117</v>
      </c>
      <c r="F81" s="12" t="s">
        <v>4</v>
      </c>
      <c r="G81" s="3" t="s">
        <v>4</v>
      </c>
      <c r="H81" s="3" t="s">
        <v>116</v>
      </c>
      <c r="I81" s="3" t="s">
        <v>116</v>
      </c>
      <c r="J81" s="5"/>
      <c r="K81" s="5"/>
      <c r="L81" s="5"/>
      <c r="M81" s="5"/>
      <c r="N81" s="5"/>
      <c r="O81" s="5"/>
    </row>
    <row r="82" spans="1:15">
      <c r="A82" s="3" t="s">
        <v>410</v>
      </c>
      <c r="B82" s="3" t="s">
        <v>411</v>
      </c>
      <c r="C82" s="3" t="s">
        <v>116</v>
      </c>
      <c r="D82" s="3" t="s">
        <v>116</v>
      </c>
      <c r="E82" s="3" t="s">
        <v>117</v>
      </c>
      <c r="F82" s="12" t="s">
        <v>4</v>
      </c>
      <c r="G82" s="3" t="s">
        <v>4</v>
      </c>
      <c r="H82" s="3" t="s">
        <v>116</v>
      </c>
      <c r="I82" s="3" t="s">
        <v>116</v>
      </c>
      <c r="J82" s="5"/>
      <c r="K82" s="5"/>
      <c r="L82" s="5"/>
      <c r="M82" s="5"/>
      <c r="N82" s="5"/>
      <c r="O82" s="5"/>
    </row>
    <row r="83" spans="1:15">
      <c r="A83" s="3" t="s">
        <v>469</v>
      </c>
      <c r="B83" s="3" t="s">
        <v>190</v>
      </c>
      <c r="C83" s="3" t="s">
        <v>116</v>
      </c>
      <c r="D83" s="3" t="s">
        <v>116</v>
      </c>
      <c r="E83" s="3" t="s">
        <v>117</v>
      </c>
      <c r="F83" s="12" t="s">
        <v>4</v>
      </c>
      <c r="G83" s="3" t="s">
        <v>4</v>
      </c>
      <c r="H83" s="3" t="s">
        <v>116</v>
      </c>
      <c r="I83" s="3" t="s">
        <v>116</v>
      </c>
      <c r="J83" s="5"/>
      <c r="K83" s="5"/>
      <c r="L83" s="5"/>
      <c r="M83" s="5"/>
      <c r="N83" s="5"/>
      <c r="O83" s="5"/>
    </row>
    <row r="84" spans="1:15">
      <c r="A84" s="3" t="s">
        <v>342</v>
      </c>
      <c r="B84" s="3" t="s">
        <v>148</v>
      </c>
      <c r="C84" s="3" t="s">
        <v>116</v>
      </c>
      <c r="D84" s="3" t="s">
        <v>116</v>
      </c>
      <c r="E84" s="3" t="s">
        <v>117</v>
      </c>
      <c r="F84" s="12" t="s">
        <v>4</v>
      </c>
      <c r="G84" s="3" t="s">
        <v>4</v>
      </c>
      <c r="H84" s="3" t="s">
        <v>116</v>
      </c>
      <c r="I84" s="3" t="s">
        <v>116</v>
      </c>
      <c r="J84" s="5"/>
      <c r="K84" s="5"/>
      <c r="L84" s="5"/>
      <c r="M84" s="5"/>
      <c r="N84" s="5"/>
      <c r="O84" s="5"/>
    </row>
    <row r="85" spans="1:15">
      <c r="A85" s="3" t="s">
        <v>910</v>
      </c>
      <c r="B85" s="3" t="s">
        <v>911</v>
      </c>
      <c r="C85" s="3" t="s">
        <v>116</v>
      </c>
      <c r="D85" s="3" t="s">
        <v>116</v>
      </c>
      <c r="E85" s="3" t="s">
        <v>117</v>
      </c>
      <c r="F85" s="12" t="s">
        <v>4</v>
      </c>
      <c r="G85" s="3" t="s">
        <v>4</v>
      </c>
      <c r="H85" s="3" t="s">
        <v>116</v>
      </c>
      <c r="I85" s="3" t="s">
        <v>116</v>
      </c>
      <c r="J85" s="5"/>
      <c r="K85" s="5"/>
      <c r="L85" s="5"/>
      <c r="M85" s="5"/>
      <c r="N85" s="5"/>
      <c r="O85" s="5"/>
    </row>
    <row r="86" spans="1:15">
      <c r="A86" s="3" t="s">
        <v>912</v>
      </c>
      <c r="B86" s="3" t="s">
        <v>913</v>
      </c>
      <c r="C86" s="3" t="s">
        <v>116</v>
      </c>
      <c r="D86" s="3" t="s">
        <v>116</v>
      </c>
      <c r="E86" s="3" t="s">
        <v>117</v>
      </c>
      <c r="F86" s="12" t="s">
        <v>4</v>
      </c>
      <c r="G86" s="3" t="s">
        <v>4</v>
      </c>
      <c r="H86" s="3" t="s">
        <v>116</v>
      </c>
      <c r="I86" s="3" t="s">
        <v>116</v>
      </c>
      <c r="J86" s="5"/>
      <c r="K86" s="5"/>
      <c r="L86" s="5"/>
      <c r="M86" s="5"/>
      <c r="N86" s="5"/>
      <c r="O86" s="5"/>
    </row>
    <row r="87" spans="1:15">
      <c r="A87" s="3" t="s">
        <v>914</v>
      </c>
      <c r="B87" s="3" t="s">
        <v>915</v>
      </c>
      <c r="C87" s="3" t="s">
        <v>116</v>
      </c>
      <c r="D87" s="3" t="s">
        <v>116</v>
      </c>
      <c r="E87" s="3" t="s">
        <v>117</v>
      </c>
      <c r="F87" s="12" t="s">
        <v>4</v>
      </c>
      <c r="G87" s="3" t="s">
        <v>4</v>
      </c>
      <c r="H87" s="3" t="s">
        <v>116</v>
      </c>
      <c r="I87" s="3" t="s">
        <v>116</v>
      </c>
      <c r="J87" s="5"/>
      <c r="K87" s="5"/>
      <c r="L87" s="5"/>
      <c r="M87" s="5"/>
      <c r="N87" s="5"/>
      <c r="O87" s="5"/>
    </row>
    <row r="88" spans="1:15">
      <c r="A88" s="3" t="s">
        <v>916</v>
      </c>
      <c r="B88" s="3" t="s">
        <v>917</v>
      </c>
      <c r="C88" s="3" t="s">
        <v>116</v>
      </c>
      <c r="D88" s="3" t="s">
        <v>116</v>
      </c>
      <c r="E88" s="3" t="s">
        <v>117</v>
      </c>
      <c r="F88" s="12" t="s">
        <v>4</v>
      </c>
      <c r="G88" s="3" t="s">
        <v>4</v>
      </c>
      <c r="H88" s="3" t="s">
        <v>116</v>
      </c>
      <c r="I88" s="3" t="s">
        <v>116</v>
      </c>
      <c r="J88" s="5"/>
      <c r="K88" s="5"/>
      <c r="L88" s="5"/>
      <c r="M88" s="5"/>
      <c r="N88" s="5"/>
      <c r="O88" s="5"/>
    </row>
    <row r="89" spans="1:15">
      <c r="A89" s="3" t="s">
        <v>745</v>
      </c>
      <c r="B89" s="3" t="s">
        <v>746</v>
      </c>
      <c r="C89" s="3" t="s">
        <v>116</v>
      </c>
      <c r="D89" s="3" t="s">
        <v>116</v>
      </c>
      <c r="E89" s="3" t="s">
        <v>117</v>
      </c>
      <c r="F89" s="12" t="s">
        <v>4</v>
      </c>
      <c r="G89" s="3" t="s">
        <v>4</v>
      </c>
      <c r="H89" s="3" t="s">
        <v>116</v>
      </c>
      <c r="I89" s="3" t="s">
        <v>116</v>
      </c>
      <c r="J89" s="5"/>
      <c r="K89" s="5"/>
      <c r="L89" s="5"/>
      <c r="M89" s="5"/>
      <c r="N89" s="5"/>
      <c r="O89" s="5"/>
    </row>
    <row r="90" spans="1:15">
      <c r="A90" s="3" t="s">
        <v>412</v>
      </c>
      <c r="B90" s="3" t="s">
        <v>413</v>
      </c>
      <c r="C90" s="3" t="s">
        <v>116</v>
      </c>
      <c r="D90" s="3" t="s">
        <v>116</v>
      </c>
      <c r="E90" s="3" t="s">
        <v>117</v>
      </c>
      <c r="F90" s="12" t="s">
        <v>4</v>
      </c>
      <c r="G90" s="3" t="s">
        <v>4</v>
      </c>
      <c r="H90" s="3" t="s">
        <v>116</v>
      </c>
      <c r="I90" s="3" t="s">
        <v>116</v>
      </c>
      <c r="J90" s="5"/>
      <c r="K90" s="5"/>
      <c r="L90" s="5"/>
      <c r="M90" s="5"/>
      <c r="N90" s="5"/>
      <c r="O90" s="5"/>
    </row>
    <row r="91" spans="1:15">
      <c r="A91" s="3" t="s">
        <v>918</v>
      </c>
      <c r="B91" s="3" t="s">
        <v>919</v>
      </c>
      <c r="C91" s="3" t="s">
        <v>116</v>
      </c>
      <c r="D91" s="3" t="s">
        <v>116</v>
      </c>
      <c r="E91" s="3" t="s">
        <v>117</v>
      </c>
      <c r="F91" s="12" t="s">
        <v>6</v>
      </c>
      <c r="G91" s="3" t="s">
        <v>4</v>
      </c>
      <c r="H91" s="3" t="s">
        <v>116</v>
      </c>
      <c r="I91" s="3" t="s">
        <v>1608</v>
      </c>
      <c r="J91" s="5"/>
      <c r="K91" s="5"/>
      <c r="L91" s="5"/>
      <c r="M91" s="5"/>
      <c r="N91" s="5"/>
      <c r="O91" s="5"/>
    </row>
    <row r="92" spans="1:15">
      <c r="A92" s="3" t="s">
        <v>920</v>
      </c>
      <c r="B92" s="3" t="s">
        <v>921</v>
      </c>
      <c r="C92" s="3" t="s">
        <v>116</v>
      </c>
      <c r="D92" s="3" t="s">
        <v>116</v>
      </c>
      <c r="E92" s="3" t="s">
        <v>117</v>
      </c>
      <c r="F92" s="12" t="s">
        <v>6</v>
      </c>
      <c r="G92" s="3" t="s">
        <v>4</v>
      </c>
      <c r="H92" s="3" t="s">
        <v>116</v>
      </c>
      <c r="I92" s="3" t="s">
        <v>1608</v>
      </c>
      <c r="J92" s="5"/>
      <c r="K92" s="5"/>
      <c r="L92" s="5"/>
      <c r="M92" s="5"/>
      <c r="N92" s="5"/>
      <c r="O92" s="5"/>
    </row>
    <row r="93" spans="1:15">
      <c r="A93" s="3" t="s">
        <v>922</v>
      </c>
      <c r="B93" s="3" t="s">
        <v>923</v>
      </c>
      <c r="C93" s="3" t="s">
        <v>116</v>
      </c>
      <c r="D93" s="3" t="s">
        <v>116</v>
      </c>
      <c r="E93" s="3" t="s">
        <v>117</v>
      </c>
      <c r="F93" s="12" t="s">
        <v>6</v>
      </c>
      <c r="G93" s="3" t="s">
        <v>4</v>
      </c>
      <c r="H93" s="3" t="s">
        <v>116</v>
      </c>
      <c r="I93" s="3" t="s">
        <v>1608</v>
      </c>
      <c r="J93" s="5"/>
      <c r="K93" s="5"/>
      <c r="L93" s="5"/>
      <c r="M93" s="5"/>
      <c r="N93" s="5"/>
      <c r="O93" s="5"/>
    </row>
    <row r="94" spans="1:15">
      <c r="A94" s="3" t="s">
        <v>924</v>
      </c>
      <c r="B94" s="3" t="s">
        <v>925</v>
      </c>
      <c r="C94" s="3" t="s">
        <v>116</v>
      </c>
      <c r="D94" s="3" t="s">
        <v>116</v>
      </c>
      <c r="E94" s="3" t="s">
        <v>117</v>
      </c>
      <c r="F94" s="12" t="s">
        <v>4</v>
      </c>
      <c r="G94" s="3" t="s">
        <v>4</v>
      </c>
      <c r="H94" s="3" t="s">
        <v>116</v>
      </c>
      <c r="I94" s="3" t="s">
        <v>1608</v>
      </c>
      <c r="J94" s="5"/>
      <c r="K94" s="5"/>
      <c r="L94" s="5"/>
      <c r="M94" s="5"/>
      <c r="N94" s="5"/>
      <c r="O94" s="5"/>
    </row>
    <row r="95" spans="1:15">
      <c r="A95" s="3" t="s">
        <v>470</v>
      </c>
      <c r="B95" s="3" t="s">
        <v>471</v>
      </c>
      <c r="C95" s="3" t="s">
        <v>116</v>
      </c>
      <c r="D95" s="3" t="s">
        <v>116</v>
      </c>
      <c r="E95" s="3" t="s">
        <v>117</v>
      </c>
      <c r="F95" s="12" t="s">
        <v>6</v>
      </c>
      <c r="G95" s="3" t="s">
        <v>4</v>
      </c>
      <c r="H95" s="3" t="s">
        <v>116</v>
      </c>
      <c r="I95" s="3" t="s">
        <v>1608</v>
      </c>
      <c r="J95" s="5"/>
      <c r="K95" s="5"/>
      <c r="L95" s="5"/>
      <c r="M95" s="5"/>
      <c r="N95" s="5"/>
      <c r="O95" s="5"/>
    </row>
    <row r="96" spans="1:15">
      <c r="A96" s="3" t="s">
        <v>1315</v>
      </c>
      <c r="B96" s="3" t="s">
        <v>1316</v>
      </c>
      <c r="C96" s="3" t="s">
        <v>116</v>
      </c>
      <c r="D96" s="3" t="s">
        <v>116</v>
      </c>
      <c r="E96" s="3" t="s">
        <v>117</v>
      </c>
      <c r="F96" s="12" t="s">
        <v>4</v>
      </c>
      <c r="G96" s="3" t="s">
        <v>4</v>
      </c>
      <c r="H96" s="3" t="s">
        <v>116</v>
      </c>
      <c r="I96" s="3" t="s">
        <v>116</v>
      </c>
      <c r="J96" s="5"/>
      <c r="K96" s="5"/>
      <c r="L96" s="5"/>
      <c r="M96" s="5"/>
      <c r="N96" s="5"/>
      <c r="O96" s="5"/>
    </row>
    <row r="97" spans="1:15">
      <c r="A97" s="3" t="s">
        <v>1317</v>
      </c>
      <c r="B97" s="3" t="s">
        <v>1318</v>
      </c>
      <c r="C97" s="3" t="s">
        <v>116</v>
      </c>
      <c r="D97" s="3" t="s">
        <v>116</v>
      </c>
      <c r="E97" s="3" t="s">
        <v>117</v>
      </c>
      <c r="F97" s="12" t="s">
        <v>4</v>
      </c>
      <c r="G97" s="3" t="s">
        <v>4</v>
      </c>
      <c r="H97" s="3" t="s">
        <v>116</v>
      </c>
      <c r="I97" s="3" t="s">
        <v>1608</v>
      </c>
      <c r="J97" s="5"/>
      <c r="K97" s="5"/>
      <c r="L97" s="5"/>
      <c r="M97" s="5"/>
      <c r="N97" s="5"/>
      <c r="O97" s="5"/>
    </row>
    <row r="98" spans="1:15">
      <c r="A98" s="3" t="s">
        <v>1319</v>
      </c>
      <c r="B98" s="3" t="s">
        <v>1320</v>
      </c>
      <c r="C98" s="3" t="s">
        <v>116</v>
      </c>
      <c r="D98" s="3" t="s">
        <v>116</v>
      </c>
      <c r="E98" s="3" t="s">
        <v>117</v>
      </c>
      <c r="F98" s="12" t="s">
        <v>6</v>
      </c>
      <c r="G98" s="3" t="s">
        <v>4</v>
      </c>
      <c r="H98" s="3" t="s">
        <v>116</v>
      </c>
      <c r="I98" s="3" t="s">
        <v>1608</v>
      </c>
      <c r="J98" s="5"/>
      <c r="K98" s="5"/>
      <c r="L98" s="5"/>
      <c r="M98" s="5"/>
      <c r="N98" s="5"/>
      <c r="O98" s="5"/>
    </row>
    <row r="99" spans="1:15">
      <c r="A99" s="3" t="s">
        <v>149</v>
      </c>
      <c r="B99" s="3" t="s">
        <v>150</v>
      </c>
      <c r="C99" s="3" t="s">
        <v>116</v>
      </c>
      <c r="D99" s="3" t="s">
        <v>116</v>
      </c>
      <c r="E99" s="3" t="s">
        <v>117</v>
      </c>
      <c r="F99" s="12" t="s">
        <v>6</v>
      </c>
      <c r="G99" s="3" t="s">
        <v>4</v>
      </c>
      <c r="H99" s="3" t="s">
        <v>116</v>
      </c>
      <c r="I99" s="3" t="s">
        <v>116</v>
      </c>
      <c r="J99" s="5"/>
      <c r="K99" s="5"/>
      <c r="L99" s="5"/>
      <c r="M99" s="5"/>
      <c r="N99" s="5"/>
      <c r="O99" s="5"/>
    </row>
    <row r="100" spans="1:15">
      <c r="A100" s="3" t="s">
        <v>926</v>
      </c>
      <c r="B100" s="3" t="s">
        <v>927</v>
      </c>
      <c r="C100" s="3" t="s">
        <v>116</v>
      </c>
      <c r="D100" s="3" t="s">
        <v>116</v>
      </c>
      <c r="E100" s="3" t="s">
        <v>117</v>
      </c>
      <c r="F100" s="12" t="s">
        <v>4</v>
      </c>
      <c r="G100" s="3" t="s">
        <v>4</v>
      </c>
      <c r="H100" s="3" t="s">
        <v>116</v>
      </c>
      <c r="I100" s="3" t="s">
        <v>116</v>
      </c>
      <c r="J100" s="5"/>
      <c r="K100" s="5"/>
      <c r="L100" s="5"/>
      <c r="M100" s="5"/>
      <c r="N100" s="5"/>
      <c r="O100" s="5"/>
    </row>
    <row r="101" spans="1:15">
      <c r="A101" s="3" t="s">
        <v>1321</v>
      </c>
      <c r="B101" s="3" t="s">
        <v>1322</v>
      </c>
      <c r="C101" s="3" t="s">
        <v>116</v>
      </c>
      <c r="D101" s="3" t="s">
        <v>116</v>
      </c>
      <c r="E101" s="3" t="s">
        <v>117</v>
      </c>
      <c r="F101" s="12" t="s">
        <v>4</v>
      </c>
      <c r="G101" s="3" t="s">
        <v>4</v>
      </c>
      <c r="H101" s="3" t="s">
        <v>116</v>
      </c>
      <c r="I101" s="3" t="s">
        <v>116</v>
      </c>
      <c r="J101" s="5"/>
      <c r="K101" s="5"/>
      <c r="L101" s="5"/>
      <c r="M101" s="5"/>
      <c r="N101" s="5"/>
      <c r="O101" s="5"/>
    </row>
    <row r="102" spans="1:15">
      <c r="A102" s="3" t="s">
        <v>1355</v>
      </c>
      <c r="B102" s="3" t="s">
        <v>1624</v>
      </c>
      <c r="C102" s="3" t="s">
        <v>116</v>
      </c>
      <c r="D102" s="3" t="s">
        <v>116</v>
      </c>
      <c r="E102" s="3" t="s">
        <v>117</v>
      </c>
      <c r="F102" s="12" t="s">
        <v>4</v>
      </c>
      <c r="G102" s="3" t="s">
        <v>4</v>
      </c>
      <c r="H102" s="3" t="s">
        <v>1335</v>
      </c>
      <c r="I102" s="3" t="s">
        <v>1608</v>
      </c>
      <c r="J102" s="5"/>
      <c r="K102" s="5"/>
      <c r="L102" s="5"/>
      <c r="M102" s="5"/>
      <c r="N102" s="5"/>
      <c r="O102" s="5"/>
    </row>
    <row r="103" spans="1:15">
      <c r="A103" s="3" t="s">
        <v>928</v>
      </c>
      <c r="B103" s="3" t="s">
        <v>929</v>
      </c>
      <c r="C103" s="3" t="s">
        <v>116</v>
      </c>
      <c r="D103" s="3" t="s">
        <v>116</v>
      </c>
      <c r="E103" s="3" t="s">
        <v>117</v>
      </c>
      <c r="F103" s="12" t="s">
        <v>4</v>
      </c>
      <c r="G103" s="3" t="s">
        <v>4</v>
      </c>
      <c r="H103" s="3" t="s">
        <v>116</v>
      </c>
      <c r="I103" s="3" t="s">
        <v>116</v>
      </c>
      <c r="J103" s="5"/>
      <c r="K103" s="5"/>
      <c r="L103" s="5"/>
      <c r="M103" s="5"/>
      <c r="N103" s="5"/>
      <c r="O103" s="5"/>
    </row>
    <row r="104" spans="1:15">
      <c r="A104" s="3" t="s">
        <v>930</v>
      </c>
      <c r="B104" s="3" t="s">
        <v>931</v>
      </c>
      <c r="C104" s="3" t="s">
        <v>116</v>
      </c>
      <c r="D104" s="3" t="s">
        <v>116</v>
      </c>
      <c r="E104" s="3" t="s">
        <v>117</v>
      </c>
      <c r="F104" s="12" t="s">
        <v>6</v>
      </c>
      <c r="G104" s="3" t="s">
        <v>4</v>
      </c>
      <c r="H104" s="3" t="s">
        <v>116</v>
      </c>
      <c r="I104" s="3" t="s">
        <v>1611</v>
      </c>
      <c r="J104" s="5"/>
      <c r="K104" s="5"/>
      <c r="L104" s="5"/>
      <c r="M104" s="5"/>
      <c r="N104" s="5"/>
      <c r="O104" s="5"/>
    </row>
    <row r="105" spans="1:15">
      <c r="A105" s="3" t="s">
        <v>932</v>
      </c>
      <c r="B105" s="3" t="s">
        <v>933</v>
      </c>
      <c r="C105" s="3" t="s">
        <v>116</v>
      </c>
      <c r="D105" s="3" t="s">
        <v>116</v>
      </c>
      <c r="E105" s="3" t="s">
        <v>117</v>
      </c>
      <c r="F105" s="12" t="s">
        <v>6</v>
      </c>
      <c r="G105" s="3" t="s">
        <v>4</v>
      </c>
      <c r="H105" s="3" t="s">
        <v>116</v>
      </c>
      <c r="I105" s="3" t="s">
        <v>1611</v>
      </c>
      <c r="J105" s="5"/>
      <c r="K105" s="5"/>
      <c r="L105" s="5"/>
      <c r="M105" s="5"/>
      <c r="N105" s="5"/>
      <c r="O105" s="5"/>
    </row>
    <row r="106" spans="1:15">
      <c r="A106" s="3" t="s">
        <v>934</v>
      </c>
      <c r="B106" s="3" t="s">
        <v>935</v>
      </c>
      <c r="C106" s="3" t="s">
        <v>116</v>
      </c>
      <c r="D106" s="3" t="s">
        <v>116</v>
      </c>
      <c r="E106" s="3" t="s">
        <v>117</v>
      </c>
      <c r="F106" s="12" t="s">
        <v>6</v>
      </c>
      <c r="G106" s="3" t="s">
        <v>4</v>
      </c>
      <c r="H106" s="3" t="s">
        <v>116</v>
      </c>
      <c r="I106" s="3" t="s">
        <v>1611</v>
      </c>
      <c r="J106" s="5"/>
      <c r="K106" s="5"/>
      <c r="L106" s="5"/>
      <c r="M106" s="5"/>
      <c r="N106" s="5"/>
      <c r="O106" s="5"/>
    </row>
    <row r="107" spans="1:15">
      <c r="A107" s="3" t="s">
        <v>936</v>
      </c>
      <c r="B107" s="3" t="s">
        <v>937</v>
      </c>
      <c r="C107" s="3" t="s">
        <v>116</v>
      </c>
      <c r="D107" s="3" t="s">
        <v>116</v>
      </c>
      <c r="E107" s="3" t="s">
        <v>117</v>
      </c>
      <c r="F107" s="12" t="s">
        <v>6</v>
      </c>
      <c r="G107" s="3" t="s">
        <v>4</v>
      </c>
      <c r="H107" s="3" t="s">
        <v>116</v>
      </c>
      <c r="I107" s="3" t="s">
        <v>1609</v>
      </c>
      <c r="J107" s="5"/>
      <c r="K107" s="5"/>
      <c r="L107" s="5"/>
      <c r="M107" s="5"/>
      <c r="N107" s="5"/>
      <c r="O107" s="5"/>
    </row>
    <row r="108" spans="1:15">
      <c r="A108" s="3" t="s">
        <v>938</v>
      </c>
      <c r="B108" s="3" t="s">
        <v>939</v>
      </c>
      <c r="C108" s="3" t="s">
        <v>116</v>
      </c>
      <c r="D108" s="3" t="s">
        <v>116</v>
      </c>
      <c r="E108" s="3" t="s">
        <v>117</v>
      </c>
      <c r="F108" s="12" t="s">
        <v>6</v>
      </c>
      <c r="G108" s="3" t="s">
        <v>4</v>
      </c>
      <c r="H108" s="3" t="s">
        <v>116</v>
      </c>
      <c r="I108" s="3" t="s">
        <v>1611</v>
      </c>
      <c r="J108" s="5"/>
      <c r="K108" s="5"/>
      <c r="L108" s="5"/>
      <c r="M108" s="5"/>
      <c r="N108" s="5"/>
      <c r="O108" s="5"/>
    </row>
    <row r="109" spans="1:15">
      <c r="A109" s="3" t="s">
        <v>940</v>
      </c>
      <c r="B109" s="3" t="s">
        <v>941</v>
      </c>
      <c r="C109" s="3" t="s">
        <v>116</v>
      </c>
      <c r="D109" s="3" t="s">
        <v>116</v>
      </c>
      <c r="E109" s="3" t="s">
        <v>117</v>
      </c>
      <c r="F109" s="12" t="s">
        <v>6</v>
      </c>
      <c r="G109" s="3" t="s">
        <v>4</v>
      </c>
      <c r="H109" s="3" t="s">
        <v>116</v>
      </c>
      <c r="I109" s="3" t="s">
        <v>1611</v>
      </c>
      <c r="J109" s="5"/>
      <c r="K109" s="5"/>
      <c r="L109" s="5"/>
      <c r="M109" s="5"/>
      <c r="N109" s="5"/>
      <c r="O109" s="5"/>
    </row>
    <row r="110" spans="1:15">
      <c r="A110" s="3" t="s">
        <v>942</v>
      </c>
      <c r="B110" s="3" t="s">
        <v>943</v>
      </c>
      <c r="C110" s="3" t="s">
        <v>116</v>
      </c>
      <c r="D110" s="3" t="s">
        <v>116</v>
      </c>
      <c r="E110" s="3" t="s">
        <v>117</v>
      </c>
      <c r="F110" s="12" t="s">
        <v>6</v>
      </c>
      <c r="G110" s="3" t="s">
        <v>4</v>
      </c>
      <c r="H110" s="3" t="s">
        <v>116</v>
      </c>
      <c r="I110" s="3" t="s">
        <v>1609</v>
      </c>
      <c r="J110" s="5"/>
      <c r="K110" s="5"/>
      <c r="L110" s="5"/>
      <c r="M110" s="5"/>
      <c r="N110" s="5"/>
      <c r="O110" s="5"/>
    </row>
    <row r="111" spans="1:15">
      <c r="A111" s="3" t="s">
        <v>944</v>
      </c>
      <c r="B111" s="3" t="s">
        <v>945</v>
      </c>
      <c r="C111" s="3" t="s">
        <v>116</v>
      </c>
      <c r="D111" s="3" t="s">
        <v>116</v>
      </c>
      <c r="E111" s="3" t="s">
        <v>117</v>
      </c>
      <c r="F111" s="12" t="s">
        <v>6</v>
      </c>
      <c r="G111" s="3" t="s">
        <v>4</v>
      </c>
      <c r="H111" s="3" t="s">
        <v>116</v>
      </c>
      <c r="I111" s="3" t="s">
        <v>1611</v>
      </c>
      <c r="J111" s="5"/>
      <c r="K111" s="5"/>
      <c r="L111" s="5"/>
      <c r="M111" s="5"/>
      <c r="N111" s="5"/>
      <c r="O111" s="5"/>
    </row>
    <row r="112" spans="1:15">
      <c r="A112" s="3" t="s">
        <v>747</v>
      </c>
      <c r="B112" s="3" t="s">
        <v>748</v>
      </c>
      <c r="C112" s="3" t="s">
        <v>116</v>
      </c>
      <c r="D112" s="3" t="s">
        <v>116</v>
      </c>
      <c r="E112" s="3" t="s">
        <v>117</v>
      </c>
      <c r="F112" s="12" t="s">
        <v>6</v>
      </c>
      <c r="G112" s="3" t="s">
        <v>4</v>
      </c>
      <c r="H112" s="3" t="s">
        <v>116</v>
      </c>
      <c r="I112" s="3" t="s">
        <v>1609</v>
      </c>
      <c r="J112" s="5"/>
      <c r="K112" s="5"/>
      <c r="L112" s="5"/>
      <c r="M112" s="5"/>
      <c r="N112" s="5"/>
      <c r="O112" s="5"/>
    </row>
    <row r="113" spans="1:15">
      <c r="A113" s="3" t="s">
        <v>1323</v>
      </c>
      <c r="B113" s="3" t="s">
        <v>1324</v>
      </c>
      <c r="C113" s="3" t="s">
        <v>116</v>
      </c>
      <c r="D113" s="3" t="s">
        <v>116</v>
      </c>
      <c r="E113" s="3" t="s">
        <v>117</v>
      </c>
      <c r="F113" s="12" t="s">
        <v>6</v>
      </c>
      <c r="G113" s="3" t="s">
        <v>4</v>
      </c>
      <c r="H113" s="3" t="s">
        <v>116</v>
      </c>
      <c r="I113" s="3" t="s">
        <v>1609</v>
      </c>
      <c r="J113" s="5"/>
      <c r="K113" s="5"/>
      <c r="L113" s="5"/>
      <c r="M113" s="5"/>
      <c r="N113" s="5"/>
      <c r="O113" s="5"/>
    </row>
    <row r="114" spans="1:15">
      <c r="A114" s="3" t="s">
        <v>946</v>
      </c>
      <c r="B114" s="3" t="s">
        <v>947</v>
      </c>
      <c r="C114" s="3" t="s">
        <v>116</v>
      </c>
      <c r="D114" s="3" t="s">
        <v>116</v>
      </c>
      <c r="E114" s="3" t="s">
        <v>117</v>
      </c>
      <c r="F114" s="12" t="s">
        <v>6</v>
      </c>
      <c r="G114" s="3" t="s">
        <v>4</v>
      </c>
      <c r="H114" s="3" t="s">
        <v>116</v>
      </c>
      <c r="I114" s="3" t="s">
        <v>1611</v>
      </c>
      <c r="J114" s="5"/>
      <c r="K114" s="5"/>
      <c r="L114" s="5"/>
      <c r="M114" s="5"/>
      <c r="N114" s="5"/>
      <c r="O114" s="5"/>
    </row>
    <row r="115" spans="1:15">
      <c r="A115" s="3" t="s">
        <v>948</v>
      </c>
      <c r="B115" s="3" t="s">
        <v>949</v>
      </c>
      <c r="C115" s="3" t="s">
        <v>116</v>
      </c>
      <c r="D115" s="3" t="s">
        <v>116</v>
      </c>
      <c r="E115" s="3" t="s">
        <v>117</v>
      </c>
      <c r="F115" s="12" t="s">
        <v>6</v>
      </c>
      <c r="G115" s="3" t="s">
        <v>4</v>
      </c>
      <c r="H115" s="3" t="s">
        <v>116</v>
      </c>
      <c r="I115" s="3" t="s">
        <v>1609</v>
      </c>
      <c r="J115" s="5"/>
      <c r="K115" s="5"/>
      <c r="L115" s="5"/>
      <c r="M115" s="5"/>
      <c r="N115" s="5"/>
      <c r="O115" s="5"/>
    </row>
    <row r="116" spans="1:15">
      <c r="A116" s="3" t="s">
        <v>950</v>
      </c>
      <c r="B116" s="3" t="s">
        <v>1610</v>
      </c>
      <c r="C116" s="3" t="s">
        <v>116</v>
      </c>
      <c r="D116" s="3" t="s">
        <v>116</v>
      </c>
      <c r="E116" s="3" t="s">
        <v>117</v>
      </c>
      <c r="F116" s="12" t="s">
        <v>6</v>
      </c>
      <c r="G116" s="3" t="s">
        <v>4</v>
      </c>
      <c r="H116" s="3" t="s">
        <v>116</v>
      </c>
      <c r="I116" s="3" t="s">
        <v>1611</v>
      </c>
      <c r="J116" s="5"/>
      <c r="K116" s="5"/>
      <c r="L116" s="5"/>
      <c r="M116" s="5"/>
      <c r="N116" s="5"/>
      <c r="O116" s="5"/>
    </row>
    <row r="117" spans="1:15">
      <c r="A117" s="3" t="s">
        <v>1325</v>
      </c>
      <c r="B117" s="3" t="s">
        <v>1326</v>
      </c>
      <c r="C117" s="3" t="s">
        <v>116</v>
      </c>
      <c r="D117" s="3" t="s">
        <v>116</v>
      </c>
      <c r="E117" s="3" t="s">
        <v>117</v>
      </c>
      <c r="F117" s="12" t="s">
        <v>6</v>
      </c>
      <c r="G117" s="3" t="s">
        <v>4</v>
      </c>
      <c r="H117" s="3" t="s">
        <v>116</v>
      </c>
      <c r="I117" s="3" t="s">
        <v>1611</v>
      </c>
      <c r="J117" s="5"/>
      <c r="K117" s="5"/>
      <c r="L117" s="5"/>
      <c r="M117" s="5"/>
      <c r="N117" s="5"/>
      <c r="O117" s="5"/>
    </row>
    <row r="118" spans="1:15">
      <c r="A118" s="3" t="s">
        <v>1378</v>
      </c>
      <c r="B118" s="3" t="s">
        <v>1612</v>
      </c>
      <c r="C118" s="3" t="s">
        <v>116</v>
      </c>
      <c r="D118" s="3" t="s">
        <v>116</v>
      </c>
      <c r="E118" s="3" t="s">
        <v>117</v>
      </c>
      <c r="F118" s="12" t="s">
        <v>6</v>
      </c>
      <c r="G118" s="3" t="s">
        <v>4</v>
      </c>
      <c r="H118" s="3" t="s">
        <v>116</v>
      </c>
      <c r="I118" s="3" t="s">
        <v>1611</v>
      </c>
      <c r="J118" s="5"/>
      <c r="K118" s="5"/>
      <c r="L118" s="5"/>
      <c r="M118" s="5"/>
      <c r="N118" s="5"/>
      <c r="O118" s="5"/>
    </row>
    <row r="119" spans="1:15">
      <c r="A119" s="3" t="s">
        <v>1327</v>
      </c>
      <c r="B119" s="3" t="s">
        <v>1328</v>
      </c>
      <c r="C119" s="3" t="s">
        <v>116</v>
      </c>
      <c r="D119" s="3" t="s">
        <v>116</v>
      </c>
      <c r="E119" s="3" t="s">
        <v>117</v>
      </c>
      <c r="F119" s="12" t="s">
        <v>6</v>
      </c>
      <c r="G119" s="3" t="s">
        <v>4</v>
      </c>
      <c r="H119" s="3" t="s">
        <v>116</v>
      </c>
      <c r="I119" s="3" t="s">
        <v>1611</v>
      </c>
      <c r="J119" s="5"/>
      <c r="K119" s="5"/>
      <c r="L119" s="5"/>
      <c r="M119" s="5"/>
      <c r="N119" s="5"/>
      <c r="O119" s="5"/>
    </row>
    <row r="120" spans="1:15">
      <c r="A120" s="3" t="s">
        <v>1329</v>
      </c>
      <c r="B120" s="3" t="s">
        <v>1330</v>
      </c>
      <c r="C120" s="3" t="s">
        <v>116</v>
      </c>
      <c r="D120" s="3" t="s">
        <v>116</v>
      </c>
      <c r="E120" s="3" t="s">
        <v>117</v>
      </c>
      <c r="F120" s="12" t="s">
        <v>6</v>
      </c>
      <c r="G120" s="3" t="s">
        <v>4</v>
      </c>
      <c r="H120" s="3" t="s">
        <v>116</v>
      </c>
      <c r="I120" s="3" t="s">
        <v>1611</v>
      </c>
      <c r="J120" s="5"/>
      <c r="K120" s="5"/>
      <c r="L120" s="5"/>
      <c r="M120" s="5"/>
      <c r="N120" s="5"/>
      <c r="O120" s="5"/>
    </row>
    <row r="121" spans="1:15">
      <c r="A121" s="3" t="s">
        <v>11</v>
      </c>
      <c r="B121" s="3" t="s">
        <v>151</v>
      </c>
      <c r="C121" s="3" t="s">
        <v>116</v>
      </c>
      <c r="D121" s="3" t="s">
        <v>116</v>
      </c>
      <c r="E121" s="3" t="s">
        <v>117</v>
      </c>
      <c r="F121" s="12" t="s">
        <v>6</v>
      </c>
      <c r="G121" s="3" t="s">
        <v>4</v>
      </c>
      <c r="H121" s="3" t="s">
        <v>116</v>
      </c>
      <c r="I121" s="3" t="s">
        <v>1609</v>
      </c>
      <c r="J121" s="5"/>
      <c r="K121" s="5"/>
      <c r="L121" s="5"/>
      <c r="M121" s="5"/>
      <c r="N121" s="5"/>
      <c r="O121" s="5"/>
    </row>
    <row r="122" spans="1:15">
      <c r="A122" s="3" t="s">
        <v>1331</v>
      </c>
      <c r="B122" s="3" t="s">
        <v>1332</v>
      </c>
      <c r="C122" s="3" t="s">
        <v>116</v>
      </c>
      <c r="D122" s="3" t="s">
        <v>116</v>
      </c>
      <c r="E122" s="3" t="s">
        <v>117</v>
      </c>
      <c r="F122" s="12" t="s">
        <v>6</v>
      </c>
      <c r="G122" s="3" t="s">
        <v>4</v>
      </c>
      <c r="H122" s="3" t="s">
        <v>116</v>
      </c>
      <c r="I122" s="3" t="s">
        <v>1609</v>
      </c>
      <c r="J122" s="5"/>
      <c r="K122" s="5"/>
      <c r="L122" s="5"/>
      <c r="M122" s="5"/>
      <c r="N122" s="5"/>
      <c r="O122" s="5"/>
    </row>
    <row r="123" spans="1:15">
      <c r="A123" s="3" t="s">
        <v>951</v>
      </c>
      <c r="B123" s="3" t="s">
        <v>952</v>
      </c>
      <c r="C123" s="3" t="s">
        <v>116</v>
      </c>
      <c r="D123" s="3" t="s">
        <v>116</v>
      </c>
      <c r="E123" s="3" t="s">
        <v>117</v>
      </c>
      <c r="F123" s="12" t="s">
        <v>6</v>
      </c>
      <c r="G123" s="3" t="s">
        <v>4</v>
      </c>
      <c r="H123" s="3" t="s">
        <v>116</v>
      </c>
      <c r="I123" s="3" t="s">
        <v>1611</v>
      </c>
      <c r="J123" s="5"/>
      <c r="K123" s="5"/>
      <c r="L123" s="5"/>
      <c r="M123" s="5"/>
      <c r="N123" s="5"/>
      <c r="O123" s="5"/>
    </row>
    <row r="124" spans="1:15">
      <c r="A124" s="3" t="s">
        <v>343</v>
      </c>
      <c r="B124" s="3" t="s">
        <v>152</v>
      </c>
      <c r="C124" s="3" t="s">
        <v>116</v>
      </c>
      <c r="D124" s="3" t="s">
        <v>116</v>
      </c>
      <c r="E124" s="3" t="s">
        <v>117</v>
      </c>
      <c r="F124" s="12" t="s">
        <v>6</v>
      </c>
      <c r="G124" s="3" t="s">
        <v>4</v>
      </c>
      <c r="H124" s="3" t="s">
        <v>116</v>
      </c>
      <c r="I124" s="3" t="s">
        <v>1609</v>
      </c>
      <c r="J124" s="5"/>
      <c r="K124" s="5"/>
      <c r="L124" s="5"/>
      <c r="M124" s="5"/>
      <c r="N124" s="5"/>
      <c r="O124" s="5"/>
    </row>
    <row r="125" spans="1:15">
      <c r="A125" s="3" t="s">
        <v>12</v>
      </c>
      <c r="B125" s="3" t="s">
        <v>153</v>
      </c>
      <c r="C125" s="3" t="s">
        <v>116</v>
      </c>
      <c r="D125" s="3" t="s">
        <v>116</v>
      </c>
      <c r="E125" s="3" t="s">
        <v>117</v>
      </c>
      <c r="F125" s="12" t="s">
        <v>6</v>
      </c>
      <c r="G125" s="3" t="s">
        <v>4</v>
      </c>
      <c r="H125" s="3" t="s">
        <v>116</v>
      </c>
      <c r="I125" s="3" t="s">
        <v>1609</v>
      </c>
      <c r="J125" s="5"/>
      <c r="K125" s="5"/>
      <c r="L125" s="5"/>
      <c r="M125" s="5"/>
      <c r="N125" s="5"/>
      <c r="O125" s="5"/>
    </row>
    <row r="126" spans="1:15">
      <c r="A126" s="3" t="s">
        <v>953</v>
      </c>
      <c r="B126" s="3" t="s">
        <v>954</v>
      </c>
      <c r="C126" s="3" t="s">
        <v>116</v>
      </c>
      <c r="D126" s="3" t="s">
        <v>116</v>
      </c>
      <c r="E126" s="3" t="s">
        <v>117</v>
      </c>
      <c r="F126" s="12" t="s">
        <v>6</v>
      </c>
      <c r="G126" s="3" t="s">
        <v>4</v>
      </c>
      <c r="H126" s="3" t="s">
        <v>116</v>
      </c>
      <c r="I126" s="3" t="s">
        <v>1611</v>
      </c>
      <c r="J126" s="5"/>
      <c r="K126" s="5"/>
      <c r="L126" s="5"/>
      <c r="M126" s="5"/>
      <c r="N126" s="5"/>
      <c r="O126" s="5"/>
    </row>
    <row r="127" spans="1:15">
      <c r="A127" s="3" t="s">
        <v>13</v>
      </c>
      <c r="B127" s="3" t="s">
        <v>154</v>
      </c>
      <c r="C127" s="3" t="s">
        <v>116</v>
      </c>
      <c r="D127" s="3" t="s">
        <v>116</v>
      </c>
      <c r="E127" s="3" t="s">
        <v>117</v>
      </c>
      <c r="F127" s="12" t="s">
        <v>6</v>
      </c>
      <c r="G127" s="3" t="s">
        <v>4</v>
      </c>
      <c r="H127" s="3" t="s">
        <v>116</v>
      </c>
      <c r="I127" s="3" t="s">
        <v>1609</v>
      </c>
      <c r="J127" s="5"/>
      <c r="K127" s="5"/>
      <c r="L127" s="5"/>
      <c r="M127" s="5"/>
      <c r="N127" s="5"/>
      <c r="O127" s="5"/>
    </row>
    <row r="128" spans="1:15">
      <c r="A128" s="3" t="s">
        <v>14</v>
      </c>
      <c r="B128" s="3" t="s">
        <v>155</v>
      </c>
      <c r="C128" s="3" t="s">
        <v>116</v>
      </c>
      <c r="D128" s="3" t="s">
        <v>116</v>
      </c>
      <c r="E128" s="3" t="s">
        <v>117</v>
      </c>
      <c r="F128" s="12" t="s">
        <v>6</v>
      </c>
      <c r="G128" s="3" t="s">
        <v>4</v>
      </c>
      <c r="H128" s="3" t="s">
        <v>116</v>
      </c>
      <c r="I128" s="3" t="s">
        <v>1609</v>
      </c>
      <c r="J128" s="5"/>
      <c r="K128" s="5"/>
      <c r="L128" s="5"/>
      <c r="M128" s="5"/>
      <c r="N128" s="5"/>
      <c r="O128" s="5"/>
    </row>
    <row r="129" spans="1:15">
      <c r="A129" s="3" t="s">
        <v>955</v>
      </c>
      <c r="B129" s="3" t="s">
        <v>956</v>
      </c>
      <c r="C129" s="3" t="s">
        <v>116</v>
      </c>
      <c r="D129" s="3" t="s">
        <v>116</v>
      </c>
      <c r="E129" s="3" t="s">
        <v>117</v>
      </c>
      <c r="F129" s="12" t="s">
        <v>6</v>
      </c>
      <c r="G129" s="3" t="s">
        <v>4</v>
      </c>
      <c r="H129" s="3" t="s">
        <v>116</v>
      </c>
      <c r="I129" s="3" t="s">
        <v>1611</v>
      </c>
      <c r="J129" s="5"/>
      <c r="K129" s="5"/>
      <c r="L129" s="5"/>
      <c r="M129" s="5"/>
      <c r="N129" s="5"/>
      <c r="O129" s="5"/>
    </row>
    <row r="130" spans="1:15">
      <c r="A130" s="3" t="s">
        <v>15</v>
      </c>
      <c r="B130" s="3" t="s">
        <v>156</v>
      </c>
      <c r="C130" s="3" t="s">
        <v>116</v>
      </c>
      <c r="D130" s="3" t="s">
        <v>116</v>
      </c>
      <c r="E130" s="3" t="s">
        <v>117</v>
      </c>
      <c r="F130" s="12" t="s">
        <v>6</v>
      </c>
      <c r="G130" s="3" t="s">
        <v>4</v>
      </c>
      <c r="H130" s="3" t="s">
        <v>116</v>
      </c>
      <c r="I130" s="3" t="s">
        <v>1609</v>
      </c>
      <c r="J130" s="5"/>
      <c r="K130" s="5"/>
      <c r="L130" s="5"/>
      <c r="M130" s="5"/>
      <c r="N130" s="5"/>
      <c r="O130" s="5"/>
    </row>
    <row r="131" spans="1:15">
      <c r="A131" s="3" t="s">
        <v>957</v>
      </c>
      <c r="B131" s="3" t="s">
        <v>958</v>
      </c>
      <c r="C131" s="3" t="s">
        <v>116</v>
      </c>
      <c r="D131" s="3" t="s">
        <v>116</v>
      </c>
      <c r="E131" s="3" t="s">
        <v>117</v>
      </c>
      <c r="F131" s="12" t="s">
        <v>6</v>
      </c>
      <c r="G131" s="3" t="s">
        <v>4</v>
      </c>
      <c r="H131" s="3" t="s">
        <v>116</v>
      </c>
      <c r="I131" s="3" t="s">
        <v>1611</v>
      </c>
      <c r="J131" s="5"/>
      <c r="K131" s="5"/>
      <c r="L131" s="5"/>
      <c r="M131" s="5"/>
      <c r="N131" s="5"/>
      <c r="O131" s="5"/>
    </row>
    <row r="132" spans="1:15">
      <c r="A132" s="3" t="s">
        <v>16</v>
      </c>
      <c r="B132" s="3" t="s">
        <v>157</v>
      </c>
      <c r="C132" s="3" t="s">
        <v>116</v>
      </c>
      <c r="D132" s="3" t="s">
        <v>116</v>
      </c>
      <c r="E132" s="3" t="s">
        <v>117</v>
      </c>
      <c r="F132" s="12" t="s">
        <v>6</v>
      </c>
      <c r="G132" s="3" t="s">
        <v>4</v>
      </c>
      <c r="H132" s="3" t="s">
        <v>116</v>
      </c>
      <c r="I132" s="3" t="s">
        <v>1609</v>
      </c>
      <c r="J132" s="5"/>
      <c r="K132" s="5"/>
      <c r="L132" s="5"/>
      <c r="M132" s="5"/>
      <c r="N132" s="5"/>
      <c r="O132" s="5"/>
    </row>
    <row r="133" spans="1:15">
      <c r="A133" s="3" t="s">
        <v>959</v>
      </c>
      <c r="B133" s="3" t="s">
        <v>960</v>
      </c>
      <c r="C133" s="3" t="s">
        <v>116</v>
      </c>
      <c r="D133" s="3" t="s">
        <v>116</v>
      </c>
      <c r="E133" s="3" t="s">
        <v>117</v>
      </c>
      <c r="F133" s="12" t="s">
        <v>6</v>
      </c>
      <c r="G133" s="3" t="s">
        <v>4</v>
      </c>
      <c r="H133" s="3" t="s">
        <v>116</v>
      </c>
      <c r="I133" s="3" t="s">
        <v>1611</v>
      </c>
      <c r="J133" s="5"/>
      <c r="K133" s="5"/>
      <c r="L133" s="5"/>
      <c r="M133" s="5"/>
      <c r="N133" s="5"/>
      <c r="O133" s="5"/>
    </row>
    <row r="134" spans="1:15">
      <c r="A134" s="3" t="s">
        <v>17</v>
      </c>
      <c r="B134" s="3" t="s">
        <v>158</v>
      </c>
      <c r="C134" s="3" t="s">
        <v>116</v>
      </c>
      <c r="D134" s="3" t="s">
        <v>116</v>
      </c>
      <c r="E134" s="3" t="s">
        <v>117</v>
      </c>
      <c r="F134" s="12" t="s">
        <v>6</v>
      </c>
      <c r="G134" s="3" t="s">
        <v>4</v>
      </c>
      <c r="H134" s="3" t="s">
        <v>116</v>
      </c>
      <c r="I134" s="3" t="s">
        <v>1609</v>
      </c>
      <c r="J134" s="5"/>
      <c r="K134" s="5"/>
      <c r="L134" s="5"/>
      <c r="M134" s="5"/>
      <c r="N134" s="5"/>
      <c r="O134" s="5"/>
    </row>
    <row r="135" spans="1:15">
      <c r="A135" s="3" t="s">
        <v>961</v>
      </c>
      <c r="B135" s="3" t="s">
        <v>962</v>
      </c>
      <c r="C135" s="3" t="s">
        <v>116</v>
      </c>
      <c r="D135" s="3" t="s">
        <v>116</v>
      </c>
      <c r="E135" s="3" t="s">
        <v>117</v>
      </c>
      <c r="F135" s="12" t="s">
        <v>6</v>
      </c>
      <c r="G135" s="3" t="s">
        <v>4</v>
      </c>
      <c r="H135" s="3" t="s">
        <v>116</v>
      </c>
      <c r="I135" s="3" t="s">
        <v>1611</v>
      </c>
      <c r="J135" s="5"/>
      <c r="K135" s="5"/>
      <c r="L135" s="5"/>
      <c r="M135" s="5"/>
      <c r="N135" s="5"/>
      <c r="O135" s="5"/>
    </row>
    <row r="136" spans="1:15">
      <c r="A136" s="3" t="s">
        <v>963</v>
      </c>
      <c r="B136" s="3" t="s">
        <v>964</v>
      </c>
      <c r="C136" s="3" t="s">
        <v>116</v>
      </c>
      <c r="D136" s="3" t="s">
        <v>116</v>
      </c>
      <c r="E136" s="3" t="s">
        <v>117</v>
      </c>
      <c r="F136" s="12" t="s">
        <v>6</v>
      </c>
      <c r="G136" s="3" t="s">
        <v>4</v>
      </c>
      <c r="H136" s="3" t="s">
        <v>116</v>
      </c>
      <c r="I136" s="3" t="s">
        <v>1609</v>
      </c>
      <c r="J136" s="5"/>
      <c r="K136" s="5"/>
      <c r="L136" s="5"/>
      <c r="M136" s="5"/>
      <c r="N136" s="5"/>
      <c r="O136" s="5"/>
    </row>
    <row r="137" spans="1:15">
      <c r="A137" s="3" t="s">
        <v>965</v>
      </c>
      <c r="B137" s="3" t="s">
        <v>966</v>
      </c>
      <c r="C137" s="3" t="s">
        <v>116</v>
      </c>
      <c r="D137" s="3" t="s">
        <v>116</v>
      </c>
      <c r="E137" s="3" t="s">
        <v>117</v>
      </c>
      <c r="F137" s="12" t="s">
        <v>6</v>
      </c>
      <c r="G137" s="3" t="s">
        <v>4</v>
      </c>
      <c r="H137" s="3" t="s">
        <v>116</v>
      </c>
      <c r="I137" s="3" t="s">
        <v>1611</v>
      </c>
      <c r="J137" s="5"/>
      <c r="K137" s="5"/>
      <c r="L137" s="5"/>
      <c r="M137" s="5"/>
      <c r="N137" s="5"/>
      <c r="O137" s="5"/>
    </row>
    <row r="138" spans="1:15">
      <c r="A138" s="3" t="s">
        <v>703</v>
      </c>
      <c r="B138" s="3" t="s">
        <v>704</v>
      </c>
      <c r="C138" s="3" t="s">
        <v>116</v>
      </c>
      <c r="D138" s="3" t="s">
        <v>116</v>
      </c>
      <c r="E138" s="3" t="s">
        <v>117</v>
      </c>
      <c r="F138" s="12" t="s">
        <v>6</v>
      </c>
      <c r="G138" s="3" t="s">
        <v>4</v>
      </c>
      <c r="H138" s="3" t="s">
        <v>705</v>
      </c>
      <c r="I138" s="3" t="s">
        <v>1609</v>
      </c>
      <c r="J138" s="5"/>
      <c r="K138" s="5"/>
      <c r="L138" s="5"/>
      <c r="M138" s="5"/>
      <c r="N138" s="5"/>
      <c r="O138" s="5"/>
    </row>
    <row r="139" spans="1:15">
      <c r="A139" s="3" t="s">
        <v>1333</v>
      </c>
      <c r="B139" s="3" t="s">
        <v>1334</v>
      </c>
      <c r="C139" s="3" t="s">
        <v>116</v>
      </c>
      <c r="D139" s="3" t="s">
        <v>116</v>
      </c>
      <c r="E139" s="3" t="s">
        <v>117</v>
      </c>
      <c r="F139" s="12" t="s">
        <v>6</v>
      </c>
      <c r="G139" s="3" t="s">
        <v>4</v>
      </c>
      <c r="H139" s="3" t="s">
        <v>1335</v>
      </c>
      <c r="I139" s="3" t="s">
        <v>1609</v>
      </c>
      <c r="J139" s="5"/>
      <c r="K139" s="5"/>
      <c r="L139" s="5"/>
      <c r="M139" s="5"/>
      <c r="N139" s="5"/>
      <c r="O139" s="5"/>
    </row>
    <row r="140" spans="1:15">
      <c r="A140" s="3" t="s">
        <v>1336</v>
      </c>
      <c r="B140" s="3" t="s">
        <v>1337</v>
      </c>
      <c r="C140" s="3" t="s">
        <v>116</v>
      </c>
      <c r="D140" s="3" t="s">
        <v>116</v>
      </c>
      <c r="E140" s="3" t="s">
        <v>117</v>
      </c>
      <c r="F140" s="12" t="s">
        <v>6</v>
      </c>
      <c r="G140" s="3" t="s">
        <v>4</v>
      </c>
      <c r="H140" s="3" t="s">
        <v>116</v>
      </c>
      <c r="I140" s="3" t="s">
        <v>1609</v>
      </c>
      <c r="J140" s="5"/>
      <c r="K140" s="5"/>
      <c r="L140" s="5"/>
      <c r="M140" s="5"/>
      <c r="N140" s="5"/>
      <c r="O140" s="5"/>
    </row>
    <row r="141" spans="1:15">
      <c r="A141" s="3" t="s">
        <v>1338</v>
      </c>
      <c r="B141" s="3" t="s">
        <v>1339</v>
      </c>
      <c r="C141" s="3" t="s">
        <v>116</v>
      </c>
      <c r="D141" s="3" t="s">
        <v>116</v>
      </c>
      <c r="E141" s="3" t="s">
        <v>117</v>
      </c>
      <c r="F141" s="12" t="s">
        <v>4</v>
      </c>
      <c r="G141" s="3" t="s">
        <v>4</v>
      </c>
      <c r="H141" s="3" t="s">
        <v>116</v>
      </c>
      <c r="I141" s="3" t="s">
        <v>116</v>
      </c>
      <c r="J141" s="5"/>
      <c r="K141" s="5"/>
      <c r="L141" s="5"/>
      <c r="M141" s="5"/>
      <c r="N141" s="5"/>
      <c r="O141" s="5"/>
    </row>
    <row r="142" spans="1:15">
      <c r="A142" s="3" t="s">
        <v>1340</v>
      </c>
      <c r="B142" s="3" t="s">
        <v>1341</v>
      </c>
      <c r="C142" s="3" t="s">
        <v>116</v>
      </c>
      <c r="D142" s="3" t="s">
        <v>116</v>
      </c>
      <c r="E142" s="3" t="s">
        <v>117</v>
      </c>
      <c r="F142" s="12" t="s">
        <v>4</v>
      </c>
      <c r="G142" s="3" t="s">
        <v>4</v>
      </c>
      <c r="H142" s="3" t="s">
        <v>116</v>
      </c>
      <c r="I142" s="3" t="s">
        <v>116</v>
      </c>
      <c r="J142" s="5"/>
      <c r="K142" s="5"/>
      <c r="L142" s="5"/>
      <c r="M142" s="5"/>
      <c r="N142" s="5"/>
      <c r="O142" s="5"/>
    </row>
    <row r="143" spans="1:15">
      <c r="A143" s="3" t="s">
        <v>1342</v>
      </c>
      <c r="B143" s="3" t="s">
        <v>1343</v>
      </c>
      <c r="C143" s="3" t="s">
        <v>116</v>
      </c>
      <c r="D143" s="3" t="s">
        <v>116</v>
      </c>
      <c r="E143" s="3" t="s">
        <v>117</v>
      </c>
      <c r="F143" s="12" t="s">
        <v>4</v>
      </c>
      <c r="G143" s="3" t="s">
        <v>4</v>
      </c>
      <c r="H143" s="3" t="s">
        <v>116</v>
      </c>
      <c r="I143" s="3" t="s">
        <v>116</v>
      </c>
      <c r="J143" s="5"/>
      <c r="K143" s="5"/>
      <c r="L143" s="5"/>
      <c r="M143" s="5"/>
      <c r="N143" s="5"/>
      <c r="O143" s="5"/>
    </row>
    <row r="144" spans="1:15">
      <c r="A144" s="3" t="s">
        <v>344</v>
      </c>
      <c r="B144" s="3" t="s">
        <v>159</v>
      </c>
      <c r="C144" s="3" t="s">
        <v>116</v>
      </c>
      <c r="D144" s="3" t="s">
        <v>116</v>
      </c>
      <c r="E144" s="3" t="s">
        <v>117</v>
      </c>
      <c r="F144" s="12" t="s">
        <v>4</v>
      </c>
      <c r="G144" s="3" t="s">
        <v>4</v>
      </c>
      <c r="H144" s="3" t="s">
        <v>116</v>
      </c>
      <c r="I144" s="3" t="s">
        <v>116</v>
      </c>
      <c r="J144" s="5"/>
      <c r="K144" s="5"/>
      <c r="L144" s="5"/>
      <c r="M144" s="5"/>
      <c r="N144" s="5"/>
      <c r="O144" s="5"/>
    </row>
    <row r="145" spans="1:15">
      <c r="A145" s="3" t="s">
        <v>345</v>
      </c>
      <c r="B145" s="3" t="s">
        <v>160</v>
      </c>
      <c r="C145" s="3" t="s">
        <v>116</v>
      </c>
      <c r="D145" s="3" t="s">
        <v>116</v>
      </c>
      <c r="E145" s="3" t="s">
        <v>117</v>
      </c>
      <c r="F145" s="12" t="s">
        <v>4</v>
      </c>
      <c r="G145" s="3" t="s">
        <v>4</v>
      </c>
      <c r="H145" s="3" t="s">
        <v>116</v>
      </c>
      <c r="I145" s="3" t="s">
        <v>116</v>
      </c>
      <c r="J145" s="5"/>
      <c r="K145" s="5"/>
      <c r="L145" s="5"/>
      <c r="M145" s="5"/>
      <c r="N145" s="5"/>
      <c r="O145" s="5"/>
    </row>
    <row r="146" spans="1:15">
      <c r="A146" s="3" t="s">
        <v>346</v>
      </c>
      <c r="B146" s="3" t="s">
        <v>161</v>
      </c>
      <c r="C146" s="3" t="s">
        <v>116</v>
      </c>
      <c r="D146" s="3" t="s">
        <v>116</v>
      </c>
      <c r="E146" s="3" t="s">
        <v>117</v>
      </c>
      <c r="F146" s="12" t="s">
        <v>4</v>
      </c>
      <c r="G146" s="3" t="s">
        <v>4</v>
      </c>
      <c r="H146" s="3" t="s">
        <v>116</v>
      </c>
      <c r="I146" s="3" t="s">
        <v>116</v>
      </c>
      <c r="J146" s="5"/>
      <c r="K146" s="5"/>
      <c r="L146" s="5"/>
      <c r="M146" s="5"/>
      <c r="N146" s="5"/>
      <c r="O146" s="5"/>
    </row>
    <row r="147" spans="1:15">
      <c r="A147" s="3" t="s">
        <v>347</v>
      </c>
      <c r="B147" s="3" t="s">
        <v>162</v>
      </c>
      <c r="C147" s="3" t="s">
        <v>116</v>
      </c>
      <c r="D147" s="3" t="s">
        <v>116</v>
      </c>
      <c r="E147" s="3" t="s">
        <v>117</v>
      </c>
      <c r="F147" s="12" t="s">
        <v>4</v>
      </c>
      <c r="G147" s="3" t="s">
        <v>4</v>
      </c>
      <c r="H147" s="3" t="s">
        <v>116</v>
      </c>
      <c r="I147" s="3" t="s">
        <v>116</v>
      </c>
      <c r="J147" s="5"/>
      <c r="K147" s="5"/>
      <c r="L147" s="5"/>
      <c r="M147" s="5"/>
      <c r="N147" s="5"/>
      <c r="O147" s="5"/>
    </row>
    <row r="148" spans="1:15">
      <c r="A148" s="3" t="s">
        <v>348</v>
      </c>
      <c r="B148" s="3" t="s">
        <v>163</v>
      </c>
      <c r="C148" s="3" t="s">
        <v>116</v>
      </c>
      <c r="D148" s="3" t="s">
        <v>116</v>
      </c>
      <c r="E148" s="3" t="s">
        <v>117</v>
      </c>
      <c r="F148" s="12" t="s">
        <v>4</v>
      </c>
      <c r="G148" s="3" t="s">
        <v>4</v>
      </c>
      <c r="H148" s="3" t="s">
        <v>116</v>
      </c>
      <c r="I148" s="3" t="s">
        <v>116</v>
      </c>
      <c r="J148" s="5"/>
      <c r="K148" s="5"/>
      <c r="L148" s="5"/>
      <c r="M148" s="5"/>
      <c r="N148" s="5"/>
      <c r="O148" s="5"/>
    </row>
    <row r="149" spans="1:15">
      <c r="A149" s="3" t="s">
        <v>349</v>
      </c>
      <c r="B149" s="3" t="s">
        <v>164</v>
      </c>
      <c r="C149" s="3" t="s">
        <v>116</v>
      </c>
      <c r="D149" s="3" t="s">
        <v>116</v>
      </c>
      <c r="E149" s="3" t="s">
        <v>117</v>
      </c>
      <c r="F149" s="12" t="s">
        <v>4</v>
      </c>
      <c r="G149" s="3" t="s">
        <v>4</v>
      </c>
      <c r="H149" s="3" t="s">
        <v>116</v>
      </c>
      <c r="I149" s="3" t="s">
        <v>116</v>
      </c>
      <c r="J149" s="5"/>
      <c r="K149" s="5"/>
      <c r="L149" s="5"/>
      <c r="M149" s="5"/>
      <c r="N149" s="5"/>
      <c r="O149" s="5"/>
    </row>
    <row r="150" spans="1:15">
      <c r="A150" s="3" t="s">
        <v>350</v>
      </c>
      <c r="B150" s="3" t="s">
        <v>165</v>
      </c>
      <c r="C150" s="3" t="s">
        <v>116</v>
      </c>
      <c r="D150" s="3" t="s">
        <v>116</v>
      </c>
      <c r="E150" s="3" t="s">
        <v>117</v>
      </c>
      <c r="F150" s="12" t="s">
        <v>4</v>
      </c>
      <c r="G150" s="3" t="s">
        <v>4</v>
      </c>
      <c r="H150" s="3" t="s">
        <v>116</v>
      </c>
      <c r="I150" s="3" t="s">
        <v>116</v>
      </c>
      <c r="J150" s="5"/>
      <c r="K150" s="5"/>
      <c r="L150" s="5"/>
      <c r="M150" s="5"/>
      <c r="N150" s="5"/>
      <c r="O150" s="5"/>
    </row>
    <row r="151" spans="1:15">
      <c r="A151" s="3" t="s">
        <v>351</v>
      </c>
      <c r="B151" s="3" t="s">
        <v>166</v>
      </c>
      <c r="C151" s="3" t="s">
        <v>116</v>
      </c>
      <c r="D151" s="3" t="s">
        <v>116</v>
      </c>
      <c r="E151" s="3" t="s">
        <v>117</v>
      </c>
      <c r="F151" s="12" t="s">
        <v>4</v>
      </c>
      <c r="G151" s="3" t="s">
        <v>4</v>
      </c>
      <c r="H151" s="3" t="s">
        <v>116</v>
      </c>
      <c r="I151" s="3" t="s">
        <v>116</v>
      </c>
      <c r="J151" s="5"/>
      <c r="K151" s="5"/>
      <c r="L151" s="5"/>
      <c r="M151" s="5"/>
      <c r="N151" s="5"/>
      <c r="O151" s="5"/>
    </row>
    <row r="152" spans="1:15">
      <c r="A152" s="3" t="s">
        <v>352</v>
      </c>
      <c r="B152" s="3" t="s">
        <v>167</v>
      </c>
      <c r="C152" s="3" t="s">
        <v>116</v>
      </c>
      <c r="D152" s="3" t="s">
        <v>116</v>
      </c>
      <c r="E152" s="3" t="s">
        <v>117</v>
      </c>
      <c r="F152" s="12" t="s">
        <v>4</v>
      </c>
      <c r="G152" s="3" t="s">
        <v>4</v>
      </c>
      <c r="H152" s="3" t="s">
        <v>116</v>
      </c>
      <c r="I152" s="3" t="s">
        <v>116</v>
      </c>
      <c r="J152" s="5"/>
      <c r="K152" s="5"/>
      <c r="L152" s="5"/>
      <c r="M152" s="5"/>
      <c r="N152" s="5"/>
      <c r="O152" s="5"/>
    </row>
    <row r="153" spans="1:15">
      <c r="A153" s="3" t="s">
        <v>353</v>
      </c>
      <c r="B153" s="3" t="s">
        <v>168</v>
      </c>
      <c r="C153" s="3" t="s">
        <v>116</v>
      </c>
      <c r="D153" s="3" t="s">
        <v>116</v>
      </c>
      <c r="E153" s="3" t="s">
        <v>117</v>
      </c>
      <c r="F153" s="12" t="s">
        <v>4</v>
      </c>
      <c r="G153" s="3" t="s">
        <v>4</v>
      </c>
      <c r="H153" s="3" t="s">
        <v>116</v>
      </c>
      <c r="I153" s="3" t="s">
        <v>116</v>
      </c>
      <c r="J153" s="5"/>
      <c r="K153" s="5"/>
      <c r="L153" s="5"/>
      <c r="M153" s="5"/>
      <c r="N153" s="5"/>
      <c r="O153" s="5"/>
    </row>
    <row r="154" spans="1:15">
      <c r="A154" s="3" t="s">
        <v>354</v>
      </c>
      <c r="B154" s="3" t="s">
        <v>169</v>
      </c>
      <c r="C154" s="3" t="s">
        <v>116</v>
      </c>
      <c r="D154" s="3" t="s">
        <v>116</v>
      </c>
      <c r="E154" s="3" t="s">
        <v>117</v>
      </c>
      <c r="F154" s="12" t="s">
        <v>4</v>
      </c>
      <c r="G154" s="3" t="s">
        <v>4</v>
      </c>
      <c r="H154" s="3" t="s">
        <v>116</v>
      </c>
      <c r="I154" s="3" t="s">
        <v>116</v>
      </c>
      <c r="J154" s="5"/>
      <c r="K154" s="5"/>
      <c r="L154" s="5"/>
      <c r="M154" s="5"/>
      <c r="N154" s="5"/>
      <c r="O154" s="5"/>
    </row>
    <row r="155" spans="1:15">
      <c r="A155" s="3" t="s">
        <v>355</v>
      </c>
      <c r="B155" s="3" t="s">
        <v>170</v>
      </c>
      <c r="C155" s="3" t="s">
        <v>116</v>
      </c>
      <c r="D155" s="3" t="s">
        <v>116</v>
      </c>
      <c r="E155" s="3" t="s">
        <v>117</v>
      </c>
      <c r="F155" s="12" t="s">
        <v>4</v>
      </c>
      <c r="G155" s="3" t="s">
        <v>6</v>
      </c>
      <c r="H155" s="3" t="s">
        <v>116</v>
      </c>
      <c r="I155" s="3" t="s">
        <v>116</v>
      </c>
      <c r="J155" s="5"/>
      <c r="K155" s="5"/>
      <c r="L155" s="5"/>
      <c r="M155" s="5"/>
      <c r="N155" s="5"/>
      <c r="O155" s="5"/>
    </row>
    <row r="156" spans="1:15">
      <c r="A156" s="3" t="s">
        <v>356</v>
      </c>
      <c r="B156" s="3" t="s">
        <v>1344</v>
      </c>
      <c r="C156" s="3" t="s">
        <v>116</v>
      </c>
      <c r="D156" s="3" t="s">
        <v>116</v>
      </c>
      <c r="E156" s="3" t="s">
        <v>117</v>
      </c>
      <c r="F156" s="12" t="s">
        <v>4</v>
      </c>
      <c r="G156" s="3" t="s">
        <v>4</v>
      </c>
      <c r="H156" s="3" t="s">
        <v>116</v>
      </c>
      <c r="I156" s="3" t="s">
        <v>116</v>
      </c>
      <c r="J156" s="5"/>
      <c r="K156" s="5"/>
      <c r="L156" s="5"/>
      <c r="M156" s="5"/>
      <c r="N156" s="5"/>
      <c r="O156" s="5"/>
    </row>
    <row r="157" spans="1:15">
      <c r="A157" s="3" t="s">
        <v>357</v>
      </c>
      <c r="B157" s="3" t="s">
        <v>1345</v>
      </c>
      <c r="C157" s="3" t="s">
        <v>116</v>
      </c>
      <c r="D157" s="3" t="s">
        <v>116</v>
      </c>
      <c r="E157" s="3" t="s">
        <v>117</v>
      </c>
      <c r="F157" s="12" t="s">
        <v>4</v>
      </c>
      <c r="G157" s="3" t="s">
        <v>4</v>
      </c>
      <c r="H157" s="3" t="s">
        <v>116</v>
      </c>
      <c r="I157" s="3" t="s">
        <v>116</v>
      </c>
      <c r="J157" s="5"/>
      <c r="K157" s="5"/>
      <c r="L157" s="5"/>
      <c r="M157" s="5"/>
      <c r="N157" s="5"/>
      <c r="O157" s="5"/>
    </row>
    <row r="158" spans="1:15">
      <c r="A158" s="3" t="s">
        <v>358</v>
      </c>
      <c r="B158" s="3" t="s">
        <v>171</v>
      </c>
      <c r="C158" s="3" t="s">
        <v>116</v>
      </c>
      <c r="D158" s="3" t="s">
        <v>116</v>
      </c>
      <c r="E158" s="3" t="s">
        <v>117</v>
      </c>
      <c r="F158" s="12" t="s">
        <v>4</v>
      </c>
      <c r="G158" s="3" t="s">
        <v>4</v>
      </c>
      <c r="H158" s="3" t="s">
        <v>116</v>
      </c>
      <c r="I158" s="3" t="s">
        <v>116</v>
      </c>
      <c r="J158" s="5"/>
      <c r="K158" s="5"/>
      <c r="L158" s="5"/>
      <c r="M158" s="5"/>
      <c r="N158" s="5"/>
      <c r="O158" s="5"/>
    </row>
    <row r="159" spans="1:15">
      <c r="A159" s="3" t="s">
        <v>359</v>
      </c>
      <c r="B159" s="3" t="s">
        <v>172</v>
      </c>
      <c r="C159" s="3" t="s">
        <v>116</v>
      </c>
      <c r="D159" s="3" t="s">
        <v>116</v>
      </c>
      <c r="E159" s="3" t="s">
        <v>117</v>
      </c>
      <c r="F159" s="12" t="s">
        <v>4</v>
      </c>
      <c r="G159" s="3" t="s">
        <v>4</v>
      </c>
      <c r="H159" s="3" t="s">
        <v>116</v>
      </c>
      <c r="I159" s="3" t="s">
        <v>116</v>
      </c>
      <c r="J159" s="5"/>
      <c r="K159" s="5"/>
      <c r="L159" s="5"/>
      <c r="M159" s="5"/>
      <c r="N159" s="5"/>
      <c r="O159" s="5"/>
    </row>
    <row r="160" spans="1:15">
      <c r="A160" s="3" t="s">
        <v>360</v>
      </c>
      <c r="B160" s="3" t="s">
        <v>173</v>
      </c>
      <c r="C160" s="3" t="s">
        <v>116</v>
      </c>
      <c r="D160" s="3" t="s">
        <v>116</v>
      </c>
      <c r="E160" s="3" t="s">
        <v>117</v>
      </c>
      <c r="F160" s="12" t="s">
        <v>4</v>
      </c>
      <c r="G160" s="3" t="s">
        <v>4</v>
      </c>
      <c r="H160" s="3" t="s">
        <v>116</v>
      </c>
      <c r="I160" s="3" t="s">
        <v>116</v>
      </c>
      <c r="J160" s="5"/>
      <c r="K160" s="5"/>
      <c r="L160" s="5"/>
      <c r="M160" s="5"/>
      <c r="N160" s="5"/>
      <c r="O160" s="5"/>
    </row>
    <row r="161" spans="1:15">
      <c r="A161" s="3" t="s">
        <v>361</v>
      </c>
      <c r="B161" s="3" t="s">
        <v>174</v>
      </c>
      <c r="C161" s="3" t="s">
        <v>116</v>
      </c>
      <c r="D161" s="3" t="s">
        <v>116</v>
      </c>
      <c r="E161" s="3" t="s">
        <v>117</v>
      </c>
      <c r="F161" s="12" t="s">
        <v>4</v>
      </c>
      <c r="G161" s="3" t="s">
        <v>4</v>
      </c>
      <c r="H161" s="3" t="s">
        <v>116</v>
      </c>
      <c r="I161" s="3" t="s">
        <v>116</v>
      </c>
      <c r="J161" s="5"/>
      <c r="K161" s="5"/>
      <c r="L161" s="5"/>
      <c r="M161" s="5"/>
      <c r="N161" s="5"/>
      <c r="O161" s="5"/>
    </row>
    <row r="162" spans="1:15">
      <c r="A162" s="3" t="s">
        <v>362</v>
      </c>
      <c r="B162" s="3" t="s">
        <v>287</v>
      </c>
      <c r="C162" s="3" t="s">
        <v>116</v>
      </c>
      <c r="D162" s="3" t="s">
        <v>116</v>
      </c>
      <c r="E162" s="3" t="s">
        <v>117</v>
      </c>
      <c r="F162" s="12" t="s">
        <v>4</v>
      </c>
      <c r="G162" s="3" t="s">
        <v>6</v>
      </c>
      <c r="H162" s="3" t="s">
        <v>116</v>
      </c>
      <c r="I162" s="3" t="s">
        <v>116</v>
      </c>
      <c r="J162" s="5"/>
      <c r="K162" s="5"/>
      <c r="L162" s="5"/>
      <c r="M162" s="5"/>
      <c r="N162" s="5"/>
      <c r="O162" s="5"/>
    </row>
    <row r="163" spans="1:15">
      <c r="A163" s="3" t="s">
        <v>363</v>
      </c>
      <c r="B163" s="3" t="s">
        <v>288</v>
      </c>
      <c r="C163" s="3" t="s">
        <v>116</v>
      </c>
      <c r="D163" s="3" t="s">
        <v>116</v>
      </c>
      <c r="E163" s="3" t="s">
        <v>117</v>
      </c>
      <c r="F163" s="12" t="s">
        <v>4</v>
      </c>
      <c r="G163" s="3" t="s">
        <v>6</v>
      </c>
      <c r="H163" s="3" t="s">
        <v>116</v>
      </c>
      <c r="I163" s="3" t="s">
        <v>116</v>
      </c>
      <c r="J163" s="5"/>
      <c r="K163" s="5"/>
      <c r="L163" s="5"/>
      <c r="M163" s="5"/>
      <c r="N163" s="5"/>
      <c r="O163" s="5"/>
    </row>
    <row r="164" spans="1:15">
      <c r="A164" s="3" t="s">
        <v>364</v>
      </c>
      <c r="B164" s="3" t="s">
        <v>289</v>
      </c>
      <c r="C164" s="3" t="s">
        <v>116</v>
      </c>
      <c r="D164" s="3" t="s">
        <v>116</v>
      </c>
      <c r="E164" s="3" t="s">
        <v>117</v>
      </c>
      <c r="F164" s="12" t="s">
        <v>4</v>
      </c>
      <c r="G164" s="3" t="s">
        <v>6</v>
      </c>
      <c r="H164" s="3" t="s">
        <v>116</v>
      </c>
      <c r="I164" s="3" t="s">
        <v>116</v>
      </c>
      <c r="J164" s="5"/>
      <c r="K164" s="5"/>
      <c r="L164" s="5"/>
      <c r="M164" s="5"/>
      <c r="N164" s="5"/>
      <c r="O164" s="5"/>
    </row>
    <row r="165" spans="1:15">
      <c r="A165" s="3" t="s">
        <v>365</v>
      </c>
      <c r="B165" s="3" t="s">
        <v>290</v>
      </c>
      <c r="C165" s="3" t="s">
        <v>116</v>
      </c>
      <c r="D165" s="3" t="s">
        <v>116</v>
      </c>
      <c r="E165" s="3" t="s">
        <v>117</v>
      </c>
      <c r="F165" s="12" t="s">
        <v>6</v>
      </c>
      <c r="G165" s="3" t="s">
        <v>6</v>
      </c>
      <c r="H165" s="3" t="s">
        <v>116</v>
      </c>
      <c r="I165" s="3" t="s">
        <v>116</v>
      </c>
      <c r="J165" s="5"/>
      <c r="K165" s="5"/>
      <c r="L165" s="5"/>
      <c r="M165" s="5"/>
      <c r="N165" s="5"/>
      <c r="O165" s="5"/>
    </row>
    <row r="166" spans="1:15">
      <c r="A166" s="3" t="s">
        <v>366</v>
      </c>
      <c r="B166" s="3" t="s">
        <v>291</v>
      </c>
      <c r="C166" s="3" t="s">
        <v>116</v>
      </c>
      <c r="D166" s="3" t="s">
        <v>116</v>
      </c>
      <c r="E166" s="3" t="s">
        <v>117</v>
      </c>
      <c r="F166" s="12" t="s">
        <v>6</v>
      </c>
      <c r="G166" s="3" t="s">
        <v>4</v>
      </c>
      <c r="H166" s="3" t="s">
        <v>116</v>
      </c>
      <c r="I166" s="3" t="s">
        <v>116</v>
      </c>
      <c r="J166" s="5"/>
      <c r="K166" s="5"/>
      <c r="L166" s="5"/>
      <c r="M166" s="5"/>
      <c r="N166" s="5"/>
      <c r="O166" s="5"/>
    </row>
    <row r="167" spans="1:15">
      <c r="A167" s="3" t="s">
        <v>367</v>
      </c>
      <c r="B167" s="3" t="s">
        <v>292</v>
      </c>
      <c r="C167" s="3" t="s">
        <v>116</v>
      </c>
      <c r="D167" s="3" t="s">
        <v>116</v>
      </c>
      <c r="E167" s="3" t="s">
        <v>117</v>
      </c>
      <c r="F167" s="12" t="s">
        <v>6</v>
      </c>
      <c r="G167" s="3" t="s">
        <v>6</v>
      </c>
      <c r="H167" s="3" t="s">
        <v>116</v>
      </c>
      <c r="I167" s="3" t="s">
        <v>116</v>
      </c>
      <c r="J167" s="5"/>
      <c r="K167" s="5"/>
      <c r="L167" s="5"/>
      <c r="M167" s="5"/>
      <c r="N167" s="5"/>
      <c r="O167" s="5"/>
    </row>
    <row r="168" spans="1:15">
      <c r="A168" s="3" t="s">
        <v>368</v>
      </c>
      <c r="B168" s="3" t="s">
        <v>293</v>
      </c>
      <c r="C168" s="3" t="s">
        <v>116</v>
      </c>
      <c r="D168" s="3" t="s">
        <v>116</v>
      </c>
      <c r="E168" s="3" t="s">
        <v>117</v>
      </c>
      <c r="F168" s="12" t="s">
        <v>6</v>
      </c>
      <c r="G168" s="3" t="s">
        <v>6</v>
      </c>
      <c r="H168" s="3" t="s">
        <v>116</v>
      </c>
      <c r="I168" s="3" t="s">
        <v>116</v>
      </c>
      <c r="J168" s="5"/>
      <c r="K168" s="5"/>
      <c r="L168" s="5"/>
      <c r="M168" s="5"/>
      <c r="N168" s="5"/>
      <c r="O168" s="5"/>
    </row>
    <row r="169" spans="1:15">
      <c r="A169" s="3" t="s">
        <v>369</v>
      </c>
      <c r="B169" s="3" t="s">
        <v>175</v>
      </c>
      <c r="C169" s="3" t="s">
        <v>116</v>
      </c>
      <c r="D169" s="3" t="s">
        <v>116</v>
      </c>
      <c r="E169" s="3" t="s">
        <v>117</v>
      </c>
      <c r="F169" s="12" t="s">
        <v>6</v>
      </c>
      <c r="G169" s="3" t="s">
        <v>4</v>
      </c>
      <c r="H169" s="3" t="s">
        <v>116</v>
      </c>
      <c r="I169" s="3" t="s">
        <v>116</v>
      </c>
      <c r="J169" s="5"/>
      <c r="K169" s="5"/>
      <c r="L169" s="5"/>
      <c r="M169" s="5"/>
      <c r="N169" s="5"/>
      <c r="O169" s="5"/>
    </row>
    <row r="170" spans="1:15">
      <c r="A170" s="3" t="s">
        <v>370</v>
      </c>
      <c r="B170" s="3" t="s">
        <v>176</v>
      </c>
      <c r="C170" s="3" t="s">
        <v>116</v>
      </c>
      <c r="D170" s="3" t="s">
        <v>116</v>
      </c>
      <c r="E170" s="3" t="s">
        <v>117</v>
      </c>
      <c r="F170" s="12" t="s">
        <v>6</v>
      </c>
      <c r="G170" s="3" t="s">
        <v>4</v>
      </c>
      <c r="H170" s="3" t="s">
        <v>116</v>
      </c>
      <c r="I170" s="3" t="s">
        <v>116</v>
      </c>
      <c r="J170" s="5"/>
      <c r="K170" s="5"/>
      <c r="L170" s="5"/>
      <c r="M170" s="5"/>
      <c r="N170" s="5"/>
      <c r="O170" s="5"/>
    </row>
    <row r="171" spans="1:15">
      <c r="A171" s="3" t="s">
        <v>371</v>
      </c>
      <c r="B171" s="3" t="s">
        <v>177</v>
      </c>
      <c r="C171" s="3" t="s">
        <v>116</v>
      </c>
      <c r="D171" s="3" t="s">
        <v>116</v>
      </c>
      <c r="E171" s="3" t="s">
        <v>117</v>
      </c>
      <c r="F171" s="12" t="s">
        <v>6</v>
      </c>
      <c r="G171" s="3" t="s">
        <v>4</v>
      </c>
      <c r="H171" s="3" t="s">
        <v>116</v>
      </c>
      <c r="I171" s="3" t="s">
        <v>116</v>
      </c>
      <c r="J171" s="5"/>
      <c r="K171" s="5"/>
      <c r="L171" s="5"/>
      <c r="M171" s="5"/>
      <c r="N171" s="5"/>
      <c r="O171" s="5"/>
    </row>
    <row r="172" spans="1:15">
      <c r="A172" s="3" t="s">
        <v>967</v>
      </c>
      <c r="B172" s="3" t="s">
        <v>968</v>
      </c>
      <c r="C172" s="3" t="s">
        <v>116</v>
      </c>
      <c r="D172" s="3" t="s">
        <v>116</v>
      </c>
      <c r="E172" s="3" t="s">
        <v>117</v>
      </c>
      <c r="F172" s="12" t="s">
        <v>4</v>
      </c>
      <c r="G172" s="3" t="s">
        <v>4</v>
      </c>
      <c r="H172" s="3" t="s">
        <v>116</v>
      </c>
      <c r="I172" s="3" t="s">
        <v>116</v>
      </c>
      <c r="J172" s="5"/>
      <c r="K172" s="5"/>
      <c r="L172" s="5"/>
      <c r="M172" s="5"/>
      <c r="N172" s="5"/>
      <c r="O172" s="5"/>
    </row>
    <row r="173" spans="1:15">
      <c r="A173" s="3" t="s">
        <v>1346</v>
      </c>
      <c r="B173" s="3" t="s">
        <v>1347</v>
      </c>
      <c r="C173" s="3" t="s">
        <v>116</v>
      </c>
      <c r="D173" s="3" t="s">
        <v>116</v>
      </c>
      <c r="E173" s="3" t="s">
        <v>117</v>
      </c>
      <c r="F173" s="12" t="s">
        <v>4</v>
      </c>
      <c r="G173" s="3" t="s">
        <v>4</v>
      </c>
      <c r="H173" s="3" t="s">
        <v>116</v>
      </c>
      <c r="I173" s="3" t="s">
        <v>116</v>
      </c>
      <c r="J173" s="5"/>
      <c r="K173" s="5"/>
      <c r="L173" s="5"/>
      <c r="M173" s="5"/>
      <c r="N173" s="5"/>
      <c r="O173" s="5"/>
    </row>
    <row r="174" spans="1:15">
      <c r="A174" s="3" t="s">
        <v>1348</v>
      </c>
      <c r="B174" s="3" t="s">
        <v>1349</v>
      </c>
      <c r="C174" s="3" t="s">
        <v>116</v>
      </c>
      <c r="D174" s="3" t="s">
        <v>116</v>
      </c>
      <c r="E174" s="3" t="s">
        <v>117</v>
      </c>
      <c r="F174" s="12" t="s">
        <v>4</v>
      </c>
      <c r="G174" s="3" t="s">
        <v>4</v>
      </c>
      <c r="H174" s="3" t="s">
        <v>116</v>
      </c>
      <c r="I174" s="3" t="s">
        <v>116</v>
      </c>
      <c r="J174" s="5"/>
      <c r="K174" s="5"/>
      <c r="L174" s="5"/>
      <c r="M174" s="5"/>
      <c r="N174" s="5"/>
      <c r="O174" s="5"/>
    </row>
    <row r="175" spans="1:15">
      <c r="A175" s="3" t="s">
        <v>969</v>
      </c>
      <c r="B175" s="3" t="s">
        <v>970</v>
      </c>
      <c r="C175" s="3" t="s">
        <v>116</v>
      </c>
      <c r="D175" s="3" t="s">
        <v>116</v>
      </c>
      <c r="E175" s="3" t="s">
        <v>117</v>
      </c>
      <c r="F175" s="12" t="s">
        <v>4</v>
      </c>
      <c r="G175" s="3" t="s">
        <v>4</v>
      </c>
      <c r="H175" s="3" t="s">
        <v>116</v>
      </c>
      <c r="I175" s="3" t="s">
        <v>116</v>
      </c>
      <c r="J175" s="5"/>
      <c r="K175" s="5"/>
      <c r="L175" s="5"/>
      <c r="M175" s="5"/>
      <c r="N175" s="5"/>
      <c r="O175" s="5"/>
    </row>
    <row r="176" spans="1:15">
      <c r="A176" s="3" t="s">
        <v>1350</v>
      </c>
      <c r="B176" s="3" t="s">
        <v>1351</v>
      </c>
      <c r="C176" s="3" t="s">
        <v>116</v>
      </c>
      <c r="D176" s="3" t="s">
        <v>116</v>
      </c>
      <c r="E176" s="3" t="s">
        <v>117</v>
      </c>
      <c r="F176" s="12" t="s">
        <v>4</v>
      </c>
      <c r="G176" s="3" t="s">
        <v>4</v>
      </c>
      <c r="H176" s="3" t="s">
        <v>116</v>
      </c>
      <c r="I176" s="3" t="s">
        <v>116</v>
      </c>
      <c r="J176" s="5"/>
      <c r="K176" s="5"/>
      <c r="L176" s="5"/>
      <c r="M176" s="5"/>
      <c r="N176" s="5"/>
      <c r="O176" s="5"/>
    </row>
    <row r="177" spans="1:15">
      <c r="A177" s="3" t="s">
        <v>372</v>
      </c>
      <c r="B177" s="3" t="s">
        <v>178</v>
      </c>
      <c r="C177" s="3" t="s">
        <v>116</v>
      </c>
      <c r="D177" s="3" t="s">
        <v>116</v>
      </c>
      <c r="E177" s="3" t="s">
        <v>117</v>
      </c>
      <c r="F177" s="12" t="s">
        <v>4</v>
      </c>
      <c r="G177" s="3" t="s">
        <v>4</v>
      </c>
      <c r="H177" s="3" t="s">
        <v>116</v>
      </c>
      <c r="I177" s="3" t="s">
        <v>116</v>
      </c>
      <c r="J177" s="5"/>
      <c r="K177" s="5"/>
      <c r="L177" s="5"/>
      <c r="M177" s="5"/>
      <c r="N177" s="5"/>
      <c r="O177" s="5"/>
    </row>
    <row r="178" spans="1:15">
      <c r="A178" s="3" t="s">
        <v>971</v>
      </c>
      <c r="B178" s="3" t="s">
        <v>972</v>
      </c>
      <c r="C178" s="3" t="s">
        <v>116</v>
      </c>
      <c r="D178" s="3" t="s">
        <v>116</v>
      </c>
      <c r="E178" s="3" t="s">
        <v>117</v>
      </c>
      <c r="F178" s="12" t="s">
        <v>4</v>
      </c>
      <c r="G178" s="3" t="s">
        <v>4</v>
      </c>
      <c r="H178" s="3" t="s">
        <v>116</v>
      </c>
      <c r="I178" s="3" t="s">
        <v>116</v>
      </c>
      <c r="J178" s="5"/>
      <c r="K178" s="5"/>
      <c r="L178" s="5"/>
      <c r="M178" s="5"/>
      <c r="N178" s="5"/>
      <c r="O178" s="5"/>
    </row>
    <row r="179" spans="1:15">
      <c r="A179" s="3" t="s">
        <v>373</v>
      </c>
      <c r="B179" s="3" t="s">
        <v>179</v>
      </c>
      <c r="C179" s="3" t="s">
        <v>116</v>
      </c>
      <c r="D179" s="3" t="s">
        <v>116</v>
      </c>
      <c r="E179" s="3" t="s">
        <v>117</v>
      </c>
      <c r="F179" s="12" t="s">
        <v>4</v>
      </c>
      <c r="G179" s="3" t="s">
        <v>4</v>
      </c>
      <c r="H179" s="3" t="s">
        <v>116</v>
      </c>
      <c r="I179" s="3" t="s">
        <v>116</v>
      </c>
      <c r="J179" s="5"/>
      <c r="K179" s="5"/>
      <c r="L179" s="5"/>
      <c r="M179" s="5"/>
      <c r="N179" s="5"/>
      <c r="O179" s="5"/>
    </row>
    <row r="180" spans="1:15">
      <c r="A180" s="3" t="s">
        <v>18</v>
      </c>
      <c r="B180" s="3" t="s">
        <v>19</v>
      </c>
      <c r="C180" s="3" t="s">
        <v>116</v>
      </c>
      <c r="D180" s="3" t="s">
        <v>116</v>
      </c>
      <c r="E180" s="3" t="s">
        <v>117</v>
      </c>
      <c r="F180" s="12" t="s">
        <v>6</v>
      </c>
      <c r="G180" s="3" t="s">
        <v>4</v>
      </c>
      <c r="H180" s="3" t="s">
        <v>116</v>
      </c>
      <c r="I180" s="3" t="s">
        <v>116</v>
      </c>
      <c r="J180" s="5"/>
      <c r="K180" s="5"/>
      <c r="L180" s="5"/>
      <c r="M180" s="5"/>
      <c r="N180" s="5"/>
      <c r="O180" s="5"/>
    </row>
    <row r="181" spans="1:15">
      <c r="A181" s="3" t="s">
        <v>20</v>
      </c>
      <c r="B181" s="3" t="s">
        <v>21</v>
      </c>
      <c r="C181" s="3" t="s">
        <v>116</v>
      </c>
      <c r="D181" s="3" t="s">
        <v>116</v>
      </c>
      <c r="E181" s="3" t="s">
        <v>117</v>
      </c>
      <c r="F181" s="12" t="s">
        <v>6</v>
      </c>
      <c r="G181" s="3" t="s">
        <v>4</v>
      </c>
      <c r="H181" s="3" t="s">
        <v>116</v>
      </c>
      <c r="I181" s="3" t="s">
        <v>116</v>
      </c>
      <c r="J181" s="5"/>
      <c r="K181" s="5"/>
      <c r="L181" s="5"/>
      <c r="M181" s="5"/>
      <c r="N181" s="5"/>
      <c r="O181" s="5"/>
    </row>
    <row r="182" spans="1:15">
      <c r="A182" s="3" t="s">
        <v>319</v>
      </c>
      <c r="B182" s="3" t="s">
        <v>180</v>
      </c>
      <c r="C182" s="3" t="s">
        <v>116</v>
      </c>
      <c r="D182" s="3" t="s">
        <v>116</v>
      </c>
      <c r="E182" s="3" t="s">
        <v>181</v>
      </c>
      <c r="F182" s="12" t="s">
        <v>4</v>
      </c>
      <c r="G182" s="3" t="s">
        <v>4</v>
      </c>
      <c r="H182" s="3" t="s">
        <v>116</v>
      </c>
      <c r="I182" s="3" t="s">
        <v>116</v>
      </c>
      <c r="J182" s="5"/>
      <c r="K182" s="5"/>
      <c r="L182" s="5"/>
      <c r="M182" s="5"/>
      <c r="N182" s="5"/>
      <c r="O182" s="5"/>
    </row>
    <row r="183" spans="1:15">
      <c r="A183" s="3" t="s">
        <v>973</v>
      </c>
      <c r="B183" s="3" t="s">
        <v>974</v>
      </c>
      <c r="C183" s="3" t="s">
        <v>116</v>
      </c>
      <c r="D183" s="3" t="s">
        <v>116</v>
      </c>
      <c r="E183" s="3" t="s">
        <v>181</v>
      </c>
      <c r="F183" s="12" t="s">
        <v>4</v>
      </c>
      <c r="G183" s="3" t="s">
        <v>4</v>
      </c>
      <c r="H183" s="3" t="s">
        <v>116</v>
      </c>
      <c r="I183" s="3" t="s">
        <v>116</v>
      </c>
      <c r="J183" s="5"/>
      <c r="K183" s="5"/>
      <c r="L183" s="5"/>
      <c r="M183" s="5"/>
      <c r="N183" s="5"/>
      <c r="O183" s="5"/>
    </row>
    <row r="184" spans="1:15">
      <c r="A184" s="3" t="s">
        <v>781</v>
      </c>
      <c r="B184" s="3" t="s">
        <v>975</v>
      </c>
      <c r="C184" s="3" t="s">
        <v>116</v>
      </c>
      <c r="D184" s="3" t="s">
        <v>116</v>
      </c>
      <c r="E184" s="3" t="s">
        <v>181</v>
      </c>
      <c r="F184" s="12" t="s">
        <v>4</v>
      </c>
      <c r="G184" s="3" t="s">
        <v>4</v>
      </c>
      <c r="H184" s="3" t="s">
        <v>116</v>
      </c>
      <c r="I184" s="3" t="s">
        <v>116</v>
      </c>
      <c r="J184" s="5"/>
      <c r="K184" s="5"/>
      <c r="L184" s="5"/>
      <c r="M184" s="5"/>
      <c r="N184" s="5"/>
      <c r="O184" s="5"/>
    </row>
    <row r="185" spans="1:15">
      <c r="A185" s="3" t="s">
        <v>22</v>
      </c>
      <c r="B185" s="3" t="s">
        <v>23</v>
      </c>
      <c r="C185" s="3" t="s">
        <v>116</v>
      </c>
      <c r="D185" s="3" t="s">
        <v>116</v>
      </c>
      <c r="E185" s="3" t="s">
        <v>181</v>
      </c>
      <c r="F185" s="12" t="s">
        <v>6</v>
      </c>
      <c r="G185" s="3" t="s">
        <v>4</v>
      </c>
      <c r="H185" s="3" t="s">
        <v>116</v>
      </c>
      <c r="I185" s="3" t="s">
        <v>116</v>
      </c>
      <c r="J185" s="5"/>
      <c r="K185" s="5"/>
      <c r="L185" s="5"/>
      <c r="M185" s="5"/>
      <c r="N185" s="5"/>
      <c r="O185" s="5"/>
    </row>
    <row r="186" spans="1:15">
      <c r="A186" s="3" t="s">
        <v>731</v>
      </c>
      <c r="B186" s="3" t="s">
        <v>749</v>
      </c>
      <c r="C186" s="3" t="s">
        <v>116</v>
      </c>
      <c r="D186" s="3" t="s">
        <v>116</v>
      </c>
      <c r="E186" s="3" t="s">
        <v>181</v>
      </c>
      <c r="F186" s="12" t="s">
        <v>4</v>
      </c>
      <c r="G186" s="3" t="s">
        <v>4</v>
      </c>
      <c r="H186" s="3" t="s">
        <v>116</v>
      </c>
      <c r="I186" s="3" t="s">
        <v>116</v>
      </c>
      <c r="J186" s="5"/>
      <c r="K186" s="5"/>
      <c r="L186" s="5"/>
      <c r="M186" s="5"/>
      <c r="N186" s="5"/>
      <c r="O186" s="5"/>
    </row>
    <row r="187" spans="1:15">
      <c r="A187" s="3" t="s">
        <v>182</v>
      </c>
      <c r="B187" s="3" t="s">
        <v>183</v>
      </c>
      <c r="C187" s="3" t="s">
        <v>116</v>
      </c>
      <c r="D187" s="3" t="s">
        <v>116</v>
      </c>
      <c r="E187" s="3" t="s">
        <v>181</v>
      </c>
      <c r="F187" s="12" t="s">
        <v>4</v>
      </c>
      <c r="G187" s="3" t="s">
        <v>4</v>
      </c>
      <c r="H187" s="3" t="s">
        <v>116</v>
      </c>
      <c r="I187" s="3" t="s">
        <v>116</v>
      </c>
      <c r="J187" s="5"/>
      <c r="K187" s="5"/>
      <c r="L187" s="5"/>
      <c r="M187" s="5"/>
      <c r="N187" s="5"/>
      <c r="O187" s="5"/>
    </row>
    <row r="188" spans="1:15">
      <c r="A188" s="3" t="s">
        <v>184</v>
      </c>
      <c r="B188" s="3" t="s">
        <v>538</v>
      </c>
      <c r="C188" s="3" t="s">
        <v>116</v>
      </c>
      <c r="D188" s="3" t="s">
        <v>116</v>
      </c>
      <c r="E188" s="3" t="s">
        <v>181</v>
      </c>
      <c r="F188" s="12" t="s">
        <v>4</v>
      </c>
      <c r="G188" s="3" t="s">
        <v>4</v>
      </c>
      <c r="H188" s="3" t="s">
        <v>116</v>
      </c>
      <c r="I188" s="3" t="s">
        <v>116</v>
      </c>
      <c r="J188" s="5"/>
      <c r="K188" s="5"/>
      <c r="L188" s="5"/>
      <c r="M188" s="5"/>
      <c r="N188" s="5"/>
      <c r="O188" s="5"/>
    </row>
    <row r="189" spans="1:15">
      <c r="A189" s="3" t="s">
        <v>24</v>
      </c>
      <c r="B189" s="3" t="s">
        <v>25</v>
      </c>
      <c r="C189" s="3" t="s">
        <v>116</v>
      </c>
      <c r="D189" s="3" t="s">
        <v>116</v>
      </c>
      <c r="E189" s="3" t="s">
        <v>181</v>
      </c>
      <c r="F189" s="12" t="s">
        <v>6</v>
      </c>
      <c r="G189" s="3" t="s">
        <v>4</v>
      </c>
      <c r="H189" s="3" t="s">
        <v>116</v>
      </c>
      <c r="I189" s="3" t="s">
        <v>116</v>
      </c>
      <c r="J189" s="5"/>
      <c r="K189" s="5"/>
      <c r="L189" s="5"/>
      <c r="M189" s="5"/>
      <c r="N189" s="5"/>
      <c r="O189" s="5"/>
    </row>
    <row r="190" spans="1:15">
      <c r="A190" s="3" t="s">
        <v>976</v>
      </c>
      <c r="B190" s="3" t="s">
        <v>977</v>
      </c>
      <c r="C190" s="3" t="s">
        <v>116</v>
      </c>
      <c r="D190" s="3" t="s">
        <v>116</v>
      </c>
      <c r="E190" s="3" t="s">
        <v>181</v>
      </c>
      <c r="F190" s="12" t="s">
        <v>4</v>
      </c>
      <c r="G190" s="3" t="s">
        <v>4</v>
      </c>
      <c r="H190" s="3" t="s">
        <v>116</v>
      </c>
      <c r="I190" s="3" t="s">
        <v>116</v>
      </c>
      <c r="J190" s="5"/>
      <c r="K190" s="5"/>
      <c r="L190" s="5"/>
      <c r="M190" s="5"/>
      <c r="N190" s="5"/>
      <c r="O190" s="5"/>
    </row>
    <row r="191" spans="1:15">
      <c r="A191" s="3" t="s">
        <v>978</v>
      </c>
      <c r="B191" s="3" t="s">
        <v>766</v>
      </c>
      <c r="C191" s="3" t="s">
        <v>116</v>
      </c>
      <c r="D191" s="3" t="s">
        <v>116</v>
      </c>
      <c r="E191" s="3" t="s">
        <v>181</v>
      </c>
      <c r="F191" s="12" t="s">
        <v>4</v>
      </c>
      <c r="G191" s="3" t="s">
        <v>6</v>
      </c>
      <c r="H191" s="3" t="s">
        <v>116</v>
      </c>
      <c r="I191" s="3" t="s">
        <v>116</v>
      </c>
      <c r="J191" s="5"/>
      <c r="K191" s="5"/>
      <c r="L191" s="5"/>
      <c r="M191" s="5"/>
      <c r="N191" s="5"/>
      <c r="O191" s="5"/>
    </row>
    <row r="192" spans="1:15">
      <c r="A192" s="3" t="s">
        <v>318</v>
      </c>
      <c r="B192" s="3" t="s">
        <v>185</v>
      </c>
      <c r="C192" s="3" t="s">
        <v>116</v>
      </c>
      <c r="D192" s="3" t="s">
        <v>116</v>
      </c>
      <c r="E192" s="3" t="s">
        <v>181</v>
      </c>
      <c r="F192" s="12" t="s">
        <v>4</v>
      </c>
      <c r="G192" s="3" t="s">
        <v>4</v>
      </c>
      <c r="H192" s="3" t="s">
        <v>116</v>
      </c>
      <c r="I192" s="3" t="s">
        <v>116</v>
      </c>
      <c r="J192" s="5"/>
      <c r="K192" s="5"/>
      <c r="L192" s="5"/>
      <c r="M192" s="5"/>
      <c r="N192" s="5"/>
      <c r="O192" s="5"/>
    </row>
    <row r="193" spans="1:15">
      <c r="A193" s="3" t="s">
        <v>374</v>
      </c>
      <c r="B193" s="3" t="s">
        <v>186</v>
      </c>
      <c r="C193" s="3" t="s">
        <v>116</v>
      </c>
      <c r="D193" s="3" t="s">
        <v>116</v>
      </c>
      <c r="E193" s="3" t="s">
        <v>181</v>
      </c>
      <c r="F193" s="12" t="s">
        <v>4</v>
      </c>
      <c r="G193" s="3" t="s">
        <v>4</v>
      </c>
      <c r="H193" s="3" t="s">
        <v>116</v>
      </c>
      <c r="I193" s="3" t="s">
        <v>116</v>
      </c>
      <c r="J193" s="5"/>
      <c r="K193" s="5"/>
      <c r="L193" s="5"/>
      <c r="M193" s="5"/>
      <c r="N193" s="5"/>
      <c r="O193" s="5"/>
    </row>
    <row r="194" spans="1:15">
      <c r="A194" s="3" t="s">
        <v>375</v>
      </c>
      <c r="B194" s="3" t="s">
        <v>187</v>
      </c>
      <c r="C194" s="3" t="s">
        <v>116</v>
      </c>
      <c r="D194" s="3" t="s">
        <v>116</v>
      </c>
      <c r="E194" s="3" t="s">
        <v>181</v>
      </c>
      <c r="F194" s="12" t="s">
        <v>4</v>
      </c>
      <c r="G194" s="3" t="s">
        <v>4</v>
      </c>
      <c r="H194" s="3" t="s">
        <v>116</v>
      </c>
      <c r="I194" s="3" t="s">
        <v>116</v>
      </c>
      <c r="J194" s="5"/>
      <c r="K194" s="5"/>
      <c r="L194" s="5"/>
      <c r="M194" s="5"/>
      <c r="N194" s="5"/>
      <c r="O194" s="5"/>
    </row>
    <row r="195" spans="1:15">
      <c r="A195" s="3" t="s">
        <v>435</v>
      </c>
      <c r="B195" s="3" t="s">
        <v>436</v>
      </c>
      <c r="C195" s="3" t="s">
        <v>116</v>
      </c>
      <c r="D195" s="3" t="s">
        <v>116</v>
      </c>
      <c r="E195" s="3" t="s">
        <v>181</v>
      </c>
      <c r="F195" s="12" t="s">
        <v>4</v>
      </c>
      <c r="G195" s="3" t="s">
        <v>4</v>
      </c>
      <c r="H195" s="3" t="s">
        <v>116</v>
      </c>
      <c r="I195" s="3" t="s">
        <v>116</v>
      </c>
      <c r="J195" s="5"/>
      <c r="K195" s="5"/>
      <c r="L195" s="5"/>
      <c r="M195" s="5"/>
      <c r="N195" s="5"/>
      <c r="O195" s="5"/>
    </row>
    <row r="196" spans="1:15">
      <c r="A196" s="3" t="s">
        <v>530</v>
      </c>
      <c r="B196" s="3" t="s">
        <v>539</v>
      </c>
      <c r="C196" s="3" t="s">
        <v>116</v>
      </c>
      <c r="D196" s="3" t="s">
        <v>116</v>
      </c>
      <c r="E196" s="3" t="s">
        <v>181</v>
      </c>
      <c r="F196" s="12" t="s">
        <v>4</v>
      </c>
      <c r="G196" s="3" t="s">
        <v>4</v>
      </c>
      <c r="H196" s="3" t="s">
        <v>116</v>
      </c>
      <c r="I196" s="3" t="s">
        <v>116</v>
      </c>
      <c r="J196" s="5"/>
      <c r="K196" s="5"/>
      <c r="L196" s="5"/>
      <c r="M196" s="5"/>
      <c r="N196" s="5"/>
      <c r="O196" s="5"/>
    </row>
    <row r="197" spans="1:15">
      <c r="A197" s="3" t="s">
        <v>750</v>
      </c>
      <c r="B197" s="3" t="s">
        <v>751</v>
      </c>
      <c r="C197" s="3" t="s">
        <v>116</v>
      </c>
      <c r="D197" s="3" t="s">
        <v>116</v>
      </c>
      <c r="E197" s="3" t="s">
        <v>181</v>
      </c>
      <c r="F197" s="12" t="s">
        <v>4</v>
      </c>
      <c r="G197" s="3" t="s">
        <v>4</v>
      </c>
      <c r="H197" s="3" t="s">
        <v>116</v>
      </c>
      <c r="I197" s="3" t="s">
        <v>116</v>
      </c>
      <c r="J197" s="5"/>
      <c r="K197" s="5"/>
      <c r="L197" s="5"/>
      <c r="M197" s="5"/>
      <c r="N197" s="5"/>
      <c r="O197" s="5"/>
    </row>
    <row r="198" spans="1:15">
      <c r="A198" s="3" t="s">
        <v>979</v>
      </c>
      <c r="B198" s="3" t="s">
        <v>980</v>
      </c>
      <c r="C198" s="3" t="s">
        <v>116</v>
      </c>
      <c r="D198" s="3" t="s">
        <v>116</v>
      </c>
      <c r="E198" s="3" t="s">
        <v>181</v>
      </c>
      <c r="F198" s="12" t="s">
        <v>4</v>
      </c>
      <c r="G198" s="3" t="s">
        <v>4</v>
      </c>
      <c r="H198" s="3" t="s">
        <v>116</v>
      </c>
      <c r="I198" s="3" t="s">
        <v>116</v>
      </c>
      <c r="J198" s="5"/>
      <c r="K198" s="5"/>
      <c r="L198" s="5"/>
      <c r="M198" s="5"/>
      <c r="N198" s="5"/>
      <c r="O198" s="5"/>
    </row>
    <row r="199" spans="1:15">
      <c r="A199" s="3" t="s">
        <v>982</v>
      </c>
      <c r="B199" s="3" t="s">
        <v>983</v>
      </c>
      <c r="C199" s="3" t="s">
        <v>116</v>
      </c>
      <c r="D199" s="3" t="s">
        <v>116</v>
      </c>
      <c r="E199" s="3" t="s">
        <v>181</v>
      </c>
      <c r="F199" s="12" t="s">
        <v>4</v>
      </c>
      <c r="G199" s="3" t="s">
        <v>4</v>
      </c>
      <c r="H199" s="3" t="s">
        <v>116</v>
      </c>
      <c r="I199" s="3" t="s">
        <v>116</v>
      </c>
      <c r="J199" s="5"/>
      <c r="K199" s="5"/>
      <c r="L199" s="5"/>
      <c r="M199" s="5"/>
      <c r="N199" s="5"/>
      <c r="O199" s="5"/>
    </row>
    <row r="200" spans="1:15">
      <c r="A200" s="3" t="s">
        <v>984</v>
      </c>
      <c r="B200" s="3" t="s">
        <v>985</v>
      </c>
      <c r="C200" s="3" t="s">
        <v>116</v>
      </c>
      <c r="D200" s="3" t="s">
        <v>116</v>
      </c>
      <c r="E200" s="3" t="s">
        <v>181</v>
      </c>
      <c r="F200" s="12" t="s">
        <v>4</v>
      </c>
      <c r="G200" s="3" t="s">
        <v>4</v>
      </c>
      <c r="H200" s="3" t="s">
        <v>116</v>
      </c>
      <c r="I200" s="3" t="s">
        <v>116</v>
      </c>
      <c r="J200" s="5"/>
      <c r="K200" s="5"/>
      <c r="L200" s="5"/>
      <c r="M200" s="5"/>
      <c r="N200" s="5"/>
      <c r="O200" s="5"/>
    </row>
    <row r="201" spans="1:15">
      <c r="A201" s="3" t="s">
        <v>376</v>
      </c>
      <c r="B201" s="3" t="s">
        <v>188</v>
      </c>
      <c r="C201" s="3" t="s">
        <v>116</v>
      </c>
      <c r="D201" s="3" t="s">
        <v>116</v>
      </c>
      <c r="E201" s="3" t="s">
        <v>181</v>
      </c>
      <c r="F201" s="12" t="s">
        <v>4</v>
      </c>
      <c r="G201" s="3" t="s">
        <v>4</v>
      </c>
      <c r="H201" s="3" t="s">
        <v>116</v>
      </c>
      <c r="I201" s="3" t="s">
        <v>116</v>
      </c>
      <c r="J201" s="5"/>
      <c r="K201" s="5"/>
      <c r="L201" s="5"/>
      <c r="M201" s="5"/>
      <c r="N201" s="5"/>
      <c r="O201" s="5"/>
    </row>
    <row r="202" spans="1:15">
      <c r="A202" s="3" t="s">
        <v>986</v>
      </c>
      <c r="B202" s="3" t="s">
        <v>987</v>
      </c>
      <c r="C202" s="3" t="s">
        <v>116</v>
      </c>
      <c r="D202" s="3" t="s">
        <v>116</v>
      </c>
      <c r="E202" s="3" t="s">
        <v>181</v>
      </c>
      <c r="F202" s="12" t="s">
        <v>4</v>
      </c>
      <c r="G202" s="3" t="s">
        <v>4</v>
      </c>
      <c r="H202" s="3" t="s">
        <v>116</v>
      </c>
      <c r="I202" s="3" t="s">
        <v>116</v>
      </c>
      <c r="J202" s="5"/>
      <c r="K202" s="5"/>
      <c r="L202" s="5"/>
      <c r="M202" s="5"/>
      <c r="N202" s="5"/>
      <c r="O202" s="5"/>
    </row>
    <row r="203" spans="1:15">
      <c r="A203" s="3" t="s">
        <v>988</v>
      </c>
      <c r="B203" s="3" t="s">
        <v>989</v>
      </c>
      <c r="C203" s="3" t="s">
        <v>116</v>
      </c>
      <c r="D203" s="3" t="s">
        <v>116</v>
      </c>
      <c r="E203" s="3" t="s">
        <v>181</v>
      </c>
      <c r="F203" s="12" t="s">
        <v>4</v>
      </c>
      <c r="G203" s="3" t="s">
        <v>4</v>
      </c>
      <c r="H203" s="3" t="s">
        <v>116</v>
      </c>
      <c r="I203" s="3" t="s">
        <v>116</v>
      </c>
      <c r="J203" s="5"/>
      <c r="K203" s="5"/>
      <c r="L203" s="5"/>
      <c r="M203" s="5"/>
      <c r="N203" s="5"/>
      <c r="O203" s="5"/>
    </row>
    <row r="204" spans="1:15">
      <c r="A204" s="3" t="s">
        <v>377</v>
      </c>
      <c r="B204" s="3" t="s">
        <v>189</v>
      </c>
      <c r="C204" s="3" t="s">
        <v>116</v>
      </c>
      <c r="D204" s="3" t="s">
        <v>116</v>
      </c>
      <c r="E204" s="3" t="s">
        <v>181</v>
      </c>
      <c r="F204" s="12" t="s">
        <v>4</v>
      </c>
      <c r="G204" s="3" t="s">
        <v>4</v>
      </c>
      <c r="H204" s="3" t="s">
        <v>116</v>
      </c>
      <c r="I204" s="3" t="s">
        <v>116</v>
      </c>
      <c r="J204" s="5"/>
      <c r="K204" s="5"/>
      <c r="L204" s="5"/>
      <c r="M204" s="5"/>
      <c r="N204" s="5"/>
      <c r="O204" s="5"/>
    </row>
    <row r="205" spans="1:15">
      <c r="A205" s="3" t="s">
        <v>990</v>
      </c>
      <c r="B205" s="3" t="s">
        <v>190</v>
      </c>
      <c r="C205" s="3" t="s">
        <v>116</v>
      </c>
      <c r="D205" s="3" t="s">
        <v>116</v>
      </c>
      <c r="E205" s="3" t="s">
        <v>181</v>
      </c>
      <c r="F205" s="12" t="s">
        <v>4</v>
      </c>
      <c r="G205" s="3" t="s">
        <v>4</v>
      </c>
      <c r="H205" s="3" t="s">
        <v>116</v>
      </c>
      <c r="I205" s="3" t="s">
        <v>116</v>
      </c>
      <c r="J205" s="5"/>
      <c r="K205" s="5"/>
      <c r="L205" s="5"/>
      <c r="M205" s="5"/>
      <c r="N205" s="5"/>
      <c r="O205" s="5"/>
    </row>
    <row r="206" spans="1:15">
      <c r="A206" s="3" t="s">
        <v>991</v>
      </c>
      <c r="B206" s="3" t="s">
        <v>992</v>
      </c>
      <c r="C206" s="3" t="s">
        <v>116</v>
      </c>
      <c r="D206" s="3" t="s">
        <v>116</v>
      </c>
      <c r="E206" s="3" t="s">
        <v>181</v>
      </c>
      <c r="F206" s="12" t="s">
        <v>4</v>
      </c>
      <c r="G206" s="3" t="s">
        <v>4</v>
      </c>
      <c r="H206" s="3" t="s">
        <v>116</v>
      </c>
      <c r="I206" s="3" t="s">
        <v>116</v>
      </c>
      <c r="J206" s="5"/>
      <c r="K206" s="5"/>
      <c r="L206" s="5"/>
      <c r="M206" s="5"/>
      <c r="N206" s="5"/>
      <c r="O206" s="5"/>
    </row>
    <row r="207" spans="1:15">
      <c r="A207" s="3" t="s">
        <v>993</v>
      </c>
      <c r="B207" s="3" t="s">
        <v>994</v>
      </c>
      <c r="C207" s="3" t="s">
        <v>116</v>
      </c>
      <c r="D207" s="3" t="s">
        <v>116</v>
      </c>
      <c r="E207" s="3" t="s">
        <v>181</v>
      </c>
      <c r="F207" s="12" t="s">
        <v>4</v>
      </c>
      <c r="G207" s="3" t="s">
        <v>4</v>
      </c>
      <c r="H207" s="3" t="s">
        <v>116</v>
      </c>
      <c r="I207" s="3" t="s">
        <v>116</v>
      </c>
      <c r="J207" s="5"/>
      <c r="K207" s="5"/>
      <c r="L207" s="5"/>
      <c r="M207" s="5"/>
      <c r="N207" s="5"/>
      <c r="O207" s="5"/>
    </row>
    <row r="208" spans="1:15">
      <c r="A208" s="3" t="s">
        <v>909</v>
      </c>
      <c r="B208" s="3" t="s">
        <v>995</v>
      </c>
      <c r="C208" s="3" t="s">
        <v>116</v>
      </c>
      <c r="D208" s="3" t="s">
        <v>116</v>
      </c>
      <c r="E208" s="3" t="s">
        <v>181</v>
      </c>
      <c r="F208" s="12" t="s">
        <v>4</v>
      </c>
      <c r="G208" s="3" t="s">
        <v>4</v>
      </c>
      <c r="H208" s="3" t="s">
        <v>116</v>
      </c>
      <c r="I208" s="3" t="s">
        <v>116</v>
      </c>
      <c r="J208" s="5"/>
      <c r="K208" s="5"/>
      <c r="L208" s="5"/>
      <c r="M208" s="5"/>
      <c r="N208" s="5"/>
      <c r="O208" s="5"/>
    </row>
    <row r="209" spans="1:15">
      <c r="A209" s="3" t="s">
        <v>996</v>
      </c>
      <c r="B209" s="3" t="s">
        <v>997</v>
      </c>
      <c r="C209" s="3" t="s">
        <v>116</v>
      </c>
      <c r="D209" s="3" t="s">
        <v>116</v>
      </c>
      <c r="E209" s="3" t="s">
        <v>181</v>
      </c>
      <c r="F209" s="12" t="s">
        <v>4</v>
      </c>
      <c r="G209" s="3" t="s">
        <v>4</v>
      </c>
      <c r="H209" s="3" t="s">
        <v>116</v>
      </c>
      <c r="I209" s="3" t="s">
        <v>116</v>
      </c>
      <c r="J209" s="5"/>
      <c r="K209" s="5"/>
      <c r="L209" s="5"/>
      <c r="M209" s="5"/>
      <c r="N209" s="5"/>
      <c r="O209" s="5"/>
    </row>
    <row r="210" spans="1:15">
      <c r="A210" s="3" t="s">
        <v>998</v>
      </c>
      <c r="B210" s="3" t="s">
        <v>999</v>
      </c>
      <c r="C210" s="3" t="s">
        <v>116</v>
      </c>
      <c r="D210" s="3" t="s">
        <v>116</v>
      </c>
      <c r="E210" s="3" t="s">
        <v>181</v>
      </c>
      <c r="F210" s="12" t="s">
        <v>4</v>
      </c>
      <c r="G210" s="3" t="s">
        <v>4</v>
      </c>
      <c r="H210" s="3" t="s">
        <v>116</v>
      </c>
      <c r="I210" s="3" t="s">
        <v>116</v>
      </c>
      <c r="J210" s="5"/>
      <c r="K210" s="5"/>
      <c r="L210" s="5"/>
      <c r="M210" s="5"/>
      <c r="N210" s="5"/>
      <c r="O210" s="5"/>
    </row>
    <row r="211" spans="1:15">
      <c r="A211" s="3" t="s">
        <v>1000</v>
      </c>
      <c r="B211" s="3" t="s">
        <v>1001</v>
      </c>
      <c r="C211" s="3" t="s">
        <v>116</v>
      </c>
      <c r="D211" s="3" t="s">
        <v>116</v>
      </c>
      <c r="E211" s="3" t="s">
        <v>181</v>
      </c>
      <c r="F211" s="12" t="s">
        <v>4</v>
      </c>
      <c r="G211" s="3" t="s">
        <v>4</v>
      </c>
      <c r="H211" s="3" t="s">
        <v>116</v>
      </c>
      <c r="I211" s="3" t="s">
        <v>116</v>
      </c>
      <c r="J211" s="5"/>
      <c r="K211" s="5"/>
      <c r="L211" s="5"/>
      <c r="M211" s="5"/>
      <c r="N211" s="5"/>
      <c r="O211" s="5"/>
    </row>
    <row r="212" spans="1:15">
      <c r="A212" s="3" t="s">
        <v>1002</v>
      </c>
      <c r="B212" s="3" t="s">
        <v>1003</v>
      </c>
      <c r="C212" s="3" t="s">
        <v>116</v>
      </c>
      <c r="D212" s="3" t="s">
        <v>116</v>
      </c>
      <c r="E212" s="3" t="s">
        <v>181</v>
      </c>
      <c r="F212" s="12" t="s">
        <v>4</v>
      </c>
      <c r="G212" s="3" t="s">
        <v>4</v>
      </c>
      <c r="H212" s="3" t="s">
        <v>116</v>
      </c>
      <c r="I212" s="3" t="s">
        <v>116</v>
      </c>
      <c r="J212" s="5"/>
      <c r="K212" s="5"/>
      <c r="L212" s="5"/>
      <c r="M212" s="5"/>
      <c r="N212" s="5"/>
      <c r="O212" s="5"/>
    </row>
    <row r="213" spans="1:15">
      <c r="A213" s="3" t="s">
        <v>1004</v>
      </c>
      <c r="B213" s="3" t="s">
        <v>1005</v>
      </c>
      <c r="C213" s="3" t="s">
        <v>116</v>
      </c>
      <c r="D213" s="3" t="s">
        <v>116</v>
      </c>
      <c r="E213" s="3" t="s">
        <v>181</v>
      </c>
      <c r="F213" s="12" t="s">
        <v>4</v>
      </c>
      <c r="G213" s="3" t="s">
        <v>4</v>
      </c>
      <c r="H213" s="3" t="s">
        <v>116</v>
      </c>
      <c r="I213" s="3" t="s">
        <v>116</v>
      </c>
      <c r="J213" s="5"/>
      <c r="K213" s="5"/>
      <c r="L213" s="5"/>
      <c r="M213" s="5"/>
      <c r="N213" s="5"/>
      <c r="O213" s="5"/>
    </row>
    <row r="214" spans="1:15">
      <c r="A214" s="3" t="s">
        <v>1006</v>
      </c>
      <c r="B214" s="3" t="s">
        <v>1007</v>
      </c>
      <c r="C214" s="3" t="s">
        <v>116</v>
      </c>
      <c r="D214" s="3" t="s">
        <v>116</v>
      </c>
      <c r="E214" s="3" t="s">
        <v>181</v>
      </c>
      <c r="F214" s="12" t="s">
        <v>4</v>
      </c>
      <c r="G214" s="3" t="s">
        <v>4</v>
      </c>
      <c r="H214" s="3" t="s">
        <v>116</v>
      </c>
      <c r="I214" s="3" t="s">
        <v>116</v>
      </c>
      <c r="J214" s="5"/>
      <c r="K214" s="5"/>
      <c r="L214" s="5"/>
      <c r="M214" s="5"/>
      <c r="N214" s="5"/>
      <c r="O214" s="5"/>
    </row>
    <row r="215" spans="1:15">
      <c r="A215" s="3" t="s">
        <v>680</v>
      </c>
      <c r="B215" s="3" t="s">
        <v>594</v>
      </c>
      <c r="C215" s="3" t="s">
        <v>116</v>
      </c>
      <c r="D215" s="3" t="s">
        <v>116</v>
      </c>
      <c r="E215" s="3" t="s">
        <v>181</v>
      </c>
      <c r="F215" s="12" t="s">
        <v>4</v>
      </c>
      <c r="G215" s="3" t="s">
        <v>4</v>
      </c>
      <c r="H215" s="3" t="s">
        <v>116</v>
      </c>
      <c r="I215" s="3" t="s">
        <v>116</v>
      </c>
      <c r="J215" s="5"/>
      <c r="K215" s="5"/>
      <c r="L215" s="5"/>
      <c r="M215" s="5"/>
      <c r="N215" s="5"/>
      <c r="O215" s="5"/>
    </row>
    <row r="216" spans="1:15">
      <c r="A216" s="3" t="s">
        <v>1008</v>
      </c>
      <c r="B216" s="3" t="s">
        <v>1009</v>
      </c>
      <c r="C216" s="3" t="s">
        <v>116</v>
      </c>
      <c r="D216" s="3" t="s">
        <v>116</v>
      </c>
      <c r="E216" s="3" t="s">
        <v>181</v>
      </c>
      <c r="F216" s="12" t="s">
        <v>4</v>
      </c>
      <c r="G216" s="3" t="s">
        <v>4</v>
      </c>
      <c r="H216" s="3" t="s">
        <v>116</v>
      </c>
      <c r="I216" s="3" t="s">
        <v>116</v>
      </c>
      <c r="J216" s="5"/>
      <c r="K216" s="5"/>
      <c r="L216" s="5"/>
      <c r="M216" s="5"/>
      <c r="N216" s="5"/>
      <c r="O216" s="5"/>
    </row>
    <row r="217" spans="1:15">
      <c r="A217" s="3" t="s">
        <v>1010</v>
      </c>
      <c r="B217" s="3" t="s">
        <v>1011</v>
      </c>
      <c r="C217" s="3" t="s">
        <v>116</v>
      </c>
      <c r="D217" s="3" t="s">
        <v>116</v>
      </c>
      <c r="E217" s="3" t="s">
        <v>181</v>
      </c>
      <c r="F217" s="12" t="s">
        <v>4</v>
      </c>
      <c r="G217" s="3" t="s">
        <v>4</v>
      </c>
      <c r="H217" s="3" t="s">
        <v>116</v>
      </c>
      <c r="I217" s="3" t="s">
        <v>116</v>
      </c>
      <c r="J217" s="5"/>
      <c r="K217" s="5"/>
      <c r="L217" s="5"/>
      <c r="M217" s="5"/>
      <c r="N217" s="5"/>
      <c r="O217" s="5"/>
    </row>
    <row r="218" spans="1:15">
      <c r="A218" s="3" t="s">
        <v>1013</v>
      </c>
      <c r="B218" s="3" t="s">
        <v>1014</v>
      </c>
      <c r="C218" s="3" t="s">
        <v>116</v>
      </c>
      <c r="D218" s="3" t="s">
        <v>116</v>
      </c>
      <c r="E218" s="3" t="s">
        <v>181</v>
      </c>
      <c r="F218" s="12" t="s">
        <v>4</v>
      </c>
      <c r="G218" s="3" t="s">
        <v>4</v>
      </c>
      <c r="H218" s="3" t="s">
        <v>116</v>
      </c>
      <c r="I218" s="3" t="s">
        <v>116</v>
      </c>
      <c r="J218" s="5"/>
      <c r="K218" s="5"/>
      <c r="L218" s="5"/>
      <c r="M218" s="5"/>
      <c r="N218" s="5"/>
      <c r="O218" s="5"/>
    </row>
    <row r="219" spans="1:15">
      <c r="A219" s="3" t="s">
        <v>378</v>
      </c>
      <c r="B219" s="3" t="s">
        <v>191</v>
      </c>
      <c r="C219" s="3" t="s">
        <v>116</v>
      </c>
      <c r="D219" s="3" t="s">
        <v>116</v>
      </c>
      <c r="E219" s="3" t="s">
        <v>181</v>
      </c>
      <c r="F219" s="12" t="s">
        <v>4</v>
      </c>
      <c r="G219" s="3" t="s">
        <v>4</v>
      </c>
      <c r="H219" s="3" t="s">
        <v>116</v>
      </c>
      <c r="I219" s="3" t="s">
        <v>116</v>
      </c>
      <c r="J219" s="5"/>
      <c r="K219" s="5"/>
      <c r="L219" s="5"/>
      <c r="M219" s="5"/>
      <c r="N219" s="5"/>
      <c r="O219" s="5"/>
    </row>
    <row r="220" spans="1:15">
      <c r="A220" s="3" t="s">
        <v>502</v>
      </c>
      <c r="B220" s="3" t="s">
        <v>540</v>
      </c>
      <c r="C220" s="3" t="s">
        <v>116</v>
      </c>
      <c r="D220" s="3" t="s">
        <v>116</v>
      </c>
      <c r="E220" s="3" t="s">
        <v>181</v>
      </c>
      <c r="F220" s="12" t="s">
        <v>4</v>
      </c>
      <c r="G220" s="3" t="s">
        <v>4</v>
      </c>
      <c r="H220" s="3" t="s">
        <v>116</v>
      </c>
      <c r="I220" s="3" t="s">
        <v>116</v>
      </c>
      <c r="J220" s="5"/>
      <c r="K220" s="5"/>
      <c r="L220" s="5"/>
      <c r="M220" s="5"/>
      <c r="N220" s="5"/>
      <c r="O220" s="5"/>
    </row>
    <row r="221" spans="1:15">
      <c r="A221" s="3" t="s">
        <v>472</v>
      </c>
      <c r="B221" s="3" t="s">
        <v>1613</v>
      </c>
      <c r="C221" s="3" t="s">
        <v>116</v>
      </c>
      <c r="D221" s="3" t="s">
        <v>116</v>
      </c>
      <c r="E221" s="3" t="s">
        <v>181</v>
      </c>
      <c r="F221" s="12" t="s">
        <v>4</v>
      </c>
      <c r="G221" s="3" t="s">
        <v>4</v>
      </c>
      <c r="H221" s="3" t="s">
        <v>116</v>
      </c>
      <c r="I221" s="3" t="s">
        <v>1614</v>
      </c>
      <c r="J221" s="5"/>
      <c r="K221" s="5"/>
      <c r="L221" s="5"/>
      <c r="M221" s="5"/>
      <c r="N221" s="5"/>
      <c r="O221" s="5"/>
    </row>
    <row r="222" spans="1:15">
      <c r="A222" s="3" t="s">
        <v>379</v>
      </c>
      <c r="B222" s="3" t="s">
        <v>192</v>
      </c>
      <c r="C222" s="3" t="s">
        <v>116</v>
      </c>
      <c r="D222" s="3" t="s">
        <v>116</v>
      </c>
      <c r="E222" s="3" t="s">
        <v>181</v>
      </c>
      <c r="F222" s="12" t="s">
        <v>4</v>
      </c>
      <c r="G222" s="3" t="s">
        <v>4</v>
      </c>
      <c r="H222" s="3" t="s">
        <v>116</v>
      </c>
      <c r="I222" s="3" t="s">
        <v>116</v>
      </c>
      <c r="J222" s="5"/>
      <c r="K222" s="5"/>
      <c r="L222" s="5"/>
      <c r="M222" s="5"/>
      <c r="N222" s="5"/>
      <c r="O222" s="5"/>
    </row>
    <row r="223" spans="1:15">
      <c r="A223" s="3" t="s">
        <v>380</v>
      </c>
      <c r="B223" s="3" t="s">
        <v>193</v>
      </c>
      <c r="C223" s="3" t="s">
        <v>116</v>
      </c>
      <c r="D223" s="3" t="s">
        <v>116</v>
      </c>
      <c r="E223" s="3" t="s">
        <v>181</v>
      </c>
      <c r="F223" s="12" t="s">
        <v>4</v>
      </c>
      <c r="G223" s="3" t="s">
        <v>4</v>
      </c>
      <c r="H223" s="3" t="s">
        <v>116</v>
      </c>
      <c r="I223" s="3" t="s">
        <v>116</v>
      </c>
      <c r="J223" s="5"/>
      <c r="K223" s="5"/>
      <c r="L223" s="5"/>
      <c r="M223" s="5"/>
      <c r="N223" s="5"/>
      <c r="O223" s="5"/>
    </row>
    <row r="224" spans="1:15">
      <c r="A224" s="3" t="s">
        <v>317</v>
      </c>
      <c r="B224" s="3" t="s">
        <v>194</v>
      </c>
      <c r="C224" s="3" t="s">
        <v>116</v>
      </c>
      <c r="D224" s="3" t="s">
        <v>116</v>
      </c>
      <c r="E224" s="3" t="s">
        <v>181</v>
      </c>
      <c r="F224" s="12" t="s">
        <v>4</v>
      </c>
      <c r="G224" s="3" t="s">
        <v>4</v>
      </c>
      <c r="H224" s="3" t="s">
        <v>116</v>
      </c>
      <c r="I224" s="3" t="s">
        <v>116</v>
      </c>
      <c r="J224" s="5"/>
      <c r="K224" s="5"/>
      <c r="L224" s="5"/>
      <c r="M224" s="5"/>
      <c r="N224" s="5"/>
      <c r="O224" s="5"/>
    </row>
    <row r="225" spans="1:15">
      <c r="A225" s="3" t="s">
        <v>752</v>
      </c>
      <c r="B225" s="3" t="s">
        <v>753</v>
      </c>
      <c r="C225" s="3" t="s">
        <v>116</v>
      </c>
      <c r="D225" s="3" t="s">
        <v>116</v>
      </c>
      <c r="E225" s="3" t="s">
        <v>181</v>
      </c>
      <c r="F225" s="12" t="s">
        <v>4</v>
      </c>
      <c r="G225" s="3" t="s">
        <v>4</v>
      </c>
      <c r="H225" s="3" t="s">
        <v>116</v>
      </c>
      <c r="I225" s="3" t="s">
        <v>116</v>
      </c>
      <c r="J225" s="5"/>
      <c r="K225" s="5"/>
      <c r="L225" s="5"/>
      <c r="M225" s="5"/>
      <c r="N225" s="5"/>
      <c r="O225" s="5"/>
    </row>
    <row r="226" spans="1:15">
      <c r="A226" s="3" t="s">
        <v>452</v>
      </c>
      <c r="B226" s="3" t="s">
        <v>453</v>
      </c>
      <c r="C226" s="3" t="s">
        <v>116</v>
      </c>
      <c r="D226" s="3" t="s">
        <v>116</v>
      </c>
      <c r="E226" s="3" t="s">
        <v>181</v>
      </c>
      <c r="F226" s="12" t="s">
        <v>4</v>
      </c>
      <c r="G226" s="3" t="s">
        <v>4</v>
      </c>
      <c r="H226" s="3" t="s">
        <v>116</v>
      </c>
      <c r="I226" s="3" t="s">
        <v>116</v>
      </c>
      <c r="J226" s="5"/>
      <c r="K226" s="5"/>
      <c r="L226" s="5"/>
      <c r="M226" s="5"/>
      <c r="N226" s="5"/>
      <c r="O226" s="5"/>
    </row>
    <row r="227" spans="1:15">
      <c r="A227" s="3" t="s">
        <v>528</v>
      </c>
      <c r="B227" s="3" t="s">
        <v>541</v>
      </c>
      <c r="C227" s="3" t="s">
        <v>116</v>
      </c>
      <c r="D227" s="3" t="s">
        <v>116</v>
      </c>
      <c r="E227" s="3" t="s">
        <v>181</v>
      </c>
      <c r="F227" s="12" t="s">
        <v>4</v>
      </c>
      <c r="G227" s="3" t="s">
        <v>4</v>
      </c>
      <c r="H227" s="3" t="s">
        <v>116</v>
      </c>
      <c r="I227" s="3" t="s">
        <v>116</v>
      </c>
      <c r="J227" s="5"/>
      <c r="K227" s="5"/>
      <c r="L227" s="5"/>
      <c r="M227" s="5"/>
      <c r="N227" s="5"/>
      <c r="O227" s="5"/>
    </row>
    <row r="228" spans="1:15">
      <c r="A228" s="3" t="s">
        <v>529</v>
      </c>
      <c r="B228" s="3" t="s">
        <v>542</v>
      </c>
      <c r="C228" s="3" t="s">
        <v>116</v>
      </c>
      <c r="D228" s="3" t="s">
        <v>116</v>
      </c>
      <c r="E228" s="3" t="s">
        <v>181</v>
      </c>
      <c r="F228" s="12" t="s">
        <v>4</v>
      </c>
      <c r="G228" s="3" t="s">
        <v>4</v>
      </c>
      <c r="H228" s="3" t="s">
        <v>116</v>
      </c>
      <c r="I228" s="3" t="s">
        <v>116</v>
      </c>
      <c r="J228" s="5"/>
      <c r="K228" s="5"/>
      <c r="L228" s="5"/>
      <c r="M228" s="5"/>
      <c r="N228" s="5"/>
      <c r="O228" s="5"/>
    </row>
    <row r="229" spans="1:15">
      <c r="A229" s="3" t="s">
        <v>315</v>
      </c>
      <c r="B229" s="3" t="s">
        <v>543</v>
      </c>
      <c r="C229" s="3" t="s">
        <v>116</v>
      </c>
      <c r="D229" s="3" t="s">
        <v>116</v>
      </c>
      <c r="E229" s="3" t="s">
        <v>181</v>
      </c>
      <c r="F229" s="12" t="s">
        <v>4</v>
      </c>
      <c r="G229" s="3" t="s">
        <v>4</v>
      </c>
      <c r="H229" s="3" t="s">
        <v>116</v>
      </c>
      <c r="I229" s="3" t="s">
        <v>116</v>
      </c>
      <c r="J229" s="5"/>
      <c r="K229" s="5"/>
      <c r="L229" s="5"/>
      <c r="M229" s="5"/>
      <c r="N229" s="5"/>
      <c r="O229" s="5"/>
    </row>
    <row r="230" spans="1:15">
      <c r="A230" s="3" t="s">
        <v>532</v>
      </c>
      <c r="B230" s="3" t="s">
        <v>544</v>
      </c>
      <c r="C230" s="3" t="s">
        <v>116</v>
      </c>
      <c r="D230" s="3" t="s">
        <v>116</v>
      </c>
      <c r="E230" s="3" t="s">
        <v>181</v>
      </c>
      <c r="F230" s="12" t="s">
        <v>4</v>
      </c>
      <c r="G230" s="3" t="s">
        <v>4</v>
      </c>
      <c r="H230" s="3" t="s">
        <v>116</v>
      </c>
      <c r="I230" s="3" t="s">
        <v>116</v>
      </c>
      <c r="J230" s="5"/>
      <c r="K230" s="5"/>
      <c r="L230" s="5"/>
      <c r="M230" s="5"/>
      <c r="N230" s="5"/>
      <c r="O230" s="5"/>
    </row>
    <row r="231" spans="1:15">
      <c r="A231" s="3" t="s">
        <v>316</v>
      </c>
      <c r="B231" s="3" t="s">
        <v>195</v>
      </c>
      <c r="C231" s="3" t="s">
        <v>116</v>
      </c>
      <c r="D231" s="3" t="s">
        <v>116</v>
      </c>
      <c r="E231" s="3" t="s">
        <v>181</v>
      </c>
      <c r="F231" s="12" t="s">
        <v>4</v>
      </c>
      <c r="G231" s="3" t="s">
        <v>4</v>
      </c>
      <c r="H231" s="3" t="s">
        <v>116</v>
      </c>
      <c r="I231" s="3" t="s">
        <v>116</v>
      </c>
      <c r="J231" s="5"/>
      <c r="K231" s="5"/>
      <c r="L231" s="5"/>
      <c r="M231" s="5"/>
      <c r="N231" s="5"/>
      <c r="O231" s="5"/>
    </row>
    <row r="232" spans="1:15">
      <c r="A232" s="3" t="s">
        <v>782</v>
      </c>
      <c r="B232" s="3" t="s">
        <v>1015</v>
      </c>
      <c r="C232" s="3" t="s">
        <v>116</v>
      </c>
      <c r="D232" s="3" t="s">
        <v>116</v>
      </c>
      <c r="E232" s="3" t="s">
        <v>181</v>
      </c>
      <c r="F232" s="12" t="s">
        <v>4</v>
      </c>
      <c r="G232" s="3" t="s">
        <v>4</v>
      </c>
      <c r="H232" s="3" t="s">
        <v>116</v>
      </c>
      <c r="I232" s="3" t="s">
        <v>116</v>
      </c>
      <c r="J232" s="5"/>
      <c r="K232" s="5"/>
      <c r="L232" s="5"/>
      <c r="M232" s="5"/>
      <c r="N232" s="5"/>
      <c r="O232" s="5"/>
    </row>
    <row r="233" spans="1:15">
      <c r="A233" s="3" t="s">
        <v>1016</v>
      </c>
      <c r="B233" s="3" t="s">
        <v>1017</v>
      </c>
      <c r="C233" s="3" t="s">
        <v>116</v>
      </c>
      <c r="D233" s="3" t="s">
        <v>116</v>
      </c>
      <c r="E233" s="3" t="s">
        <v>181</v>
      </c>
      <c r="F233" s="12" t="s">
        <v>4</v>
      </c>
      <c r="G233" s="3" t="s">
        <v>4</v>
      </c>
      <c r="H233" s="3" t="s">
        <v>116</v>
      </c>
      <c r="I233" s="3" t="s">
        <v>116</v>
      </c>
      <c r="J233" s="5"/>
      <c r="K233" s="5"/>
      <c r="L233" s="5"/>
      <c r="M233" s="5"/>
      <c r="N233" s="5"/>
      <c r="O233" s="5"/>
    </row>
    <row r="234" spans="1:15">
      <c r="A234" s="3" t="s">
        <v>437</v>
      </c>
      <c r="B234" s="3" t="s">
        <v>438</v>
      </c>
      <c r="C234" s="3" t="s">
        <v>116</v>
      </c>
      <c r="D234" s="3" t="s">
        <v>116</v>
      </c>
      <c r="E234" s="3" t="s">
        <v>181</v>
      </c>
      <c r="F234" s="12" t="s">
        <v>4</v>
      </c>
      <c r="G234" s="3" t="s">
        <v>4</v>
      </c>
      <c r="H234" s="3" t="s">
        <v>116</v>
      </c>
      <c r="I234" s="3" t="s">
        <v>116</v>
      </c>
      <c r="J234" s="5"/>
      <c r="K234" s="5"/>
      <c r="L234" s="5"/>
      <c r="M234" s="5"/>
      <c r="N234" s="5"/>
      <c r="O234" s="5"/>
    </row>
    <row r="235" spans="1:15">
      <c r="A235" s="3" t="s">
        <v>439</v>
      </c>
      <c r="B235" s="3" t="s">
        <v>440</v>
      </c>
      <c r="C235" s="3" t="s">
        <v>116</v>
      </c>
      <c r="D235" s="3" t="s">
        <v>116</v>
      </c>
      <c r="E235" s="3" t="s">
        <v>181</v>
      </c>
      <c r="F235" s="12" t="s">
        <v>4</v>
      </c>
      <c r="G235" s="3" t="s">
        <v>4</v>
      </c>
      <c r="H235" s="3" t="s">
        <v>116</v>
      </c>
      <c r="I235" s="3" t="s">
        <v>116</v>
      </c>
      <c r="J235" s="5"/>
      <c r="K235" s="5"/>
      <c r="L235" s="5"/>
      <c r="M235" s="5"/>
      <c r="N235" s="5"/>
      <c r="O235" s="5"/>
    </row>
    <row r="236" spans="1:15">
      <c r="A236" s="3" t="s">
        <v>414</v>
      </c>
      <c r="B236" s="3" t="s">
        <v>415</v>
      </c>
      <c r="C236" s="3" t="s">
        <v>116</v>
      </c>
      <c r="D236" s="3" t="s">
        <v>116</v>
      </c>
      <c r="E236" s="3" t="s">
        <v>181</v>
      </c>
      <c r="F236" s="12" t="s">
        <v>4</v>
      </c>
      <c r="G236" s="3" t="s">
        <v>4</v>
      </c>
      <c r="H236" s="3" t="s">
        <v>116</v>
      </c>
      <c r="I236" s="3" t="s">
        <v>116</v>
      </c>
      <c r="J236" s="5"/>
      <c r="K236" s="5"/>
      <c r="L236" s="5"/>
      <c r="M236" s="5"/>
      <c r="N236" s="5"/>
      <c r="O236" s="5"/>
    </row>
    <row r="237" spans="1:15">
      <c r="A237" s="3" t="s">
        <v>441</v>
      </c>
      <c r="B237" s="3" t="s">
        <v>442</v>
      </c>
      <c r="C237" s="3" t="s">
        <v>116</v>
      </c>
      <c r="D237" s="3" t="s">
        <v>116</v>
      </c>
      <c r="E237" s="3" t="s">
        <v>181</v>
      </c>
      <c r="F237" s="12" t="s">
        <v>4</v>
      </c>
      <c r="G237" s="3" t="s">
        <v>4</v>
      </c>
      <c r="H237" s="3" t="s">
        <v>116</v>
      </c>
      <c r="I237" s="3" t="s">
        <v>116</v>
      </c>
      <c r="J237" s="5"/>
      <c r="K237" s="5"/>
      <c r="L237" s="5"/>
      <c r="M237" s="5"/>
      <c r="N237" s="5"/>
      <c r="O237" s="5"/>
    </row>
    <row r="238" spans="1:15">
      <c r="A238" s="3" t="s">
        <v>754</v>
      </c>
      <c r="B238" s="3" t="s">
        <v>755</v>
      </c>
      <c r="C238" s="3" t="s">
        <v>116</v>
      </c>
      <c r="D238" s="3" t="s">
        <v>116</v>
      </c>
      <c r="E238" s="3" t="s">
        <v>181</v>
      </c>
      <c r="F238" s="12" t="s">
        <v>4</v>
      </c>
      <c r="G238" s="3" t="s">
        <v>4</v>
      </c>
      <c r="H238" s="3" t="s">
        <v>116</v>
      </c>
      <c r="I238" s="3" t="s">
        <v>116</v>
      </c>
      <c r="J238" s="5"/>
      <c r="K238" s="5"/>
      <c r="L238" s="5"/>
      <c r="M238" s="5"/>
      <c r="N238" s="5"/>
      <c r="O238" s="5"/>
    </row>
    <row r="239" spans="1:15">
      <c r="A239" s="3" t="s">
        <v>1018</v>
      </c>
      <c r="B239" s="3" t="s">
        <v>1019</v>
      </c>
      <c r="C239" s="3" t="s">
        <v>116</v>
      </c>
      <c r="D239" s="3" t="s">
        <v>116</v>
      </c>
      <c r="E239" s="3" t="s">
        <v>181</v>
      </c>
      <c r="F239" s="12" t="s">
        <v>4</v>
      </c>
      <c r="G239" s="3" t="s">
        <v>4</v>
      </c>
      <c r="H239" s="3" t="s">
        <v>116</v>
      </c>
      <c r="I239" s="3" t="s">
        <v>116</v>
      </c>
      <c r="J239" s="5"/>
      <c r="K239" s="5"/>
      <c r="L239" s="5"/>
      <c r="M239" s="5"/>
      <c r="N239" s="5"/>
      <c r="O239" s="5"/>
    </row>
    <row r="240" spans="1:15">
      <c r="A240" s="3" t="s">
        <v>735</v>
      </c>
      <c r="B240" s="3" t="s">
        <v>756</v>
      </c>
      <c r="C240" s="3" t="s">
        <v>116</v>
      </c>
      <c r="D240" s="3" t="s">
        <v>116</v>
      </c>
      <c r="E240" s="3" t="s">
        <v>181</v>
      </c>
      <c r="F240" s="12" t="s">
        <v>4</v>
      </c>
      <c r="G240" s="3" t="s">
        <v>4</v>
      </c>
      <c r="H240" s="3" t="s">
        <v>116</v>
      </c>
      <c r="I240" s="3" t="s">
        <v>116</v>
      </c>
      <c r="J240" s="5"/>
      <c r="K240" s="5"/>
      <c r="L240" s="5"/>
      <c r="M240" s="5"/>
      <c r="N240" s="5"/>
      <c r="O240" s="5"/>
    </row>
    <row r="241" spans="1:15">
      <c r="A241" s="3" t="s">
        <v>531</v>
      </c>
      <c r="B241" s="3" t="s">
        <v>545</v>
      </c>
      <c r="C241" s="3" t="s">
        <v>116</v>
      </c>
      <c r="D241" s="3" t="s">
        <v>116</v>
      </c>
      <c r="E241" s="3" t="s">
        <v>181</v>
      </c>
      <c r="F241" s="12" t="s">
        <v>4</v>
      </c>
      <c r="G241" s="3" t="s">
        <v>4</v>
      </c>
      <c r="H241" s="3" t="s">
        <v>116</v>
      </c>
      <c r="I241" s="3" t="s">
        <v>116</v>
      </c>
      <c r="J241" s="5"/>
      <c r="K241" s="5"/>
      <c r="L241" s="5"/>
      <c r="M241" s="5"/>
      <c r="N241" s="5"/>
      <c r="O241" s="5"/>
    </row>
    <row r="242" spans="1:15">
      <c r="A242" s="3" t="s">
        <v>525</v>
      </c>
      <c r="B242" s="3" t="s">
        <v>546</v>
      </c>
      <c r="C242" s="3" t="s">
        <v>116</v>
      </c>
      <c r="D242" s="3" t="s">
        <v>116</v>
      </c>
      <c r="E242" s="3" t="s">
        <v>181</v>
      </c>
      <c r="F242" s="12" t="s">
        <v>4</v>
      </c>
      <c r="G242" s="3" t="s">
        <v>4</v>
      </c>
      <c r="H242" s="3" t="s">
        <v>116</v>
      </c>
      <c r="I242" s="3" t="s">
        <v>116</v>
      </c>
      <c r="J242" s="5"/>
      <c r="K242" s="5"/>
      <c r="L242" s="5"/>
      <c r="M242" s="5"/>
      <c r="N242" s="5"/>
      <c r="O242" s="5"/>
    </row>
    <row r="243" spans="1:15">
      <c r="A243" s="3" t="s">
        <v>524</v>
      </c>
      <c r="B243" s="3" t="s">
        <v>103</v>
      </c>
      <c r="C243" s="3" t="s">
        <v>116</v>
      </c>
      <c r="D243" s="3" t="s">
        <v>116</v>
      </c>
      <c r="E243" s="3" t="s">
        <v>181</v>
      </c>
      <c r="F243" s="12" t="s">
        <v>4</v>
      </c>
      <c r="G243" s="3" t="s">
        <v>4</v>
      </c>
      <c r="H243" s="3" t="s">
        <v>116</v>
      </c>
      <c r="I243" s="3" t="s">
        <v>116</v>
      </c>
      <c r="J243" s="5"/>
      <c r="K243" s="5"/>
      <c r="L243" s="5"/>
      <c r="M243" s="5"/>
      <c r="N243" s="5"/>
      <c r="O243" s="5"/>
    </row>
    <row r="244" spans="1:15">
      <c r="A244" s="3" t="s">
        <v>527</v>
      </c>
      <c r="B244" s="3" t="s">
        <v>105</v>
      </c>
      <c r="C244" s="3" t="s">
        <v>116</v>
      </c>
      <c r="D244" s="3" t="s">
        <v>116</v>
      </c>
      <c r="E244" s="3" t="s">
        <v>181</v>
      </c>
      <c r="F244" s="12" t="s">
        <v>4</v>
      </c>
      <c r="G244" s="3" t="s">
        <v>4</v>
      </c>
      <c r="H244" s="3" t="s">
        <v>116</v>
      </c>
      <c r="I244" s="3" t="s">
        <v>116</v>
      </c>
      <c r="J244" s="5"/>
      <c r="K244" s="5"/>
      <c r="L244" s="5"/>
      <c r="M244" s="5"/>
      <c r="N244" s="5"/>
      <c r="O244" s="5"/>
    </row>
    <row r="245" spans="1:15">
      <c r="A245" s="3" t="s">
        <v>526</v>
      </c>
      <c r="B245" s="3" t="s">
        <v>104</v>
      </c>
      <c r="C245" s="3" t="s">
        <v>116</v>
      </c>
      <c r="D245" s="3" t="s">
        <v>116</v>
      </c>
      <c r="E245" s="3" t="s">
        <v>181</v>
      </c>
      <c r="F245" s="12" t="s">
        <v>4</v>
      </c>
      <c r="G245" s="3" t="s">
        <v>4</v>
      </c>
      <c r="H245" s="3" t="s">
        <v>116</v>
      </c>
      <c r="I245" s="3" t="s">
        <v>116</v>
      </c>
      <c r="J245" s="5"/>
      <c r="K245" s="5"/>
      <c r="L245" s="5"/>
      <c r="M245" s="5"/>
      <c r="N245" s="5"/>
      <c r="O245" s="5"/>
    </row>
    <row r="246" spans="1:15">
      <c r="A246" s="3" t="s">
        <v>517</v>
      </c>
      <c r="B246" s="3" t="s">
        <v>547</v>
      </c>
      <c r="C246" s="3" t="s">
        <v>116</v>
      </c>
      <c r="D246" s="3" t="s">
        <v>116</v>
      </c>
      <c r="E246" s="3" t="s">
        <v>181</v>
      </c>
      <c r="F246" s="12" t="s">
        <v>4</v>
      </c>
      <c r="G246" s="3" t="s">
        <v>4</v>
      </c>
      <c r="H246" s="3" t="s">
        <v>116</v>
      </c>
      <c r="I246" s="3" t="s">
        <v>116</v>
      </c>
      <c r="J246" s="5"/>
      <c r="K246" s="5"/>
      <c r="L246" s="5"/>
      <c r="M246" s="5"/>
      <c r="N246" s="5"/>
      <c r="O246" s="5"/>
    </row>
    <row r="247" spans="1:15">
      <c r="A247" s="3" t="s">
        <v>518</v>
      </c>
      <c r="B247" s="3" t="s">
        <v>548</v>
      </c>
      <c r="C247" s="3" t="s">
        <v>116</v>
      </c>
      <c r="D247" s="3" t="s">
        <v>116</v>
      </c>
      <c r="E247" s="3" t="s">
        <v>181</v>
      </c>
      <c r="F247" s="12" t="s">
        <v>4</v>
      </c>
      <c r="G247" s="3" t="s">
        <v>4</v>
      </c>
      <c r="H247" s="3" t="s">
        <v>116</v>
      </c>
      <c r="I247" s="3" t="s">
        <v>116</v>
      </c>
      <c r="J247" s="5"/>
      <c r="K247" s="5"/>
      <c r="L247" s="5"/>
      <c r="M247" s="5"/>
      <c r="N247" s="5"/>
      <c r="O247" s="5"/>
    </row>
    <row r="248" spans="1:15">
      <c r="A248" s="3" t="s">
        <v>381</v>
      </c>
      <c r="B248" s="3" t="s">
        <v>196</v>
      </c>
      <c r="C248" s="3" t="s">
        <v>116</v>
      </c>
      <c r="D248" s="3" t="s">
        <v>116</v>
      </c>
      <c r="E248" s="3" t="s">
        <v>181</v>
      </c>
      <c r="F248" s="12" t="s">
        <v>4</v>
      </c>
      <c r="G248" s="3" t="s">
        <v>4</v>
      </c>
      <c r="H248" s="3" t="s">
        <v>116</v>
      </c>
      <c r="I248" s="3" t="s">
        <v>116</v>
      </c>
      <c r="J248" s="5"/>
      <c r="K248" s="5"/>
      <c r="L248" s="5"/>
      <c r="M248" s="5"/>
      <c r="N248" s="5"/>
      <c r="O248" s="5"/>
    </row>
    <row r="249" spans="1:15">
      <c r="A249" s="3" t="s">
        <v>519</v>
      </c>
      <c r="B249" s="3" t="s">
        <v>549</v>
      </c>
      <c r="C249" s="3" t="s">
        <v>116</v>
      </c>
      <c r="D249" s="3" t="s">
        <v>116</v>
      </c>
      <c r="E249" s="3" t="s">
        <v>181</v>
      </c>
      <c r="F249" s="12" t="s">
        <v>4</v>
      </c>
      <c r="G249" s="3" t="s">
        <v>4</v>
      </c>
      <c r="H249" s="3" t="s">
        <v>116</v>
      </c>
      <c r="I249" s="3" t="s">
        <v>116</v>
      </c>
      <c r="J249" s="5"/>
      <c r="K249" s="5"/>
      <c r="L249" s="5"/>
      <c r="M249" s="5"/>
      <c r="N249" s="5"/>
      <c r="O249" s="5"/>
    </row>
    <row r="250" spans="1:15">
      <c r="A250" s="3" t="s">
        <v>494</v>
      </c>
      <c r="B250" s="3" t="s">
        <v>550</v>
      </c>
      <c r="C250" s="3" t="s">
        <v>116</v>
      </c>
      <c r="D250" s="3" t="s">
        <v>116</v>
      </c>
      <c r="E250" s="3" t="s">
        <v>181</v>
      </c>
      <c r="F250" s="12" t="s">
        <v>4</v>
      </c>
      <c r="G250" s="3" t="s">
        <v>4</v>
      </c>
      <c r="H250" s="3" t="s">
        <v>116</v>
      </c>
      <c r="I250" s="3" t="s">
        <v>116</v>
      </c>
      <c r="J250" s="5"/>
      <c r="K250" s="5"/>
      <c r="L250" s="5"/>
      <c r="M250" s="5"/>
      <c r="N250" s="5"/>
      <c r="O250" s="5"/>
    </row>
    <row r="251" spans="1:15">
      <c r="A251" s="3" t="s">
        <v>513</v>
      </c>
      <c r="B251" s="3" t="s">
        <v>551</v>
      </c>
      <c r="C251" s="3" t="s">
        <v>116</v>
      </c>
      <c r="D251" s="3" t="s">
        <v>116</v>
      </c>
      <c r="E251" s="3" t="s">
        <v>181</v>
      </c>
      <c r="F251" s="12" t="s">
        <v>4</v>
      </c>
      <c r="G251" s="3" t="s">
        <v>4</v>
      </c>
      <c r="H251" s="3" t="s">
        <v>116</v>
      </c>
      <c r="I251" s="3" t="s">
        <v>116</v>
      </c>
      <c r="J251" s="5"/>
      <c r="K251" s="5"/>
      <c r="L251" s="5"/>
      <c r="M251" s="5"/>
      <c r="N251" s="5"/>
      <c r="O251" s="5"/>
    </row>
    <row r="252" spans="1:15">
      <c r="A252" s="3" t="s">
        <v>514</v>
      </c>
      <c r="B252" s="3" t="s">
        <v>552</v>
      </c>
      <c r="C252" s="3" t="s">
        <v>116</v>
      </c>
      <c r="D252" s="3" t="s">
        <v>116</v>
      </c>
      <c r="E252" s="3" t="s">
        <v>181</v>
      </c>
      <c r="F252" s="12" t="s">
        <v>4</v>
      </c>
      <c r="G252" s="3" t="s">
        <v>4</v>
      </c>
      <c r="H252" s="3" t="s">
        <v>116</v>
      </c>
      <c r="I252" s="3" t="s">
        <v>116</v>
      </c>
      <c r="J252" s="5"/>
      <c r="K252" s="5"/>
      <c r="L252" s="5"/>
      <c r="M252" s="5"/>
      <c r="N252" s="5"/>
      <c r="O252" s="5"/>
    </row>
    <row r="253" spans="1:15">
      <c r="A253" s="3" t="s">
        <v>489</v>
      </c>
      <c r="B253" s="3" t="s">
        <v>553</v>
      </c>
      <c r="C253" s="3" t="s">
        <v>116</v>
      </c>
      <c r="D253" s="3" t="s">
        <v>116</v>
      </c>
      <c r="E253" s="3" t="s">
        <v>181</v>
      </c>
      <c r="F253" s="12" t="s">
        <v>4</v>
      </c>
      <c r="G253" s="3" t="s">
        <v>4</v>
      </c>
      <c r="H253" s="3" t="s">
        <v>116</v>
      </c>
      <c r="I253" s="3" t="s">
        <v>116</v>
      </c>
      <c r="J253" s="5"/>
      <c r="K253" s="5"/>
      <c r="L253" s="5"/>
      <c r="M253" s="5"/>
      <c r="N253" s="5"/>
      <c r="O253" s="5"/>
    </row>
    <row r="254" spans="1:15">
      <c r="A254" s="3" t="s">
        <v>757</v>
      </c>
      <c r="B254" s="3" t="s">
        <v>758</v>
      </c>
      <c r="C254" s="3" t="s">
        <v>116</v>
      </c>
      <c r="D254" s="3" t="s">
        <v>116</v>
      </c>
      <c r="E254" s="3" t="s">
        <v>181</v>
      </c>
      <c r="F254" s="12" t="s">
        <v>4</v>
      </c>
      <c r="G254" s="3" t="s">
        <v>4</v>
      </c>
      <c r="H254" s="3" t="s">
        <v>116</v>
      </c>
      <c r="I254" s="3" t="s">
        <v>116</v>
      </c>
      <c r="J254" s="5"/>
      <c r="K254" s="5"/>
      <c r="L254" s="5"/>
      <c r="M254" s="5"/>
      <c r="N254" s="5"/>
      <c r="O254" s="5"/>
    </row>
    <row r="255" spans="1:15">
      <c r="A255" s="3" t="s">
        <v>1020</v>
      </c>
      <c r="B255" s="3" t="s">
        <v>1021</v>
      </c>
      <c r="C255" s="3" t="s">
        <v>116</v>
      </c>
      <c r="D255" s="3" t="s">
        <v>116</v>
      </c>
      <c r="E255" s="3" t="s">
        <v>181</v>
      </c>
      <c r="F255" s="12" t="s">
        <v>4</v>
      </c>
      <c r="G255" s="3" t="s">
        <v>4</v>
      </c>
      <c r="H255" s="3" t="s">
        <v>116</v>
      </c>
      <c r="I255" s="3" t="s">
        <v>116</v>
      </c>
      <c r="J255" s="5"/>
      <c r="K255" s="5"/>
      <c r="L255" s="5"/>
      <c r="M255" s="5"/>
      <c r="N255" s="5"/>
      <c r="O255" s="5"/>
    </row>
    <row r="256" spans="1:15">
      <c r="A256" s="3" t="s">
        <v>314</v>
      </c>
      <c r="B256" s="3" t="s">
        <v>26</v>
      </c>
      <c r="C256" s="3" t="s">
        <v>116</v>
      </c>
      <c r="D256" s="3" t="s">
        <v>116</v>
      </c>
      <c r="E256" s="3" t="s">
        <v>181</v>
      </c>
      <c r="F256" s="12" t="s">
        <v>4</v>
      </c>
      <c r="G256" s="3" t="s">
        <v>4</v>
      </c>
      <c r="H256" s="3" t="s">
        <v>116</v>
      </c>
      <c r="I256" s="3" t="s">
        <v>116</v>
      </c>
      <c r="J256" s="5"/>
      <c r="K256" s="5"/>
      <c r="L256" s="5"/>
      <c r="M256" s="5"/>
      <c r="N256" s="5"/>
      <c r="O256" s="5"/>
    </row>
    <row r="257" spans="1:15">
      <c r="A257" s="3" t="s">
        <v>310</v>
      </c>
      <c r="B257" s="3" t="s">
        <v>197</v>
      </c>
      <c r="C257" s="3" t="s">
        <v>116</v>
      </c>
      <c r="D257" s="3" t="s">
        <v>116</v>
      </c>
      <c r="E257" s="3" t="s">
        <v>181</v>
      </c>
      <c r="F257" s="12" t="s">
        <v>4</v>
      </c>
      <c r="G257" s="3" t="s">
        <v>4</v>
      </c>
      <c r="H257" s="3" t="s">
        <v>116</v>
      </c>
      <c r="I257" s="3" t="s">
        <v>116</v>
      </c>
      <c r="J257" s="5"/>
      <c r="K257" s="5"/>
      <c r="L257" s="5"/>
      <c r="M257" s="5"/>
      <c r="N257" s="5"/>
      <c r="O257" s="5"/>
    </row>
    <row r="258" spans="1:15">
      <c r="A258" s="3" t="s">
        <v>1352</v>
      </c>
      <c r="B258" s="3" t="s">
        <v>1353</v>
      </c>
      <c r="C258" s="3" t="s">
        <v>116</v>
      </c>
      <c r="D258" s="3" t="s">
        <v>116</v>
      </c>
      <c r="E258" s="3" t="s">
        <v>181</v>
      </c>
      <c r="F258" s="12" t="s">
        <v>4</v>
      </c>
      <c r="G258" s="3" t="s">
        <v>4</v>
      </c>
      <c r="H258" s="3" t="s">
        <v>116</v>
      </c>
      <c r="I258" s="3" t="s">
        <v>116</v>
      </c>
      <c r="J258" s="5"/>
      <c r="K258" s="5"/>
      <c r="L258" s="5"/>
      <c r="M258" s="5"/>
      <c r="N258" s="5"/>
      <c r="O258" s="5"/>
    </row>
    <row r="259" spans="1:15">
      <c r="A259" s="3" t="s">
        <v>416</v>
      </c>
      <c r="B259" s="3" t="s">
        <v>417</v>
      </c>
      <c r="C259" s="3" t="s">
        <v>116</v>
      </c>
      <c r="D259" s="3" t="s">
        <v>116</v>
      </c>
      <c r="E259" s="3" t="s">
        <v>181</v>
      </c>
      <c r="F259" s="12" t="s">
        <v>4</v>
      </c>
      <c r="G259" s="3" t="s">
        <v>4</v>
      </c>
      <c r="H259" s="3" t="s">
        <v>116</v>
      </c>
      <c r="I259" s="3" t="s">
        <v>116</v>
      </c>
      <c r="J259" s="5"/>
      <c r="K259" s="5"/>
      <c r="L259" s="5"/>
      <c r="M259" s="5"/>
      <c r="N259" s="5"/>
      <c r="O259" s="5"/>
    </row>
    <row r="260" spans="1:15">
      <c r="A260" s="3" t="s">
        <v>1022</v>
      </c>
      <c r="B260" s="3" t="s">
        <v>1023</v>
      </c>
      <c r="C260" s="3" t="s">
        <v>116</v>
      </c>
      <c r="D260" s="3" t="s">
        <v>116</v>
      </c>
      <c r="E260" s="3" t="s">
        <v>181</v>
      </c>
      <c r="F260" s="12" t="s">
        <v>4</v>
      </c>
      <c r="G260" s="3" t="s">
        <v>4</v>
      </c>
      <c r="H260" s="3" t="s">
        <v>116</v>
      </c>
      <c r="I260" s="3" t="s">
        <v>116</v>
      </c>
      <c r="J260" s="5"/>
      <c r="K260" s="5"/>
      <c r="L260" s="5"/>
      <c r="M260" s="5"/>
      <c r="N260" s="5"/>
      <c r="O260" s="5"/>
    </row>
    <row r="261" spans="1:15">
      <c r="A261" s="3" t="s">
        <v>382</v>
      </c>
      <c r="B261" s="3" t="s">
        <v>198</v>
      </c>
      <c r="C261" s="3" t="s">
        <v>116</v>
      </c>
      <c r="D261" s="3" t="s">
        <v>116</v>
      </c>
      <c r="E261" s="3" t="s">
        <v>181</v>
      </c>
      <c r="F261" s="12" t="s">
        <v>4</v>
      </c>
      <c r="G261" s="3" t="s">
        <v>4</v>
      </c>
      <c r="H261" s="3" t="s">
        <v>116</v>
      </c>
      <c r="I261" s="3" t="s">
        <v>116</v>
      </c>
      <c r="J261" s="5"/>
      <c r="K261" s="5"/>
      <c r="L261" s="5"/>
      <c r="M261" s="5"/>
      <c r="N261" s="5"/>
      <c r="O261" s="5"/>
    </row>
    <row r="262" spans="1:15">
      <c r="A262" s="3" t="s">
        <v>759</v>
      </c>
      <c r="B262" s="3" t="s">
        <v>760</v>
      </c>
      <c r="C262" s="3" t="s">
        <v>116</v>
      </c>
      <c r="D262" s="3" t="s">
        <v>116</v>
      </c>
      <c r="E262" s="3" t="s">
        <v>181</v>
      </c>
      <c r="F262" s="12" t="s">
        <v>4</v>
      </c>
      <c r="G262" s="3" t="s">
        <v>4</v>
      </c>
      <c r="H262" s="3" t="s">
        <v>116</v>
      </c>
      <c r="I262" s="3" t="s">
        <v>116</v>
      </c>
      <c r="J262" s="5"/>
      <c r="K262" s="5"/>
      <c r="L262" s="5"/>
      <c r="M262" s="5"/>
      <c r="N262" s="5"/>
      <c r="O262" s="5"/>
    </row>
    <row r="263" spans="1:15">
      <c r="A263" s="3" t="s">
        <v>473</v>
      </c>
      <c r="B263" s="3" t="s">
        <v>474</v>
      </c>
      <c r="C263" s="3" t="s">
        <v>116</v>
      </c>
      <c r="D263" s="3" t="s">
        <v>116</v>
      </c>
      <c r="E263" s="3" t="s">
        <v>181</v>
      </c>
      <c r="F263" s="12" t="s">
        <v>4</v>
      </c>
      <c r="G263" s="3" t="s">
        <v>4</v>
      </c>
      <c r="H263" s="3" t="s">
        <v>116</v>
      </c>
      <c r="I263" s="3" t="s">
        <v>116</v>
      </c>
      <c r="J263" s="5"/>
      <c r="K263" s="5"/>
      <c r="L263" s="5"/>
      <c r="M263" s="5"/>
      <c r="N263" s="5"/>
      <c r="O263" s="5"/>
    </row>
    <row r="264" spans="1:15">
      <c r="A264" s="3" t="s">
        <v>761</v>
      </c>
      <c r="B264" s="3" t="s">
        <v>762</v>
      </c>
      <c r="C264" s="3" t="s">
        <v>116</v>
      </c>
      <c r="D264" s="3" t="s">
        <v>116</v>
      </c>
      <c r="E264" s="3" t="s">
        <v>181</v>
      </c>
      <c r="F264" s="12" t="s">
        <v>4</v>
      </c>
      <c r="G264" s="3" t="s">
        <v>4</v>
      </c>
      <c r="H264" s="3" t="s">
        <v>116</v>
      </c>
      <c r="I264" s="3" t="s">
        <v>116</v>
      </c>
      <c r="J264" s="5"/>
      <c r="K264" s="5"/>
      <c r="L264" s="5"/>
      <c r="M264" s="5"/>
      <c r="N264" s="5"/>
      <c r="O264" s="5"/>
    </row>
    <row r="265" spans="1:15">
      <c r="A265" s="3" t="s">
        <v>1024</v>
      </c>
      <c r="B265" s="3" t="s">
        <v>1025</v>
      </c>
      <c r="C265" s="3" t="s">
        <v>116</v>
      </c>
      <c r="D265" s="3" t="s">
        <v>116</v>
      </c>
      <c r="E265" s="3" t="s">
        <v>181</v>
      </c>
      <c r="F265" s="12" t="s">
        <v>4</v>
      </c>
      <c r="G265" s="3" t="s">
        <v>4</v>
      </c>
      <c r="H265" s="3" t="s">
        <v>116</v>
      </c>
      <c r="I265" s="3" t="s">
        <v>116</v>
      </c>
      <c r="J265" s="5"/>
      <c r="K265" s="5"/>
      <c r="L265" s="5"/>
      <c r="M265" s="5"/>
      <c r="N265" s="5"/>
      <c r="O265" s="5"/>
    </row>
    <row r="266" spans="1:15">
      <c r="A266" s="3" t="s">
        <v>521</v>
      </c>
      <c r="B266" s="3" t="s">
        <v>554</v>
      </c>
      <c r="C266" s="3" t="s">
        <v>116</v>
      </c>
      <c r="D266" s="3" t="s">
        <v>116</v>
      </c>
      <c r="E266" s="3" t="s">
        <v>181</v>
      </c>
      <c r="F266" s="12" t="s">
        <v>4</v>
      </c>
      <c r="G266" s="3" t="s">
        <v>4</v>
      </c>
      <c r="H266" s="3" t="s">
        <v>116</v>
      </c>
      <c r="I266" s="3" t="s">
        <v>116</v>
      </c>
      <c r="J266" s="5"/>
      <c r="K266" s="5"/>
      <c r="L266" s="5"/>
      <c r="M266" s="5"/>
      <c r="N266" s="5"/>
      <c r="O266" s="5"/>
    </row>
    <row r="267" spans="1:15">
      <c r="A267" s="3" t="s">
        <v>523</v>
      </c>
      <c r="B267" s="3" t="s">
        <v>1026</v>
      </c>
      <c r="C267" s="3" t="s">
        <v>116</v>
      </c>
      <c r="D267" s="3" t="s">
        <v>116</v>
      </c>
      <c r="E267" s="3" t="s">
        <v>181</v>
      </c>
      <c r="F267" s="12" t="s">
        <v>4</v>
      </c>
      <c r="G267" s="3" t="s">
        <v>4</v>
      </c>
      <c r="H267" s="3" t="s">
        <v>116</v>
      </c>
      <c r="I267" s="3" t="s">
        <v>116</v>
      </c>
      <c r="J267" s="5"/>
      <c r="K267" s="5"/>
      <c r="L267" s="5"/>
      <c r="M267" s="5"/>
      <c r="N267" s="5"/>
      <c r="O267" s="5"/>
    </row>
    <row r="268" spans="1:15">
      <c r="A268" s="3" t="s">
        <v>522</v>
      </c>
      <c r="B268" s="3" t="s">
        <v>555</v>
      </c>
      <c r="C268" s="3" t="s">
        <v>116</v>
      </c>
      <c r="D268" s="3" t="s">
        <v>116</v>
      </c>
      <c r="E268" s="3" t="s">
        <v>181</v>
      </c>
      <c r="F268" s="12" t="s">
        <v>4</v>
      </c>
      <c r="G268" s="3" t="s">
        <v>4</v>
      </c>
      <c r="H268" s="3" t="s">
        <v>116</v>
      </c>
      <c r="I268" s="3" t="s">
        <v>116</v>
      </c>
      <c r="J268" s="5"/>
      <c r="K268" s="5"/>
      <c r="L268" s="5"/>
      <c r="M268" s="5"/>
      <c r="N268" s="5"/>
      <c r="O268" s="5"/>
    </row>
    <row r="269" spans="1:15">
      <c r="A269" s="3" t="s">
        <v>383</v>
      </c>
      <c r="B269" s="3" t="s">
        <v>199</v>
      </c>
      <c r="C269" s="3" t="s">
        <v>116</v>
      </c>
      <c r="D269" s="3" t="s">
        <v>116</v>
      </c>
      <c r="E269" s="3" t="s">
        <v>181</v>
      </c>
      <c r="F269" s="12" t="s">
        <v>4</v>
      </c>
      <c r="G269" s="3" t="s">
        <v>4</v>
      </c>
      <c r="H269" s="3" t="s">
        <v>116</v>
      </c>
      <c r="I269" s="3" t="s">
        <v>116</v>
      </c>
      <c r="J269" s="5"/>
      <c r="K269" s="5"/>
      <c r="L269" s="5"/>
      <c r="M269" s="5"/>
      <c r="N269" s="5"/>
      <c r="O269" s="5"/>
    </row>
    <row r="270" spans="1:15">
      <c r="A270" s="3" t="s">
        <v>384</v>
      </c>
      <c r="B270" s="3" t="s">
        <v>200</v>
      </c>
      <c r="C270" s="3" t="s">
        <v>116</v>
      </c>
      <c r="D270" s="3" t="s">
        <v>116</v>
      </c>
      <c r="E270" s="3" t="s">
        <v>181</v>
      </c>
      <c r="F270" s="12" t="s">
        <v>4</v>
      </c>
      <c r="G270" s="3" t="s">
        <v>4</v>
      </c>
      <c r="H270" s="3" t="s">
        <v>116</v>
      </c>
      <c r="I270" s="3" t="s">
        <v>116</v>
      </c>
      <c r="J270" s="5"/>
      <c r="K270" s="5"/>
      <c r="L270" s="5"/>
      <c r="M270" s="5"/>
      <c r="N270" s="5"/>
      <c r="O270" s="5"/>
    </row>
    <row r="271" spans="1:15">
      <c r="A271" s="3" t="s">
        <v>385</v>
      </c>
      <c r="B271" s="3" t="s">
        <v>201</v>
      </c>
      <c r="C271" s="3" t="s">
        <v>116</v>
      </c>
      <c r="D271" s="3" t="s">
        <v>116</v>
      </c>
      <c r="E271" s="3" t="s">
        <v>181</v>
      </c>
      <c r="F271" s="12" t="s">
        <v>4</v>
      </c>
      <c r="G271" s="3" t="s">
        <v>4</v>
      </c>
      <c r="H271" s="3" t="s">
        <v>116</v>
      </c>
      <c r="I271" s="3" t="s">
        <v>116</v>
      </c>
      <c r="J271" s="5"/>
      <c r="K271" s="5"/>
      <c r="L271" s="5"/>
      <c r="M271" s="5"/>
      <c r="N271" s="5"/>
      <c r="O271" s="5"/>
    </row>
    <row r="272" spans="1:15">
      <c r="A272" s="3" t="s">
        <v>454</v>
      </c>
      <c r="B272" s="3" t="s">
        <v>455</v>
      </c>
      <c r="C272" s="3" t="s">
        <v>116</v>
      </c>
      <c r="D272" s="3" t="s">
        <v>116</v>
      </c>
      <c r="E272" s="3" t="s">
        <v>181</v>
      </c>
      <c r="F272" s="12" t="s">
        <v>4</v>
      </c>
      <c r="G272" s="3" t="s">
        <v>4</v>
      </c>
      <c r="H272" s="3" t="s">
        <v>116</v>
      </c>
      <c r="I272" s="3" t="s">
        <v>116</v>
      </c>
      <c r="J272" s="5"/>
      <c r="K272" s="5"/>
      <c r="L272" s="5"/>
      <c r="M272" s="5"/>
      <c r="N272" s="5"/>
      <c r="O272" s="5"/>
    </row>
    <row r="273" spans="1:15">
      <c r="A273" s="3" t="s">
        <v>475</v>
      </c>
      <c r="B273" s="3" t="s">
        <v>476</v>
      </c>
      <c r="C273" s="3" t="s">
        <v>116</v>
      </c>
      <c r="D273" s="3" t="s">
        <v>116</v>
      </c>
      <c r="E273" s="3" t="s">
        <v>181</v>
      </c>
      <c r="F273" s="12" t="s">
        <v>4</v>
      </c>
      <c r="G273" s="3" t="s">
        <v>4</v>
      </c>
      <c r="H273" s="3" t="s">
        <v>116</v>
      </c>
      <c r="I273" s="3" t="s">
        <v>116</v>
      </c>
      <c r="J273" s="5"/>
      <c r="K273" s="5"/>
      <c r="L273" s="5"/>
      <c r="M273" s="5"/>
      <c r="N273" s="5"/>
      <c r="O273" s="5"/>
    </row>
    <row r="274" spans="1:15">
      <c r="A274" s="3" t="s">
        <v>477</v>
      </c>
      <c r="B274" s="3" t="s">
        <v>1615</v>
      </c>
      <c r="C274" s="3" t="s">
        <v>116</v>
      </c>
      <c r="D274" s="3" t="s">
        <v>116</v>
      </c>
      <c r="E274" s="3" t="s">
        <v>181</v>
      </c>
      <c r="F274" s="12" t="s">
        <v>4</v>
      </c>
      <c r="G274" s="3" t="s">
        <v>4</v>
      </c>
      <c r="H274" s="3" t="s">
        <v>116</v>
      </c>
      <c r="I274" s="3" t="s">
        <v>116</v>
      </c>
      <c r="J274" s="5"/>
      <c r="K274" s="5"/>
      <c r="L274" s="5"/>
      <c r="M274" s="5"/>
      <c r="N274" s="5"/>
      <c r="O274" s="5"/>
    </row>
    <row r="275" spans="1:15">
      <c r="A275" s="3" t="s">
        <v>721</v>
      </c>
      <c r="B275" s="3" t="s">
        <v>763</v>
      </c>
      <c r="C275" s="3" t="s">
        <v>116</v>
      </c>
      <c r="D275" s="3" t="s">
        <v>116</v>
      </c>
      <c r="E275" s="3" t="s">
        <v>181</v>
      </c>
      <c r="F275" s="12" t="s">
        <v>4</v>
      </c>
      <c r="G275" s="3" t="s">
        <v>4</v>
      </c>
      <c r="H275" s="3" t="s">
        <v>116</v>
      </c>
      <c r="I275" s="3" t="s">
        <v>116</v>
      </c>
      <c r="J275" s="5"/>
      <c r="K275" s="5"/>
      <c r="L275" s="5"/>
      <c r="M275" s="5"/>
      <c r="N275" s="5"/>
      <c r="O275" s="5"/>
    </row>
    <row r="276" spans="1:15">
      <c r="A276" s="3" t="s">
        <v>1625</v>
      </c>
      <c r="B276" s="3" t="s">
        <v>1626</v>
      </c>
      <c r="C276" s="3" t="s">
        <v>116</v>
      </c>
      <c r="D276" s="3" t="s">
        <v>116</v>
      </c>
      <c r="E276" s="3" t="s">
        <v>181</v>
      </c>
      <c r="F276" s="12" t="s">
        <v>4</v>
      </c>
      <c r="G276" s="3" t="s">
        <v>4</v>
      </c>
      <c r="H276" s="3" t="s">
        <v>116</v>
      </c>
      <c r="I276" s="3" t="s">
        <v>116</v>
      </c>
      <c r="J276" s="5"/>
      <c r="K276" s="5"/>
      <c r="L276" s="5"/>
      <c r="M276" s="5"/>
      <c r="N276" s="5"/>
      <c r="O276" s="5"/>
    </row>
    <row r="277" spans="1:15">
      <c r="A277" s="3" t="s">
        <v>1627</v>
      </c>
      <c r="B277" s="3" t="s">
        <v>1628</v>
      </c>
      <c r="C277" s="3" t="s">
        <v>116</v>
      </c>
      <c r="D277" s="3" t="s">
        <v>116</v>
      </c>
      <c r="E277" s="3" t="s">
        <v>181</v>
      </c>
      <c r="F277" s="12" t="s">
        <v>4</v>
      </c>
      <c r="G277" s="3" t="s">
        <v>4</v>
      </c>
      <c r="H277" s="3" t="s">
        <v>116</v>
      </c>
      <c r="I277" s="3" t="s">
        <v>116</v>
      </c>
      <c r="J277" s="5"/>
      <c r="K277" s="5"/>
      <c r="L277" s="5"/>
      <c r="M277" s="5"/>
      <c r="N277" s="5"/>
      <c r="O277" s="5"/>
    </row>
    <row r="278" spans="1:15">
      <c r="A278" s="3" t="s">
        <v>456</v>
      </c>
      <c r="B278" s="3" t="s">
        <v>457</v>
      </c>
      <c r="C278" s="3" t="s">
        <v>116</v>
      </c>
      <c r="D278" s="3" t="s">
        <v>116</v>
      </c>
      <c r="E278" s="3" t="s">
        <v>181</v>
      </c>
      <c r="F278" s="12" t="s">
        <v>4</v>
      </c>
      <c r="G278" s="3" t="s">
        <v>4</v>
      </c>
      <c r="H278" s="3" t="s">
        <v>116</v>
      </c>
      <c r="I278" s="3" t="s">
        <v>116</v>
      </c>
      <c r="J278" s="5"/>
      <c r="K278" s="5"/>
      <c r="L278" s="5"/>
      <c r="M278" s="5"/>
      <c r="N278" s="5"/>
      <c r="O278" s="5"/>
    </row>
    <row r="279" spans="1:15">
      <c r="A279" s="3" t="s">
        <v>422</v>
      </c>
      <c r="B279" s="3" t="s">
        <v>423</v>
      </c>
      <c r="C279" s="3" t="s">
        <v>116</v>
      </c>
      <c r="D279" s="3" t="s">
        <v>116</v>
      </c>
      <c r="E279" s="3" t="s">
        <v>181</v>
      </c>
      <c r="F279" s="12" t="s">
        <v>4</v>
      </c>
      <c r="G279" s="3" t="s">
        <v>4</v>
      </c>
      <c r="H279" s="3" t="s">
        <v>116</v>
      </c>
      <c r="I279" s="3" t="s">
        <v>116</v>
      </c>
      <c r="J279" s="5"/>
      <c r="K279" s="5"/>
      <c r="L279" s="5"/>
      <c r="M279" s="5"/>
      <c r="N279" s="5"/>
      <c r="O279" s="5"/>
    </row>
    <row r="280" spans="1:15">
      <c r="A280" s="3" t="s">
        <v>424</v>
      </c>
      <c r="B280" s="3" t="s">
        <v>425</v>
      </c>
      <c r="C280" s="3" t="s">
        <v>116</v>
      </c>
      <c r="D280" s="3" t="s">
        <v>116</v>
      </c>
      <c r="E280" s="3" t="s">
        <v>181</v>
      </c>
      <c r="F280" s="12" t="s">
        <v>4</v>
      </c>
      <c r="G280" s="3" t="s">
        <v>4</v>
      </c>
      <c r="H280" s="3" t="s">
        <v>116</v>
      </c>
      <c r="I280" s="3" t="s">
        <v>116</v>
      </c>
      <c r="J280" s="5"/>
      <c r="K280" s="5"/>
      <c r="L280" s="5"/>
      <c r="M280" s="5"/>
      <c r="N280" s="5"/>
      <c r="O280" s="5"/>
    </row>
    <row r="281" spans="1:15">
      <c r="A281" s="3" t="s">
        <v>426</v>
      </c>
      <c r="B281" s="3" t="s">
        <v>427</v>
      </c>
      <c r="C281" s="3" t="s">
        <v>116</v>
      </c>
      <c r="D281" s="3" t="s">
        <v>116</v>
      </c>
      <c r="E281" s="3" t="s">
        <v>181</v>
      </c>
      <c r="F281" s="12" t="s">
        <v>4</v>
      </c>
      <c r="G281" s="3" t="s">
        <v>4</v>
      </c>
      <c r="H281" s="3" t="s">
        <v>116</v>
      </c>
      <c r="I281" s="3" t="s">
        <v>116</v>
      </c>
      <c r="J281" s="5"/>
      <c r="K281" s="5"/>
      <c r="L281" s="5"/>
      <c r="M281" s="5"/>
      <c r="N281" s="5"/>
      <c r="O281" s="5"/>
    </row>
    <row r="282" spans="1:15">
      <c r="A282" s="3" t="s">
        <v>428</v>
      </c>
      <c r="B282" s="3" t="s">
        <v>429</v>
      </c>
      <c r="C282" s="3" t="s">
        <v>116</v>
      </c>
      <c r="D282" s="3" t="s">
        <v>116</v>
      </c>
      <c r="E282" s="3" t="s">
        <v>181</v>
      </c>
      <c r="F282" s="12" t="s">
        <v>4</v>
      </c>
      <c r="G282" s="3" t="s">
        <v>4</v>
      </c>
      <c r="H282" s="3" t="s">
        <v>116</v>
      </c>
      <c r="I282" s="3" t="s">
        <v>116</v>
      </c>
      <c r="J282" s="5"/>
      <c r="K282" s="5"/>
      <c r="L282" s="5"/>
      <c r="M282" s="5"/>
      <c r="N282" s="5"/>
      <c r="O282" s="5"/>
    </row>
    <row r="283" spans="1:15">
      <c r="A283" s="3" t="s">
        <v>430</v>
      </c>
      <c r="B283" s="3" t="s">
        <v>431</v>
      </c>
      <c r="C283" s="3" t="s">
        <v>116</v>
      </c>
      <c r="D283" s="3" t="s">
        <v>116</v>
      </c>
      <c r="E283" s="3" t="s">
        <v>181</v>
      </c>
      <c r="F283" s="12" t="s">
        <v>4</v>
      </c>
      <c r="G283" s="3" t="s">
        <v>4</v>
      </c>
      <c r="H283" s="3" t="s">
        <v>116</v>
      </c>
      <c r="I283" s="3" t="s">
        <v>116</v>
      </c>
      <c r="J283" s="5"/>
      <c r="K283" s="5"/>
      <c r="L283" s="5"/>
      <c r="M283" s="5"/>
      <c r="N283" s="5"/>
      <c r="O283" s="5"/>
    </row>
    <row r="284" spans="1:15">
      <c r="A284" s="3" t="s">
        <v>432</v>
      </c>
      <c r="B284" s="3" t="s">
        <v>433</v>
      </c>
      <c r="C284" s="3" t="s">
        <v>116</v>
      </c>
      <c r="D284" s="3" t="s">
        <v>116</v>
      </c>
      <c r="E284" s="3" t="s">
        <v>181</v>
      </c>
      <c r="F284" s="12" t="s">
        <v>4</v>
      </c>
      <c r="G284" s="3" t="s">
        <v>4</v>
      </c>
      <c r="H284" s="3" t="s">
        <v>116</v>
      </c>
      <c r="I284" s="3" t="s">
        <v>116</v>
      </c>
      <c r="J284" s="5"/>
      <c r="K284" s="5"/>
      <c r="L284" s="5"/>
      <c r="M284" s="5"/>
      <c r="N284" s="5"/>
      <c r="O284" s="5"/>
    </row>
    <row r="285" spans="1:15">
      <c r="A285" s="3" t="s">
        <v>1012</v>
      </c>
      <c r="B285" s="3" t="s">
        <v>1027</v>
      </c>
      <c r="C285" s="3" t="s">
        <v>116</v>
      </c>
      <c r="D285" s="3" t="s">
        <v>116</v>
      </c>
      <c r="E285" s="3" t="s">
        <v>181</v>
      </c>
      <c r="F285" s="12" t="s">
        <v>4</v>
      </c>
      <c r="G285" s="3" t="s">
        <v>4</v>
      </c>
      <c r="H285" s="3" t="s">
        <v>116</v>
      </c>
      <c r="I285" s="3" t="s">
        <v>116</v>
      </c>
      <c r="J285" s="5"/>
      <c r="K285" s="5"/>
      <c r="L285" s="5"/>
      <c r="M285" s="5"/>
      <c r="N285" s="5"/>
      <c r="O285" s="5"/>
    </row>
    <row r="286" spans="1:15">
      <c r="A286" s="3" t="s">
        <v>981</v>
      </c>
      <c r="B286" s="3" t="s">
        <v>1028</v>
      </c>
      <c r="C286" s="3" t="s">
        <v>116</v>
      </c>
      <c r="D286" s="3" t="s">
        <v>116</v>
      </c>
      <c r="E286" s="3" t="s">
        <v>181</v>
      </c>
      <c r="F286" s="12" t="s">
        <v>4</v>
      </c>
      <c r="G286" s="3" t="s">
        <v>4</v>
      </c>
      <c r="H286" s="3" t="s">
        <v>116</v>
      </c>
      <c r="I286" s="3" t="s">
        <v>116</v>
      </c>
      <c r="J286" s="5"/>
      <c r="K286" s="5"/>
      <c r="L286" s="5"/>
      <c r="M286" s="5"/>
      <c r="N286" s="5"/>
      <c r="O286" s="5"/>
    </row>
    <row r="287" spans="1:15">
      <c r="A287" s="3" t="s">
        <v>1029</v>
      </c>
      <c r="B287" s="3" t="s">
        <v>1030</v>
      </c>
      <c r="C287" s="3" t="s">
        <v>116</v>
      </c>
      <c r="D287" s="3" t="s">
        <v>116</v>
      </c>
      <c r="E287" s="3" t="s">
        <v>181</v>
      </c>
      <c r="F287" s="12" t="s">
        <v>4</v>
      </c>
      <c r="G287" s="3" t="s">
        <v>4</v>
      </c>
      <c r="H287" s="3" t="s">
        <v>116</v>
      </c>
      <c r="I287" s="3" t="s">
        <v>116</v>
      </c>
      <c r="J287" s="5"/>
      <c r="K287" s="5"/>
      <c r="L287" s="5"/>
      <c r="M287" s="5"/>
      <c r="N287" s="5"/>
      <c r="O287" s="5"/>
    </row>
    <row r="288" spans="1:15">
      <c r="A288" s="3" t="s">
        <v>488</v>
      </c>
      <c r="B288" s="3" t="s">
        <v>97</v>
      </c>
      <c r="C288" s="3" t="s">
        <v>116</v>
      </c>
      <c r="D288" s="3" t="s">
        <v>116</v>
      </c>
      <c r="E288" s="3" t="s">
        <v>181</v>
      </c>
      <c r="F288" s="12" t="s">
        <v>4</v>
      </c>
      <c r="G288" s="3" t="s">
        <v>4</v>
      </c>
      <c r="H288" s="3" t="s">
        <v>116</v>
      </c>
      <c r="I288" s="3" t="s">
        <v>116</v>
      </c>
      <c r="J288" s="5"/>
      <c r="K288" s="5"/>
      <c r="L288" s="5"/>
      <c r="M288" s="5"/>
      <c r="N288" s="5"/>
      <c r="O288" s="5"/>
    </row>
    <row r="289" spans="1:15">
      <c r="A289" s="3" t="s">
        <v>386</v>
      </c>
      <c r="B289" s="3" t="s">
        <v>202</v>
      </c>
      <c r="C289" s="3" t="s">
        <v>116</v>
      </c>
      <c r="D289" s="3" t="s">
        <v>116</v>
      </c>
      <c r="E289" s="3" t="s">
        <v>181</v>
      </c>
      <c r="F289" s="12" t="s">
        <v>4</v>
      </c>
      <c r="G289" s="3" t="s">
        <v>4</v>
      </c>
      <c r="H289" s="3" t="s">
        <v>116</v>
      </c>
      <c r="I289" s="3" t="s">
        <v>116</v>
      </c>
      <c r="J289" s="5"/>
      <c r="K289" s="5"/>
      <c r="L289" s="5"/>
      <c r="M289" s="5"/>
      <c r="N289" s="5"/>
      <c r="O289" s="5"/>
    </row>
    <row r="290" spans="1:15">
      <c r="A290" s="3" t="s">
        <v>490</v>
      </c>
      <c r="B290" s="3" t="s">
        <v>556</v>
      </c>
      <c r="C290" s="3" t="s">
        <v>116</v>
      </c>
      <c r="D290" s="3" t="s">
        <v>116</v>
      </c>
      <c r="E290" s="3" t="s">
        <v>181</v>
      </c>
      <c r="F290" s="12" t="s">
        <v>4</v>
      </c>
      <c r="G290" s="3" t="s">
        <v>4</v>
      </c>
      <c r="H290" s="3" t="s">
        <v>116</v>
      </c>
      <c r="I290" s="3" t="s">
        <v>116</v>
      </c>
      <c r="J290" s="5"/>
      <c r="K290" s="5"/>
      <c r="L290" s="5"/>
      <c r="M290" s="5"/>
      <c r="N290" s="5"/>
      <c r="O290" s="5"/>
    </row>
    <row r="291" spans="1:15">
      <c r="A291" s="3" t="s">
        <v>387</v>
      </c>
      <c r="B291" s="3" t="s">
        <v>203</v>
      </c>
      <c r="C291" s="3" t="s">
        <v>116</v>
      </c>
      <c r="D291" s="3" t="s">
        <v>116</v>
      </c>
      <c r="E291" s="3" t="s">
        <v>181</v>
      </c>
      <c r="F291" s="12" t="s">
        <v>4</v>
      </c>
      <c r="G291" s="3" t="s">
        <v>4</v>
      </c>
      <c r="H291" s="3" t="s">
        <v>116</v>
      </c>
      <c r="I291" s="3" t="s">
        <v>116</v>
      </c>
      <c r="J291" s="5"/>
      <c r="K291" s="5"/>
      <c r="L291" s="5"/>
      <c r="M291" s="5"/>
      <c r="N291" s="5"/>
      <c r="O291" s="5"/>
    </row>
    <row r="292" spans="1:15">
      <c r="A292" s="3" t="s">
        <v>388</v>
      </c>
      <c r="B292" s="3" t="s">
        <v>204</v>
      </c>
      <c r="C292" s="3" t="s">
        <v>116</v>
      </c>
      <c r="D292" s="3" t="s">
        <v>116</v>
      </c>
      <c r="E292" s="3" t="s">
        <v>181</v>
      </c>
      <c r="F292" s="12" t="s">
        <v>4</v>
      </c>
      <c r="G292" s="3" t="s">
        <v>4</v>
      </c>
      <c r="H292" s="3" t="s">
        <v>116</v>
      </c>
      <c r="I292" s="3" t="s">
        <v>116</v>
      </c>
      <c r="J292" s="5"/>
      <c r="K292" s="5"/>
      <c r="L292" s="5"/>
      <c r="M292" s="5"/>
      <c r="N292" s="5"/>
      <c r="O292" s="5"/>
    </row>
    <row r="293" spans="1:15">
      <c r="A293" s="3" t="s">
        <v>389</v>
      </c>
      <c r="B293" s="3" t="s">
        <v>205</v>
      </c>
      <c r="C293" s="3" t="s">
        <v>116</v>
      </c>
      <c r="D293" s="3" t="s">
        <v>116</v>
      </c>
      <c r="E293" s="3" t="s">
        <v>181</v>
      </c>
      <c r="F293" s="12" t="s">
        <v>4</v>
      </c>
      <c r="G293" s="3" t="s">
        <v>4</v>
      </c>
      <c r="H293" s="3" t="s">
        <v>116</v>
      </c>
      <c r="I293" s="3" t="s">
        <v>116</v>
      </c>
      <c r="J293" s="5"/>
      <c r="K293" s="5"/>
      <c r="L293" s="5"/>
      <c r="M293" s="5"/>
      <c r="N293" s="5"/>
      <c r="O293" s="5"/>
    </row>
    <row r="294" spans="1:15">
      <c r="A294" s="3" t="s">
        <v>308</v>
      </c>
      <c r="B294" s="3" t="s">
        <v>206</v>
      </c>
      <c r="C294" s="3" t="s">
        <v>116</v>
      </c>
      <c r="D294" s="3" t="s">
        <v>116</v>
      </c>
      <c r="E294" s="3" t="s">
        <v>181</v>
      </c>
      <c r="F294" s="12" t="s">
        <v>4</v>
      </c>
      <c r="G294" s="3" t="s">
        <v>4</v>
      </c>
      <c r="H294" s="3" t="s">
        <v>116</v>
      </c>
      <c r="I294" s="3" t="s">
        <v>116</v>
      </c>
      <c r="J294" s="5"/>
      <c r="K294" s="5"/>
      <c r="L294" s="5"/>
      <c r="M294" s="5"/>
      <c r="N294" s="5"/>
      <c r="O294" s="5"/>
    </row>
    <row r="295" spans="1:15">
      <c r="A295" s="3" t="s">
        <v>478</v>
      </c>
      <c r="B295" s="3" t="s">
        <v>479</v>
      </c>
      <c r="C295" s="3" t="s">
        <v>116</v>
      </c>
      <c r="D295" s="3" t="s">
        <v>116</v>
      </c>
      <c r="E295" s="3" t="s">
        <v>181</v>
      </c>
      <c r="F295" s="12" t="s">
        <v>4</v>
      </c>
      <c r="G295" s="3" t="s">
        <v>4</v>
      </c>
      <c r="H295" s="3" t="s">
        <v>116</v>
      </c>
      <c r="I295" s="3" t="s">
        <v>116</v>
      </c>
      <c r="J295" s="5"/>
      <c r="K295" s="5"/>
      <c r="L295" s="5"/>
      <c r="M295" s="5"/>
      <c r="N295" s="5"/>
      <c r="O295" s="5"/>
    </row>
    <row r="296" spans="1:15">
      <c r="A296" s="3" t="s">
        <v>418</v>
      </c>
      <c r="B296" s="3" t="s">
        <v>419</v>
      </c>
      <c r="C296" s="3" t="s">
        <v>116</v>
      </c>
      <c r="D296" s="3" t="s">
        <v>116</v>
      </c>
      <c r="E296" s="3" t="s">
        <v>181</v>
      </c>
      <c r="F296" s="12" t="s">
        <v>4</v>
      </c>
      <c r="G296" s="3" t="s">
        <v>4</v>
      </c>
      <c r="H296" s="3" t="s">
        <v>116</v>
      </c>
      <c r="I296" s="3" t="s">
        <v>116</v>
      </c>
      <c r="J296" s="5"/>
      <c r="K296" s="5"/>
      <c r="L296" s="5"/>
      <c r="M296" s="5"/>
      <c r="N296" s="5"/>
      <c r="O296" s="5"/>
    </row>
    <row r="297" spans="1:15">
      <c r="A297" s="3" t="s">
        <v>534</v>
      </c>
      <c r="B297" s="3" t="s">
        <v>557</v>
      </c>
      <c r="C297" s="3" t="s">
        <v>116</v>
      </c>
      <c r="D297" s="3" t="s">
        <v>116</v>
      </c>
      <c r="E297" s="3" t="s">
        <v>181</v>
      </c>
      <c r="F297" s="12" t="s">
        <v>4</v>
      </c>
      <c r="G297" s="3" t="s">
        <v>4</v>
      </c>
      <c r="H297" s="3" t="s">
        <v>116</v>
      </c>
      <c r="I297" s="3" t="s">
        <v>116</v>
      </c>
      <c r="J297" s="5"/>
      <c r="K297" s="5"/>
      <c r="L297" s="5"/>
      <c r="M297" s="5"/>
      <c r="N297" s="5"/>
      <c r="O297" s="5"/>
    </row>
    <row r="298" spans="1:15">
      <c r="A298" s="3" t="s">
        <v>533</v>
      </c>
      <c r="B298" s="3" t="s">
        <v>558</v>
      </c>
      <c r="C298" s="3" t="s">
        <v>116</v>
      </c>
      <c r="D298" s="3" t="s">
        <v>116</v>
      </c>
      <c r="E298" s="3" t="s">
        <v>181</v>
      </c>
      <c r="F298" s="12" t="s">
        <v>4</v>
      </c>
      <c r="G298" s="3" t="s">
        <v>4</v>
      </c>
      <c r="H298" s="3" t="s">
        <v>116</v>
      </c>
      <c r="I298" s="3" t="s">
        <v>116</v>
      </c>
      <c r="J298" s="5"/>
      <c r="K298" s="5"/>
      <c r="L298" s="5"/>
      <c r="M298" s="5"/>
      <c r="N298" s="5"/>
      <c r="O298" s="5"/>
    </row>
    <row r="299" spans="1:15">
      <c r="A299" s="3" t="s">
        <v>298</v>
      </c>
      <c r="B299" s="3" t="s">
        <v>27</v>
      </c>
      <c r="C299" s="3" t="s">
        <v>116</v>
      </c>
      <c r="D299" s="3" t="s">
        <v>116</v>
      </c>
      <c r="E299" s="3" t="s">
        <v>181</v>
      </c>
      <c r="F299" s="12" t="s">
        <v>4</v>
      </c>
      <c r="G299" s="3" t="s">
        <v>4</v>
      </c>
      <c r="H299" s="3" t="s">
        <v>116</v>
      </c>
      <c r="I299" s="3" t="s">
        <v>116</v>
      </c>
      <c r="J299" s="5"/>
      <c r="K299" s="5"/>
      <c r="L299" s="5"/>
      <c r="M299" s="5"/>
      <c r="N299" s="5"/>
      <c r="O299" s="5"/>
    </row>
    <row r="300" spans="1:15">
      <c r="A300" s="3" t="s">
        <v>1031</v>
      </c>
      <c r="B300" s="3" t="s">
        <v>1032</v>
      </c>
      <c r="C300" s="3" t="s">
        <v>116</v>
      </c>
      <c r="D300" s="3" t="s">
        <v>116</v>
      </c>
      <c r="E300" s="3" t="s">
        <v>181</v>
      </c>
      <c r="F300" s="12" t="s">
        <v>4</v>
      </c>
      <c r="G300" s="3" t="s">
        <v>4</v>
      </c>
      <c r="H300" s="3" t="s">
        <v>116</v>
      </c>
      <c r="I300" s="3" t="s">
        <v>116</v>
      </c>
      <c r="J300" s="5"/>
      <c r="K300" s="5"/>
      <c r="L300" s="5"/>
      <c r="M300" s="5"/>
      <c r="N300" s="5"/>
      <c r="O300" s="5"/>
    </row>
    <row r="301" spans="1:15">
      <c r="A301" s="3" t="s">
        <v>1033</v>
      </c>
      <c r="B301" s="3" t="s">
        <v>1034</v>
      </c>
      <c r="C301" s="3" t="s">
        <v>116</v>
      </c>
      <c r="D301" s="3" t="s">
        <v>116</v>
      </c>
      <c r="E301" s="3" t="s">
        <v>181</v>
      </c>
      <c r="F301" s="12" t="s">
        <v>4</v>
      </c>
      <c r="G301" s="3" t="s">
        <v>4</v>
      </c>
      <c r="H301" s="3" t="s">
        <v>116</v>
      </c>
      <c r="I301" s="3" t="s">
        <v>116</v>
      </c>
      <c r="J301" s="5"/>
      <c r="K301" s="5"/>
      <c r="L301" s="5"/>
      <c r="M301" s="5"/>
      <c r="N301" s="5"/>
      <c r="O301" s="5"/>
    </row>
    <row r="302" spans="1:15">
      <c r="A302" s="3" t="s">
        <v>1035</v>
      </c>
      <c r="B302" s="3" t="s">
        <v>1036</v>
      </c>
      <c r="C302" s="3" t="s">
        <v>116</v>
      </c>
      <c r="D302" s="3" t="s">
        <v>116</v>
      </c>
      <c r="E302" s="3" t="s">
        <v>181</v>
      </c>
      <c r="F302" s="12" t="s">
        <v>4</v>
      </c>
      <c r="G302" s="3" t="s">
        <v>4</v>
      </c>
      <c r="H302" s="3" t="s">
        <v>116</v>
      </c>
      <c r="I302" s="3" t="s">
        <v>116</v>
      </c>
      <c r="J302" s="5"/>
      <c r="K302" s="5"/>
      <c r="L302" s="5"/>
      <c r="M302" s="5"/>
      <c r="N302" s="5"/>
      <c r="O302" s="5"/>
    </row>
    <row r="303" spans="1:15">
      <c r="A303" s="3" t="s">
        <v>1037</v>
      </c>
      <c r="B303" s="3" t="s">
        <v>1038</v>
      </c>
      <c r="C303" s="3" t="s">
        <v>116</v>
      </c>
      <c r="D303" s="3" t="s">
        <v>116</v>
      </c>
      <c r="E303" s="3" t="s">
        <v>181</v>
      </c>
      <c r="F303" s="12" t="s">
        <v>4</v>
      </c>
      <c r="G303" s="3" t="s">
        <v>4</v>
      </c>
      <c r="H303" s="3" t="s">
        <v>116</v>
      </c>
      <c r="I303" s="3" t="s">
        <v>116</v>
      </c>
      <c r="J303" s="5"/>
      <c r="K303" s="5"/>
      <c r="L303" s="5"/>
      <c r="M303" s="5"/>
      <c r="N303" s="5"/>
      <c r="O303" s="5"/>
    </row>
    <row r="304" spans="1:15">
      <c r="A304" s="3" t="s">
        <v>495</v>
      </c>
      <c r="B304" s="3" t="s">
        <v>28</v>
      </c>
      <c r="C304" s="3" t="s">
        <v>116</v>
      </c>
      <c r="D304" s="3" t="s">
        <v>116</v>
      </c>
      <c r="E304" s="3" t="s">
        <v>181</v>
      </c>
      <c r="F304" s="12" t="s">
        <v>4</v>
      </c>
      <c r="G304" s="3" t="s">
        <v>4</v>
      </c>
      <c r="H304" s="3" t="s">
        <v>116</v>
      </c>
      <c r="I304" s="3" t="s">
        <v>116</v>
      </c>
      <c r="J304" s="5"/>
      <c r="K304" s="5"/>
      <c r="L304" s="5"/>
      <c r="M304" s="5"/>
      <c r="N304" s="5"/>
      <c r="O304" s="5"/>
    </row>
    <row r="305" spans="1:15">
      <c r="A305" s="3" t="s">
        <v>496</v>
      </c>
      <c r="B305" s="3" t="s">
        <v>29</v>
      </c>
      <c r="C305" s="3" t="s">
        <v>116</v>
      </c>
      <c r="D305" s="3" t="s">
        <v>116</v>
      </c>
      <c r="E305" s="3" t="s">
        <v>181</v>
      </c>
      <c r="F305" s="12" t="s">
        <v>4</v>
      </c>
      <c r="G305" s="3" t="s">
        <v>4</v>
      </c>
      <c r="H305" s="3" t="s">
        <v>116</v>
      </c>
      <c r="I305" s="3" t="s">
        <v>116</v>
      </c>
      <c r="J305" s="5"/>
      <c r="K305" s="5"/>
      <c r="L305" s="5"/>
      <c r="M305" s="5"/>
      <c r="N305" s="5"/>
      <c r="O305" s="5"/>
    </row>
    <row r="306" spans="1:15">
      <c r="A306" s="3" t="s">
        <v>498</v>
      </c>
      <c r="B306" s="3" t="s">
        <v>30</v>
      </c>
      <c r="C306" s="3" t="s">
        <v>116</v>
      </c>
      <c r="D306" s="3" t="s">
        <v>116</v>
      </c>
      <c r="E306" s="3" t="s">
        <v>181</v>
      </c>
      <c r="F306" s="12" t="s">
        <v>4</v>
      </c>
      <c r="G306" s="3" t="s">
        <v>4</v>
      </c>
      <c r="H306" s="3" t="s">
        <v>116</v>
      </c>
      <c r="I306" s="3" t="s">
        <v>116</v>
      </c>
      <c r="J306" s="5"/>
      <c r="K306" s="5"/>
      <c r="L306" s="5"/>
      <c r="M306" s="5"/>
      <c r="N306" s="5"/>
      <c r="O306" s="5"/>
    </row>
    <row r="307" spans="1:15">
      <c r="A307" s="3" t="s">
        <v>300</v>
      </c>
      <c r="B307" s="3" t="s">
        <v>207</v>
      </c>
      <c r="C307" s="3" t="s">
        <v>116</v>
      </c>
      <c r="D307" s="3" t="s">
        <v>116</v>
      </c>
      <c r="E307" s="3" t="s">
        <v>181</v>
      </c>
      <c r="F307" s="12" t="s">
        <v>4</v>
      </c>
      <c r="G307" s="3" t="s">
        <v>4</v>
      </c>
      <c r="H307" s="3" t="s">
        <v>116</v>
      </c>
      <c r="I307" s="3" t="s">
        <v>116</v>
      </c>
      <c r="J307" s="5"/>
      <c r="K307" s="5"/>
      <c r="L307" s="5"/>
      <c r="M307" s="5"/>
      <c r="N307" s="5"/>
      <c r="O307" s="5"/>
    </row>
    <row r="308" spans="1:15">
      <c r="A308" s="3" t="s">
        <v>497</v>
      </c>
      <c r="B308" s="3" t="s">
        <v>559</v>
      </c>
      <c r="C308" s="3" t="s">
        <v>116</v>
      </c>
      <c r="D308" s="3" t="s">
        <v>116</v>
      </c>
      <c r="E308" s="3" t="s">
        <v>181</v>
      </c>
      <c r="F308" s="12" t="s">
        <v>4</v>
      </c>
      <c r="G308" s="3" t="s">
        <v>4</v>
      </c>
      <c r="H308" s="3" t="s">
        <v>116</v>
      </c>
      <c r="I308" s="3" t="s">
        <v>116</v>
      </c>
      <c r="J308" s="5"/>
      <c r="K308" s="5"/>
      <c r="L308" s="5"/>
      <c r="M308" s="5"/>
      <c r="N308" s="5"/>
      <c r="O308" s="5"/>
    </row>
    <row r="309" spans="1:15">
      <c r="A309" s="3" t="s">
        <v>1039</v>
      </c>
      <c r="B309" s="3" t="s">
        <v>1040</v>
      </c>
      <c r="C309" s="3" t="s">
        <v>116</v>
      </c>
      <c r="D309" s="3" t="s">
        <v>116</v>
      </c>
      <c r="E309" s="3" t="s">
        <v>181</v>
      </c>
      <c r="F309" s="12" t="s">
        <v>4</v>
      </c>
      <c r="G309" s="3" t="s">
        <v>4</v>
      </c>
      <c r="H309" s="3" t="s">
        <v>116</v>
      </c>
      <c r="I309" s="3" t="s">
        <v>116</v>
      </c>
      <c r="J309" s="5"/>
      <c r="K309" s="5"/>
      <c r="L309" s="5"/>
      <c r="M309" s="5"/>
      <c r="N309" s="5"/>
      <c r="O309" s="5"/>
    </row>
    <row r="310" spans="1:15">
      <c r="A310" s="3" t="s">
        <v>764</v>
      </c>
      <c r="B310" s="3" t="s">
        <v>765</v>
      </c>
      <c r="C310" s="3" t="s">
        <v>116</v>
      </c>
      <c r="D310" s="3" t="s">
        <v>116</v>
      </c>
      <c r="E310" s="3" t="s">
        <v>181</v>
      </c>
      <c r="F310" s="12" t="s">
        <v>4</v>
      </c>
      <c r="G310" s="3" t="s">
        <v>4</v>
      </c>
      <c r="H310" s="3" t="s">
        <v>116</v>
      </c>
      <c r="I310" s="3" t="s">
        <v>116</v>
      </c>
      <c r="J310" s="5"/>
      <c r="K310" s="5"/>
      <c r="L310" s="5"/>
      <c r="M310" s="5"/>
      <c r="N310" s="5"/>
      <c r="O310" s="5"/>
    </row>
    <row r="311" spans="1:15">
      <c r="A311" s="3" t="s">
        <v>299</v>
      </c>
      <c r="B311" s="3" t="s">
        <v>31</v>
      </c>
      <c r="C311" s="3" t="s">
        <v>116</v>
      </c>
      <c r="D311" s="3" t="s">
        <v>116</v>
      </c>
      <c r="E311" s="3" t="s">
        <v>181</v>
      </c>
      <c r="F311" s="12" t="s">
        <v>4</v>
      </c>
      <c r="G311" s="3" t="s">
        <v>4</v>
      </c>
      <c r="H311" s="3" t="s">
        <v>116</v>
      </c>
      <c r="I311" s="3" t="s">
        <v>116</v>
      </c>
      <c r="J311" s="5"/>
      <c r="K311" s="5"/>
      <c r="L311" s="5"/>
      <c r="M311" s="5"/>
      <c r="N311" s="5"/>
      <c r="O311" s="5"/>
    </row>
    <row r="312" spans="1:15">
      <c r="A312" s="3" t="s">
        <v>1041</v>
      </c>
      <c r="B312" s="3" t="s">
        <v>1042</v>
      </c>
      <c r="C312" s="3" t="s">
        <v>116</v>
      </c>
      <c r="D312" s="3" t="s">
        <v>116</v>
      </c>
      <c r="E312" s="3" t="s">
        <v>181</v>
      </c>
      <c r="F312" s="12" t="s">
        <v>4</v>
      </c>
      <c r="G312" s="3" t="s">
        <v>4</v>
      </c>
      <c r="H312" s="3" t="s">
        <v>116</v>
      </c>
      <c r="I312" s="3" t="s">
        <v>116</v>
      </c>
      <c r="J312" s="5"/>
      <c r="K312" s="5"/>
      <c r="L312" s="5"/>
      <c r="M312" s="5"/>
      <c r="N312" s="5"/>
      <c r="O312" s="5"/>
    </row>
    <row r="313" spans="1:15">
      <c r="A313" s="3" t="s">
        <v>492</v>
      </c>
      <c r="B313" s="3" t="s">
        <v>98</v>
      </c>
      <c r="C313" s="3" t="s">
        <v>116</v>
      </c>
      <c r="D313" s="3" t="s">
        <v>116</v>
      </c>
      <c r="E313" s="3" t="s">
        <v>181</v>
      </c>
      <c r="F313" s="12" t="s">
        <v>4</v>
      </c>
      <c r="G313" s="3" t="s">
        <v>4</v>
      </c>
      <c r="H313" s="3" t="s">
        <v>116</v>
      </c>
      <c r="I313" s="3" t="s">
        <v>116</v>
      </c>
      <c r="J313" s="5"/>
      <c r="K313" s="5"/>
      <c r="L313" s="5"/>
      <c r="M313" s="5"/>
      <c r="N313" s="5"/>
      <c r="O313" s="5"/>
    </row>
    <row r="314" spans="1:15">
      <c r="A314" s="3" t="s">
        <v>294</v>
      </c>
      <c r="B314" s="3" t="s">
        <v>32</v>
      </c>
      <c r="C314" s="3" t="s">
        <v>116</v>
      </c>
      <c r="D314" s="3" t="s">
        <v>116</v>
      </c>
      <c r="E314" s="3" t="s">
        <v>181</v>
      </c>
      <c r="F314" s="12" t="s">
        <v>4</v>
      </c>
      <c r="G314" s="3" t="s">
        <v>4</v>
      </c>
      <c r="H314" s="3" t="s">
        <v>116</v>
      </c>
      <c r="I314" s="3" t="s">
        <v>116</v>
      </c>
      <c r="J314" s="5"/>
      <c r="K314" s="5"/>
      <c r="L314" s="5"/>
      <c r="M314" s="5"/>
      <c r="N314" s="5"/>
      <c r="O314" s="5"/>
    </row>
    <row r="315" spans="1:15">
      <c r="A315" s="3" t="s">
        <v>499</v>
      </c>
      <c r="B315" s="3" t="s">
        <v>560</v>
      </c>
      <c r="C315" s="3" t="s">
        <v>116</v>
      </c>
      <c r="D315" s="3" t="s">
        <v>116</v>
      </c>
      <c r="E315" s="3" t="s">
        <v>181</v>
      </c>
      <c r="F315" s="12" t="s">
        <v>4</v>
      </c>
      <c r="G315" s="3" t="s">
        <v>4</v>
      </c>
      <c r="H315" s="3" t="s">
        <v>116</v>
      </c>
      <c r="I315" s="3" t="s">
        <v>116</v>
      </c>
      <c r="J315" s="5"/>
      <c r="K315" s="5"/>
      <c r="L315" s="5"/>
      <c r="M315" s="5"/>
      <c r="N315" s="5"/>
      <c r="O315" s="5"/>
    </row>
    <row r="316" spans="1:15">
      <c r="A316" s="3" t="s">
        <v>301</v>
      </c>
      <c r="B316" s="3" t="s">
        <v>33</v>
      </c>
      <c r="C316" s="3" t="s">
        <v>116</v>
      </c>
      <c r="D316" s="3" t="s">
        <v>116</v>
      </c>
      <c r="E316" s="3" t="s">
        <v>181</v>
      </c>
      <c r="F316" s="12" t="s">
        <v>4</v>
      </c>
      <c r="G316" s="3" t="s">
        <v>4</v>
      </c>
      <c r="H316" s="3" t="s">
        <v>116</v>
      </c>
      <c r="I316" s="3" t="s">
        <v>116</v>
      </c>
      <c r="J316" s="5"/>
      <c r="K316" s="5"/>
      <c r="L316" s="5"/>
      <c r="M316" s="5"/>
      <c r="N316" s="5"/>
      <c r="O316" s="5"/>
    </row>
    <row r="317" spans="1:15">
      <c r="A317" s="3" t="s">
        <v>390</v>
      </c>
      <c r="B317" s="3" t="s">
        <v>208</v>
      </c>
      <c r="C317" s="3" t="s">
        <v>116</v>
      </c>
      <c r="D317" s="3" t="s">
        <v>116</v>
      </c>
      <c r="E317" s="3" t="s">
        <v>181</v>
      </c>
      <c r="F317" s="12" t="s">
        <v>4</v>
      </c>
      <c r="G317" s="3" t="s">
        <v>4</v>
      </c>
      <c r="H317" s="3" t="s">
        <v>116</v>
      </c>
      <c r="I317" s="3" t="s">
        <v>116</v>
      </c>
      <c r="J317" s="5"/>
      <c r="K317" s="5"/>
      <c r="L317" s="5"/>
      <c r="M317" s="5"/>
      <c r="N317" s="5"/>
      <c r="O317" s="5"/>
    </row>
    <row r="318" spans="1:15">
      <c r="A318" s="3" t="s">
        <v>515</v>
      </c>
      <c r="B318" s="3" t="s">
        <v>101</v>
      </c>
      <c r="C318" s="3" t="s">
        <v>116</v>
      </c>
      <c r="D318" s="3" t="s">
        <v>116</v>
      </c>
      <c r="E318" s="3" t="s">
        <v>181</v>
      </c>
      <c r="F318" s="12" t="s">
        <v>4</v>
      </c>
      <c r="G318" s="3" t="s">
        <v>4</v>
      </c>
      <c r="H318" s="3" t="s">
        <v>116</v>
      </c>
      <c r="I318" s="3" t="s">
        <v>116</v>
      </c>
      <c r="J318" s="5"/>
      <c r="K318" s="5"/>
      <c r="L318" s="5"/>
      <c r="M318" s="5"/>
      <c r="N318" s="5"/>
      <c r="O318" s="5"/>
    </row>
    <row r="319" spans="1:15">
      <c r="A319" s="3" t="s">
        <v>500</v>
      </c>
      <c r="B319" s="3" t="s">
        <v>561</v>
      </c>
      <c r="C319" s="3" t="s">
        <v>116</v>
      </c>
      <c r="D319" s="3" t="s">
        <v>116</v>
      </c>
      <c r="E319" s="3" t="s">
        <v>181</v>
      </c>
      <c r="F319" s="12" t="s">
        <v>4</v>
      </c>
      <c r="G319" s="3" t="s">
        <v>4</v>
      </c>
      <c r="H319" s="3" t="s">
        <v>116</v>
      </c>
      <c r="I319" s="3" t="s">
        <v>116</v>
      </c>
      <c r="J319" s="5"/>
      <c r="K319" s="5"/>
      <c r="L319" s="5"/>
      <c r="M319" s="5"/>
      <c r="N319" s="5"/>
      <c r="O319" s="5"/>
    </row>
    <row r="320" spans="1:15">
      <c r="A320" s="3" t="s">
        <v>443</v>
      </c>
      <c r="B320" s="3" t="s">
        <v>99</v>
      </c>
      <c r="C320" s="3" t="s">
        <v>116</v>
      </c>
      <c r="D320" s="3" t="s">
        <v>116</v>
      </c>
      <c r="E320" s="3" t="s">
        <v>181</v>
      </c>
      <c r="F320" s="12" t="s">
        <v>4</v>
      </c>
      <c r="G320" s="3" t="s">
        <v>4</v>
      </c>
      <c r="H320" s="3" t="s">
        <v>116</v>
      </c>
      <c r="I320" s="3" t="s">
        <v>116</v>
      </c>
      <c r="J320" s="5"/>
      <c r="K320" s="5"/>
      <c r="L320" s="5"/>
      <c r="M320" s="5"/>
      <c r="N320" s="5"/>
      <c r="O320" s="5"/>
    </row>
    <row r="321" spans="1:15">
      <c r="A321" s="3" t="s">
        <v>681</v>
      </c>
      <c r="B321" s="3" t="s">
        <v>693</v>
      </c>
      <c r="C321" s="3" t="s">
        <v>116</v>
      </c>
      <c r="D321" s="3" t="s">
        <v>116</v>
      </c>
      <c r="E321" s="3" t="s">
        <v>181</v>
      </c>
      <c r="F321" s="12" t="s">
        <v>4</v>
      </c>
      <c r="G321" s="3" t="s">
        <v>4</v>
      </c>
      <c r="H321" s="3" t="s">
        <v>116</v>
      </c>
      <c r="I321" s="3" t="s">
        <v>116</v>
      </c>
      <c r="J321" s="5"/>
      <c r="K321" s="5"/>
      <c r="L321" s="5"/>
      <c r="M321" s="5"/>
      <c r="N321" s="5"/>
      <c r="O321" s="5"/>
    </row>
    <row r="322" spans="1:15">
      <c r="A322" s="3" t="s">
        <v>501</v>
      </c>
      <c r="B322" s="3" t="s">
        <v>34</v>
      </c>
      <c r="C322" s="3" t="s">
        <v>116</v>
      </c>
      <c r="D322" s="3" t="s">
        <v>116</v>
      </c>
      <c r="E322" s="3" t="s">
        <v>181</v>
      </c>
      <c r="F322" s="12" t="s">
        <v>4</v>
      </c>
      <c r="G322" s="3" t="s">
        <v>4</v>
      </c>
      <c r="H322" s="3" t="s">
        <v>116</v>
      </c>
      <c r="I322" s="3" t="s">
        <v>116</v>
      </c>
      <c r="J322" s="5"/>
      <c r="K322" s="5"/>
      <c r="L322" s="5"/>
      <c r="M322" s="5"/>
      <c r="N322" s="5"/>
      <c r="O322" s="5"/>
    </row>
    <row r="323" spans="1:15">
      <c r="A323" s="3" t="s">
        <v>391</v>
      </c>
      <c r="B323" s="3" t="s">
        <v>209</v>
      </c>
      <c r="C323" s="3" t="s">
        <v>116</v>
      </c>
      <c r="D323" s="3" t="s">
        <v>116</v>
      </c>
      <c r="E323" s="3" t="s">
        <v>181</v>
      </c>
      <c r="F323" s="12" t="s">
        <v>4</v>
      </c>
      <c r="G323" s="3" t="s">
        <v>4</v>
      </c>
      <c r="H323" s="3" t="s">
        <v>116</v>
      </c>
      <c r="I323" s="3" t="s">
        <v>116</v>
      </c>
      <c r="J323" s="5"/>
      <c r="K323" s="5"/>
      <c r="L323" s="5"/>
      <c r="M323" s="5"/>
      <c r="N323" s="5"/>
      <c r="O323" s="5"/>
    </row>
    <row r="324" spans="1:15">
      <c r="A324" s="3" t="s">
        <v>503</v>
      </c>
      <c r="B324" s="3" t="s">
        <v>562</v>
      </c>
      <c r="C324" s="3" t="s">
        <v>116</v>
      </c>
      <c r="D324" s="3" t="s">
        <v>116</v>
      </c>
      <c r="E324" s="3" t="s">
        <v>181</v>
      </c>
      <c r="F324" s="12" t="s">
        <v>4</v>
      </c>
      <c r="G324" s="3" t="s">
        <v>4</v>
      </c>
      <c r="H324" s="3" t="s">
        <v>116</v>
      </c>
      <c r="I324" s="3" t="s">
        <v>116</v>
      </c>
      <c r="J324" s="5"/>
      <c r="K324" s="5"/>
      <c r="L324" s="5"/>
      <c r="M324" s="5"/>
      <c r="N324" s="5"/>
      <c r="O324" s="5"/>
    </row>
    <row r="325" spans="1:15">
      <c r="A325" s="3" t="s">
        <v>1043</v>
      </c>
      <c r="B325" s="3" t="s">
        <v>1044</v>
      </c>
      <c r="C325" s="3" t="s">
        <v>116</v>
      </c>
      <c r="D325" s="3" t="s">
        <v>116</v>
      </c>
      <c r="E325" s="3" t="s">
        <v>181</v>
      </c>
      <c r="F325" s="12" t="s">
        <v>4</v>
      </c>
      <c r="G325" s="3" t="s">
        <v>4</v>
      </c>
      <c r="H325" s="3" t="s">
        <v>116</v>
      </c>
      <c r="I325" s="3" t="s">
        <v>116</v>
      </c>
      <c r="J325" s="5"/>
      <c r="K325" s="5"/>
      <c r="L325" s="5"/>
      <c r="M325" s="5"/>
      <c r="N325" s="5"/>
      <c r="O325" s="5"/>
    </row>
    <row r="326" spans="1:15">
      <c r="A326" s="3" t="s">
        <v>504</v>
      </c>
      <c r="B326" s="3" t="s">
        <v>563</v>
      </c>
      <c r="C326" s="3" t="s">
        <v>116</v>
      </c>
      <c r="D326" s="3" t="s">
        <v>116</v>
      </c>
      <c r="E326" s="3" t="s">
        <v>181</v>
      </c>
      <c r="F326" s="12" t="s">
        <v>4</v>
      </c>
      <c r="G326" s="3" t="s">
        <v>4</v>
      </c>
      <c r="H326" s="3" t="s">
        <v>116</v>
      </c>
      <c r="I326" s="3" t="s">
        <v>116</v>
      </c>
      <c r="J326" s="5"/>
      <c r="K326" s="5"/>
      <c r="L326" s="5"/>
      <c r="M326" s="5"/>
      <c r="N326" s="5"/>
      <c r="O326" s="5"/>
    </row>
    <row r="327" spans="1:15">
      <c r="A327" s="3" t="s">
        <v>505</v>
      </c>
      <c r="B327" s="3" t="s">
        <v>564</v>
      </c>
      <c r="C327" s="3" t="s">
        <v>116</v>
      </c>
      <c r="D327" s="3" t="s">
        <v>116</v>
      </c>
      <c r="E327" s="3" t="s">
        <v>181</v>
      </c>
      <c r="F327" s="12" t="s">
        <v>4</v>
      </c>
      <c r="G327" s="3" t="s">
        <v>4</v>
      </c>
      <c r="H327" s="3" t="s">
        <v>116</v>
      </c>
      <c r="I327" s="3" t="s">
        <v>116</v>
      </c>
      <c r="J327" s="5"/>
      <c r="K327" s="5"/>
      <c r="L327" s="5"/>
      <c r="M327" s="5"/>
      <c r="N327" s="5"/>
      <c r="O327" s="5"/>
    </row>
    <row r="328" spans="1:15">
      <c r="A328" s="3" t="s">
        <v>313</v>
      </c>
      <c r="B328" s="3" t="s">
        <v>210</v>
      </c>
      <c r="C328" s="3" t="s">
        <v>116</v>
      </c>
      <c r="D328" s="3" t="s">
        <v>116</v>
      </c>
      <c r="E328" s="3" t="s">
        <v>181</v>
      </c>
      <c r="F328" s="12" t="s">
        <v>4</v>
      </c>
      <c r="G328" s="3" t="s">
        <v>4</v>
      </c>
      <c r="H328" s="3" t="s">
        <v>116</v>
      </c>
      <c r="I328" s="3" t="s">
        <v>116</v>
      </c>
      <c r="J328" s="5"/>
      <c r="K328" s="5"/>
      <c r="L328" s="5"/>
      <c r="M328" s="5"/>
      <c r="N328" s="5"/>
      <c r="O328" s="5"/>
    </row>
    <row r="329" spans="1:15">
      <c r="A329" s="3" t="s">
        <v>509</v>
      </c>
      <c r="B329" s="3" t="s">
        <v>107</v>
      </c>
      <c r="C329" s="3" t="s">
        <v>116</v>
      </c>
      <c r="D329" s="3" t="s">
        <v>116</v>
      </c>
      <c r="E329" s="3" t="s">
        <v>181</v>
      </c>
      <c r="F329" s="12" t="s">
        <v>4</v>
      </c>
      <c r="G329" s="3" t="s">
        <v>4</v>
      </c>
      <c r="H329" s="3" t="s">
        <v>116</v>
      </c>
      <c r="I329" s="3" t="s">
        <v>116</v>
      </c>
      <c r="J329" s="5"/>
      <c r="K329" s="5"/>
      <c r="L329" s="5"/>
      <c r="M329" s="5"/>
      <c r="N329" s="5"/>
      <c r="O329" s="5"/>
    </row>
    <row r="330" spans="1:15">
      <c r="A330" s="3" t="s">
        <v>506</v>
      </c>
      <c r="B330" s="3" t="s">
        <v>565</v>
      </c>
      <c r="C330" s="3" t="s">
        <v>116</v>
      </c>
      <c r="D330" s="3" t="s">
        <v>116</v>
      </c>
      <c r="E330" s="3" t="s">
        <v>181</v>
      </c>
      <c r="F330" s="12" t="s">
        <v>4</v>
      </c>
      <c r="G330" s="3" t="s">
        <v>4</v>
      </c>
      <c r="H330" s="3" t="s">
        <v>116</v>
      </c>
      <c r="I330" s="3" t="s">
        <v>116</v>
      </c>
      <c r="J330" s="5"/>
      <c r="K330" s="5"/>
      <c r="L330" s="5"/>
      <c r="M330" s="5"/>
      <c r="N330" s="5"/>
      <c r="O330" s="5"/>
    </row>
    <row r="331" spans="1:15">
      <c r="A331" s="3" t="s">
        <v>312</v>
      </c>
      <c r="B331" s="3" t="s">
        <v>211</v>
      </c>
      <c r="C331" s="3" t="s">
        <v>116</v>
      </c>
      <c r="D331" s="3" t="s">
        <v>116</v>
      </c>
      <c r="E331" s="3" t="s">
        <v>181</v>
      </c>
      <c r="F331" s="12" t="s">
        <v>4</v>
      </c>
      <c r="G331" s="3" t="s">
        <v>4</v>
      </c>
      <c r="H331" s="3" t="s">
        <v>116</v>
      </c>
      <c r="I331" s="3" t="s">
        <v>116</v>
      </c>
      <c r="J331" s="5"/>
      <c r="K331" s="5"/>
      <c r="L331" s="5"/>
      <c r="M331" s="5"/>
      <c r="N331" s="5"/>
      <c r="O331" s="5"/>
    </row>
    <row r="332" spans="1:15">
      <c r="A332" s="3" t="s">
        <v>507</v>
      </c>
      <c r="B332" s="3" t="s">
        <v>566</v>
      </c>
      <c r="C332" s="3" t="s">
        <v>116</v>
      </c>
      <c r="D332" s="3" t="s">
        <v>116</v>
      </c>
      <c r="E332" s="3" t="s">
        <v>181</v>
      </c>
      <c r="F332" s="12" t="s">
        <v>4</v>
      </c>
      <c r="G332" s="3" t="s">
        <v>4</v>
      </c>
      <c r="H332" s="3" t="s">
        <v>116</v>
      </c>
      <c r="I332" s="3" t="s">
        <v>116</v>
      </c>
      <c r="J332" s="5"/>
      <c r="K332" s="5"/>
      <c r="L332" s="5"/>
      <c r="M332" s="5"/>
      <c r="N332" s="5"/>
      <c r="O332" s="5"/>
    </row>
    <row r="333" spans="1:15">
      <c r="A333" s="3" t="s">
        <v>508</v>
      </c>
      <c r="B333" s="3" t="s">
        <v>567</v>
      </c>
      <c r="C333" s="3" t="s">
        <v>116</v>
      </c>
      <c r="D333" s="3" t="s">
        <v>116</v>
      </c>
      <c r="E333" s="3" t="s">
        <v>181</v>
      </c>
      <c r="F333" s="12" t="s">
        <v>4</v>
      </c>
      <c r="G333" s="3" t="s">
        <v>4</v>
      </c>
      <c r="H333" s="3" t="s">
        <v>116</v>
      </c>
      <c r="I333" s="3" t="s">
        <v>116</v>
      </c>
      <c r="J333" s="5"/>
      <c r="K333" s="5"/>
      <c r="L333" s="5"/>
      <c r="M333" s="5"/>
      <c r="N333" s="5"/>
      <c r="O333" s="5"/>
    </row>
    <row r="334" spans="1:15">
      <c r="A334" s="3" t="s">
        <v>434</v>
      </c>
      <c r="B334" s="3" t="s">
        <v>106</v>
      </c>
      <c r="C334" s="3" t="s">
        <v>116</v>
      </c>
      <c r="D334" s="3" t="s">
        <v>116</v>
      </c>
      <c r="E334" s="3" t="s">
        <v>181</v>
      </c>
      <c r="F334" s="12" t="s">
        <v>4</v>
      </c>
      <c r="G334" s="3" t="s">
        <v>4</v>
      </c>
      <c r="H334" s="3" t="s">
        <v>116</v>
      </c>
      <c r="I334" s="3" t="s">
        <v>116</v>
      </c>
      <c r="J334" s="5"/>
      <c r="K334" s="5"/>
      <c r="L334" s="5"/>
      <c r="M334" s="5"/>
      <c r="N334" s="5"/>
      <c r="O334" s="5"/>
    </row>
    <row r="335" spans="1:15">
      <c r="A335" s="3" t="s">
        <v>510</v>
      </c>
      <c r="B335" s="3" t="s">
        <v>100</v>
      </c>
      <c r="C335" s="3" t="s">
        <v>116</v>
      </c>
      <c r="D335" s="3" t="s">
        <v>116</v>
      </c>
      <c r="E335" s="3" t="s">
        <v>181</v>
      </c>
      <c r="F335" s="12" t="s">
        <v>4</v>
      </c>
      <c r="G335" s="3" t="s">
        <v>4</v>
      </c>
      <c r="H335" s="3" t="s">
        <v>116</v>
      </c>
      <c r="I335" s="3" t="s">
        <v>116</v>
      </c>
      <c r="J335" s="5"/>
      <c r="K335" s="5"/>
      <c r="L335" s="5"/>
      <c r="M335" s="5"/>
      <c r="N335" s="5"/>
      <c r="O335" s="5"/>
    </row>
    <row r="336" spans="1:15">
      <c r="A336" s="3" t="s">
        <v>392</v>
      </c>
      <c r="B336" s="3" t="s">
        <v>212</v>
      </c>
      <c r="C336" s="3" t="s">
        <v>116</v>
      </c>
      <c r="D336" s="3" t="s">
        <v>116</v>
      </c>
      <c r="E336" s="3" t="s">
        <v>181</v>
      </c>
      <c r="F336" s="12" t="s">
        <v>4</v>
      </c>
      <c r="G336" s="3" t="s">
        <v>4</v>
      </c>
      <c r="H336" s="3" t="s">
        <v>116</v>
      </c>
      <c r="I336" s="3" t="s">
        <v>116</v>
      </c>
      <c r="J336" s="5"/>
      <c r="K336" s="5"/>
      <c r="L336" s="5"/>
      <c r="M336" s="5"/>
      <c r="N336" s="5"/>
      <c r="O336" s="5"/>
    </row>
    <row r="337" spans="1:15">
      <c r="A337" s="3" t="s">
        <v>767</v>
      </c>
      <c r="B337" s="3" t="s">
        <v>768</v>
      </c>
      <c r="C337" s="3" t="s">
        <v>116</v>
      </c>
      <c r="D337" s="3" t="s">
        <v>116</v>
      </c>
      <c r="E337" s="3" t="s">
        <v>181</v>
      </c>
      <c r="F337" s="12" t="s">
        <v>4</v>
      </c>
      <c r="G337" s="3" t="s">
        <v>4</v>
      </c>
      <c r="H337" s="3" t="s">
        <v>116</v>
      </c>
      <c r="I337" s="3" t="s">
        <v>116</v>
      </c>
      <c r="J337" s="5"/>
      <c r="K337" s="5"/>
      <c r="L337" s="5"/>
      <c r="M337" s="5"/>
      <c r="N337" s="5"/>
      <c r="O337" s="5"/>
    </row>
    <row r="338" spans="1:15">
      <c r="A338" s="3" t="s">
        <v>769</v>
      </c>
      <c r="B338" s="3" t="s">
        <v>770</v>
      </c>
      <c r="C338" s="3" t="s">
        <v>116</v>
      </c>
      <c r="D338" s="3" t="s">
        <v>116</v>
      </c>
      <c r="E338" s="3" t="s">
        <v>181</v>
      </c>
      <c r="F338" s="12" t="s">
        <v>4</v>
      </c>
      <c r="G338" s="3" t="s">
        <v>4</v>
      </c>
      <c r="H338" s="3" t="s">
        <v>116</v>
      </c>
      <c r="I338" s="3" t="s">
        <v>116</v>
      </c>
      <c r="J338" s="5"/>
      <c r="K338" s="5"/>
      <c r="L338" s="5"/>
      <c r="M338" s="5"/>
      <c r="N338" s="5"/>
      <c r="O338" s="5"/>
    </row>
    <row r="339" spans="1:15">
      <c r="A339" s="3" t="s">
        <v>491</v>
      </c>
      <c r="B339" s="3" t="s">
        <v>568</v>
      </c>
      <c r="C339" s="3" t="s">
        <v>116</v>
      </c>
      <c r="D339" s="3" t="s">
        <v>116</v>
      </c>
      <c r="E339" s="3" t="s">
        <v>181</v>
      </c>
      <c r="F339" s="12" t="s">
        <v>4</v>
      </c>
      <c r="G339" s="3" t="s">
        <v>4</v>
      </c>
      <c r="H339" s="3" t="s">
        <v>116</v>
      </c>
      <c r="I339" s="3" t="s">
        <v>116</v>
      </c>
      <c r="J339" s="5"/>
      <c r="K339" s="5"/>
      <c r="L339" s="5"/>
      <c r="M339" s="5"/>
      <c r="N339" s="5"/>
      <c r="O339" s="5"/>
    </row>
    <row r="340" spans="1:15">
      <c r="A340" s="3" t="s">
        <v>487</v>
      </c>
      <c r="B340" s="3" t="s">
        <v>569</v>
      </c>
      <c r="C340" s="3" t="s">
        <v>116</v>
      </c>
      <c r="D340" s="3" t="s">
        <v>116</v>
      </c>
      <c r="E340" s="3" t="s">
        <v>181</v>
      </c>
      <c r="F340" s="12" t="s">
        <v>4</v>
      </c>
      <c r="G340" s="3" t="s">
        <v>4</v>
      </c>
      <c r="H340" s="3" t="s">
        <v>116</v>
      </c>
      <c r="I340" s="3" t="s">
        <v>116</v>
      </c>
      <c r="J340" s="5"/>
      <c r="K340" s="5"/>
      <c r="L340" s="5"/>
      <c r="M340" s="5"/>
      <c r="N340" s="5"/>
      <c r="O340" s="5"/>
    </row>
    <row r="341" spans="1:15">
      <c r="A341" s="3" t="s">
        <v>302</v>
      </c>
      <c r="B341" s="3" t="s">
        <v>213</v>
      </c>
      <c r="C341" s="3" t="s">
        <v>116</v>
      </c>
      <c r="D341" s="3" t="s">
        <v>116</v>
      </c>
      <c r="E341" s="3" t="s">
        <v>181</v>
      </c>
      <c r="F341" s="12" t="s">
        <v>4</v>
      </c>
      <c r="G341" s="3" t="s">
        <v>4</v>
      </c>
      <c r="H341" s="3" t="s">
        <v>116</v>
      </c>
      <c r="I341" s="3" t="s">
        <v>116</v>
      </c>
      <c r="J341" s="5"/>
      <c r="K341" s="5"/>
      <c r="L341" s="5"/>
      <c r="M341" s="5"/>
      <c r="N341" s="5"/>
      <c r="O341" s="5"/>
    </row>
    <row r="342" spans="1:15">
      <c r="A342" s="3" t="s">
        <v>303</v>
      </c>
      <c r="B342" s="3" t="s">
        <v>214</v>
      </c>
      <c r="C342" s="3" t="s">
        <v>116</v>
      </c>
      <c r="D342" s="3" t="s">
        <v>116</v>
      </c>
      <c r="E342" s="3" t="s">
        <v>181</v>
      </c>
      <c r="F342" s="12" t="s">
        <v>4</v>
      </c>
      <c r="G342" s="3" t="s">
        <v>4</v>
      </c>
      <c r="H342" s="3" t="s">
        <v>116</v>
      </c>
      <c r="I342" s="3" t="s">
        <v>116</v>
      </c>
      <c r="J342" s="5"/>
      <c r="K342" s="5"/>
      <c r="L342" s="5"/>
      <c r="M342" s="5"/>
      <c r="N342" s="5"/>
      <c r="O342" s="5"/>
    </row>
    <row r="343" spans="1:15">
      <c r="A343" s="3" t="s">
        <v>771</v>
      </c>
      <c r="B343" s="3" t="s">
        <v>772</v>
      </c>
      <c r="C343" s="3" t="s">
        <v>116</v>
      </c>
      <c r="D343" s="3" t="s">
        <v>116</v>
      </c>
      <c r="E343" s="3" t="s">
        <v>181</v>
      </c>
      <c r="F343" s="12" t="s">
        <v>4</v>
      </c>
      <c r="G343" s="3" t="s">
        <v>4</v>
      </c>
      <c r="H343" s="3" t="s">
        <v>116</v>
      </c>
      <c r="I343" s="3" t="s">
        <v>116</v>
      </c>
      <c r="J343" s="5"/>
      <c r="K343" s="5"/>
      <c r="L343" s="5"/>
      <c r="M343" s="5"/>
      <c r="N343" s="5"/>
      <c r="O343" s="5"/>
    </row>
    <row r="344" spans="1:15">
      <c r="A344" s="3" t="s">
        <v>304</v>
      </c>
      <c r="B344" s="3" t="s">
        <v>215</v>
      </c>
      <c r="C344" s="3" t="s">
        <v>116</v>
      </c>
      <c r="D344" s="3" t="s">
        <v>116</v>
      </c>
      <c r="E344" s="3" t="s">
        <v>181</v>
      </c>
      <c r="F344" s="12" t="s">
        <v>4</v>
      </c>
      <c r="G344" s="3" t="s">
        <v>4</v>
      </c>
      <c r="H344" s="3" t="s">
        <v>116</v>
      </c>
      <c r="I344" s="3" t="s">
        <v>116</v>
      </c>
      <c r="J344" s="5"/>
      <c r="K344" s="5"/>
      <c r="L344" s="5"/>
      <c r="M344" s="5"/>
      <c r="N344" s="5"/>
      <c r="O344" s="5"/>
    </row>
    <row r="345" spans="1:15">
      <c r="A345" s="3" t="s">
        <v>516</v>
      </c>
      <c r="B345" s="3" t="s">
        <v>570</v>
      </c>
      <c r="C345" s="3" t="s">
        <v>116</v>
      </c>
      <c r="D345" s="3" t="s">
        <v>116</v>
      </c>
      <c r="E345" s="3" t="s">
        <v>181</v>
      </c>
      <c r="F345" s="12" t="s">
        <v>4</v>
      </c>
      <c r="G345" s="3" t="s">
        <v>4</v>
      </c>
      <c r="H345" s="3" t="s">
        <v>116</v>
      </c>
      <c r="I345" s="3" t="s">
        <v>116</v>
      </c>
      <c r="J345" s="5"/>
      <c r="K345" s="5"/>
      <c r="L345" s="5"/>
      <c r="M345" s="5"/>
      <c r="N345" s="5"/>
      <c r="O345" s="5"/>
    </row>
    <row r="346" spans="1:15">
      <c r="A346" s="3" t="s">
        <v>520</v>
      </c>
      <c r="B346" s="3" t="s">
        <v>95</v>
      </c>
      <c r="C346" s="3" t="s">
        <v>116</v>
      </c>
      <c r="D346" s="3" t="s">
        <v>116</v>
      </c>
      <c r="E346" s="3" t="s">
        <v>181</v>
      </c>
      <c r="F346" s="12" t="s">
        <v>4</v>
      </c>
      <c r="G346" s="3" t="s">
        <v>4</v>
      </c>
      <c r="H346" s="3" t="s">
        <v>116</v>
      </c>
      <c r="I346" s="3" t="s">
        <v>116</v>
      </c>
      <c r="J346" s="5"/>
      <c r="K346" s="5"/>
      <c r="L346" s="5"/>
      <c r="M346" s="5"/>
      <c r="N346" s="5"/>
      <c r="O346" s="5"/>
    </row>
    <row r="347" spans="1:15">
      <c r="A347" s="3" t="s">
        <v>295</v>
      </c>
      <c r="B347" s="3" t="s">
        <v>216</v>
      </c>
      <c r="C347" s="3" t="s">
        <v>116</v>
      </c>
      <c r="D347" s="3" t="s">
        <v>116</v>
      </c>
      <c r="E347" s="3" t="s">
        <v>181</v>
      </c>
      <c r="F347" s="12" t="s">
        <v>4</v>
      </c>
      <c r="G347" s="3" t="s">
        <v>4</v>
      </c>
      <c r="H347" s="3" t="s">
        <v>116</v>
      </c>
      <c r="I347" s="3" t="s">
        <v>116</v>
      </c>
      <c r="J347" s="5"/>
      <c r="K347" s="5"/>
      <c r="L347" s="5"/>
      <c r="M347" s="5"/>
      <c r="N347" s="5"/>
      <c r="O347" s="5"/>
    </row>
    <row r="348" spans="1:15">
      <c r="A348" s="3" t="s">
        <v>297</v>
      </c>
      <c r="B348" s="3" t="s">
        <v>217</v>
      </c>
      <c r="C348" s="3" t="s">
        <v>116</v>
      </c>
      <c r="D348" s="3" t="s">
        <v>116</v>
      </c>
      <c r="E348" s="3" t="s">
        <v>181</v>
      </c>
      <c r="F348" s="12" t="s">
        <v>4</v>
      </c>
      <c r="G348" s="3" t="s">
        <v>4</v>
      </c>
      <c r="H348" s="3" t="s">
        <v>116</v>
      </c>
      <c r="I348" s="3" t="s">
        <v>116</v>
      </c>
      <c r="J348" s="5"/>
      <c r="K348" s="5"/>
      <c r="L348" s="5"/>
      <c r="M348" s="5"/>
      <c r="N348" s="5"/>
      <c r="O348" s="5"/>
    </row>
    <row r="349" spans="1:15">
      <c r="A349" s="3" t="s">
        <v>296</v>
      </c>
      <c r="B349" s="3" t="s">
        <v>218</v>
      </c>
      <c r="C349" s="3" t="s">
        <v>116</v>
      </c>
      <c r="D349" s="3" t="s">
        <v>116</v>
      </c>
      <c r="E349" s="3" t="s">
        <v>181</v>
      </c>
      <c r="F349" s="12" t="s">
        <v>4</v>
      </c>
      <c r="G349" s="3" t="s">
        <v>4</v>
      </c>
      <c r="H349" s="3" t="s">
        <v>116</v>
      </c>
      <c r="I349" s="3" t="s">
        <v>116</v>
      </c>
      <c r="J349" s="5"/>
      <c r="K349" s="5"/>
      <c r="L349" s="5"/>
      <c r="M349" s="5"/>
      <c r="N349" s="5"/>
      <c r="O349" s="5"/>
    </row>
    <row r="350" spans="1:15">
      <c r="A350" s="3" t="s">
        <v>493</v>
      </c>
      <c r="B350" s="3" t="s">
        <v>571</v>
      </c>
      <c r="C350" s="3" t="s">
        <v>116</v>
      </c>
      <c r="D350" s="3" t="s">
        <v>116</v>
      </c>
      <c r="E350" s="3" t="s">
        <v>181</v>
      </c>
      <c r="F350" s="12" t="s">
        <v>4</v>
      </c>
      <c r="G350" s="3" t="s">
        <v>4</v>
      </c>
      <c r="H350" s="3" t="s">
        <v>116</v>
      </c>
      <c r="I350" s="3" t="s">
        <v>116</v>
      </c>
      <c r="J350" s="5"/>
      <c r="K350" s="5"/>
      <c r="L350" s="5"/>
      <c r="M350" s="5"/>
      <c r="N350" s="5"/>
      <c r="O350" s="5"/>
    </row>
    <row r="351" spans="1:15">
      <c r="A351" s="3" t="s">
        <v>512</v>
      </c>
      <c r="B351" s="3" t="s">
        <v>572</v>
      </c>
      <c r="C351" s="3" t="s">
        <v>116</v>
      </c>
      <c r="D351" s="3" t="s">
        <v>116</v>
      </c>
      <c r="E351" s="3" t="s">
        <v>181</v>
      </c>
      <c r="F351" s="12" t="s">
        <v>4</v>
      </c>
      <c r="G351" s="3" t="s">
        <v>4</v>
      </c>
      <c r="H351" s="3" t="s">
        <v>116</v>
      </c>
      <c r="I351" s="3" t="s">
        <v>116</v>
      </c>
      <c r="J351" s="5"/>
      <c r="K351" s="5"/>
      <c r="L351" s="5"/>
      <c r="M351" s="5"/>
      <c r="N351" s="5"/>
      <c r="O351" s="5"/>
    </row>
    <row r="352" spans="1:15">
      <c r="A352" s="3" t="s">
        <v>511</v>
      </c>
      <c r="B352" s="3" t="s">
        <v>573</v>
      </c>
      <c r="C352" s="3" t="s">
        <v>116</v>
      </c>
      <c r="D352" s="3" t="s">
        <v>116</v>
      </c>
      <c r="E352" s="3" t="s">
        <v>181</v>
      </c>
      <c r="F352" s="12" t="s">
        <v>4</v>
      </c>
      <c r="G352" s="3" t="s">
        <v>4</v>
      </c>
      <c r="H352" s="3" t="s">
        <v>116</v>
      </c>
      <c r="I352" s="3" t="s">
        <v>116</v>
      </c>
      <c r="J352" s="5"/>
      <c r="K352" s="5"/>
      <c r="L352" s="5"/>
      <c r="M352" s="5"/>
      <c r="N352" s="5"/>
      <c r="O352" s="5"/>
    </row>
    <row r="353" spans="1:15">
      <c r="A353" s="3" t="s">
        <v>706</v>
      </c>
      <c r="B353" s="3" t="s">
        <v>707</v>
      </c>
      <c r="C353" s="3" t="s">
        <v>116</v>
      </c>
      <c r="D353" s="3" t="s">
        <v>116</v>
      </c>
      <c r="E353" s="3" t="s">
        <v>181</v>
      </c>
      <c r="F353" s="12" t="s">
        <v>4</v>
      </c>
      <c r="G353" s="3" t="s">
        <v>4</v>
      </c>
      <c r="H353" s="3" t="s">
        <v>116</v>
      </c>
      <c r="I353" s="3" t="s">
        <v>116</v>
      </c>
      <c r="J353" s="5"/>
      <c r="K353" s="5"/>
      <c r="L353" s="5"/>
      <c r="M353" s="5"/>
      <c r="N353" s="5"/>
      <c r="O353" s="5"/>
    </row>
    <row r="354" spans="1:15">
      <c r="A354" s="3" t="s">
        <v>1045</v>
      </c>
      <c r="B354" s="3" t="s">
        <v>1046</v>
      </c>
      <c r="C354" s="3" t="s">
        <v>116</v>
      </c>
      <c r="D354" s="3" t="s">
        <v>116</v>
      </c>
      <c r="E354" s="3" t="s">
        <v>181</v>
      </c>
      <c r="F354" s="12" t="s">
        <v>4</v>
      </c>
      <c r="G354" s="3" t="s">
        <v>4</v>
      </c>
      <c r="H354" s="3" t="s">
        <v>116</v>
      </c>
      <c r="I354" s="3" t="s">
        <v>116</v>
      </c>
      <c r="J354" s="5"/>
      <c r="K354" s="5"/>
      <c r="L354" s="5"/>
      <c r="M354" s="5"/>
      <c r="N354" s="5"/>
      <c r="O354" s="5"/>
    </row>
    <row r="355" spans="1:15">
      <c r="A355" s="3" t="s">
        <v>393</v>
      </c>
      <c r="B355" s="3" t="s">
        <v>219</v>
      </c>
      <c r="C355" s="3" t="s">
        <v>116</v>
      </c>
      <c r="D355" s="3" t="s">
        <v>116</v>
      </c>
      <c r="E355" s="3" t="s">
        <v>181</v>
      </c>
      <c r="F355" s="12" t="s">
        <v>4</v>
      </c>
      <c r="G355" s="3" t="s">
        <v>4</v>
      </c>
      <c r="H355" s="3" t="s">
        <v>116</v>
      </c>
      <c r="I355" s="3" t="s">
        <v>116</v>
      </c>
      <c r="J355" s="5"/>
      <c r="K355" s="5"/>
      <c r="L355" s="5"/>
      <c r="M355" s="5"/>
      <c r="N355" s="5"/>
      <c r="O355" s="5"/>
    </row>
    <row r="356" spans="1:15">
      <c r="A356" s="3" t="s">
        <v>35</v>
      </c>
      <c r="B356" s="3" t="s">
        <v>36</v>
      </c>
      <c r="C356" s="3" t="s">
        <v>116</v>
      </c>
      <c r="D356" s="3" t="s">
        <v>116</v>
      </c>
      <c r="E356" s="3" t="s">
        <v>181</v>
      </c>
      <c r="F356" s="12" t="s">
        <v>6</v>
      </c>
      <c r="G356" s="3" t="s">
        <v>4</v>
      </c>
      <c r="H356" s="3" t="s">
        <v>116</v>
      </c>
      <c r="I356" s="3" t="s">
        <v>116</v>
      </c>
      <c r="J356" s="5"/>
      <c r="K356" s="5"/>
      <c r="L356" s="5"/>
      <c r="M356" s="5"/>
      <c r="N356" s="5"/>
      <c r="O356" s="5"/>
    </row>
    <row r="357" spans="1:15">
      <c r="A357" s="3" t="s">
        <v>394</v>
      </c>
      <c r="B357" s="3" t="s">
        <v>220</v>
      </c>
      <c r="C357" s="3" t="s">
        <v>116</v>
      </c>
      <c r="D357" s="3" t="s">
        <v>116</v>
      </c>
      <c r="E357" s="3" t="s">
        <v>181</v>
      </c>
      <c r="F357" s="12" t="s">
        <v>4</v>
      </c>
      <c r="G357" s="3" t="s">
        <v>4</v>
      </c>
      <c r="H357" s="3" t="s">
        <v>116</v>
      </c>
      <c r="I357" s="3" t="s">
        <v>116</v>
      </c>
      <c r="J357" s="5"/>
      <c r="K357" s="5"/>
      <c r="L357" s="5"/>
      <c r="M357" s="5"/>
      <c r="N357" s="5"/>
      <c r="O357" s="5"/>
    </row>
    <row r="358" spans="1:15">
      <c r="A358" s="3" t="s">
        <v>1047</v>
      </c>
      <c r="B358" s="3" t="s">
        <v>1048</v>
      </c>
      <c r="C358" s="3" t="s">
        <v>116</v>
      </c>
      <c r="D358" s="3" t="s">
        <v>116</v>
      </c>
      <c r="E358" s="3" t="s">
        <v>181</v>
      </c>
      <c r="F358" s="12" t="s">
        <v>4</v>
      </c>
      <c r="G358" s="3" t="s">
        <v>4</v>
      </c>
      <c r="H358" s="3" t="s">
        <v>116</v>
      </c>
      <c r="I358" s="3" t="s">
        <v>116</v>
      </c>
      <c r="J358" s="5"/>
      <c r="K358" s="5"/>
      <c r="L358" s="5"/>
      <c r="M358" s="5"/>
      <c r="N358" s="5"/>
      <c r="O358" s="5"/>
    </row>
    <row r="359" spans="1:15">
      <c r="A359" s="3" t="s">
        <v>1049</v>
      </c>
      <c r="B359" s="3" t="s">
        <v>1050</v>
      </c>
      <c r="C359" s="3" t="s">
        <v>116</v>
      </c>
      <c r="D359" s="3" t="s">
        <v>116</v>
      </c>
      <c r="E359" s="3" t="s">
        <v>181</v>
      </c>
      <c r="F359" s="12" t="s">
        <v>4</v>
      </c>
      <c r="G359" s="3" t="s">
        <v>4</v>
      </c>
      <c r="H359" s="3" t="s">
        <v>116</v>
      </c>
      <c r="I359" s="3" t="s">
        <v>116</v>
      </c>
      <c r="J359" s="5"/>
      <c r="K359" s="5"/>
      <c r="L359" s="5"/>
      <c r="M359" s="5"/>
      <c r="N359" s="5"/>
      <c r="O359" s="5"/>
    </row>
    <row r="360" spans="1:15">
      <c r="A360" s="3" t="s">
        <v>727</v>
      </c>
      <c r="B360" s="3" t="s">
        <v>773</v>
      </c>
      <c r="C360" s="3" t="s">
        <v>116</v>
      </c>
      <c r="D360" s="3" t="s">
        <v>116</v>
      </c>
      <c r="E360" s="3" t="s">
        <v>181</v>
      </c>
      <c r="F360" s="12" t="s">
        <v>4</v>
      </c>
      <c r="G360" s="3" t="s">
        <v>4</v>
      </c>
      <c r="H360" s="3" t="s">
        <v>116</v>
      </c>
      <c r="I360" s="3" t="s">
        <v>116</v>
      </c>
      <c r="J360" s="5"/>
      <c r="K360" s="5"/>
      <c r="L360" s="5"/>
      <c r="M360" s="5"/>
      <c r="N360" s="5"/>
      <c r="O360" s="5"/>
    </row>
    <row r="361" spans="1:15">
      <c r="A361" s="3" t="s">
        <v>37</v>
      </c>
      <c r="B361" s="3" t="s">
        <v>38</v>
      </c>
      <c r="C361" s="3" t="s">
        <v>116</v>
      </c>
      <c r="D361" s="3" t="s">
        <v>116</v>
      </c>
      <c r="E361" s="3" t="s">
        <v>181</v>
      </c>
      <c r="F361" s="12" t="s">
        <v>6</v>
      </c>
      <c r="G361" s="3" t="s">
        <v>4</v>
      </c>
      <c r="H361" s="3" t="s">
        <v>116</v>
      </c>
      <c r="I361" s="3" t="s">
        <v>116</v>
      </c>
      <c r="J361" s="5"/>
      <c r="K361" s="5"/>
      <c r="L361" s="5"/>
      <c r="M361" s="5"/>
      <c r="N361" s="5"/>
      <c r="O361" s="5"/>
    </row>
    <row r="362" spans="1:15">
      <c r="A362" s="3" t="s">
        <v>395</v>
      </c>
      <c r="B362" s="3" t="s">
        <v>221</v>
      </c>
      <c r="C362" s="3" t="s">
        <v>116</v>
      </c>
      <c r="D362" s="3" t="s">
        <v>116</v>
      </c>
      <c r="E362" s="3" t="s">
        <v>181</v>
      </c>
      <c r="F362" s="12" t="s">
        <v>4</v>
      </c>
      <c r="G362" s="3" t="s">
        <v>4</v>
      </c>
      <c r="H362" s="3" t="s">
        <v>116</v>
      </c>
      <c r="I362" s="3" t="s">
        <v>116</v>
      </c>
      <c r="J362" s="5"/>
      <c r="K362" s="5"/>
      <c r="L362" s="5"/>
      <c r="M362" s="5"/>
      <c r="N362" s="5"/>
      <c r="O362" s="5"/>
    </row>
    <row r="363" spans="1:15">
      <c r="A363" s="3" t="s">
        <v>396</v>
      </c>
      <c r="B363" s="3" t="s">
        <v>222</v>
      </c>
      <c r="C363" s="3" t="s">
        <v>116</v>
      </c>
      <c r="D363" s="3" t="s">
        <v>116</v>
      </c>
      <c r="E363" s="3" t="s">
        <v>181</v>
      </c>
      <c r="F363" s="12" t="s">
        <v>4</v>
      </c>
      <c r="G363" s="3" t="s">
        <v>4</v>
      </c>
      <c r="H363" s="3" t="s">
        <v>116</v>
      </c>
      <c r="I363" s="3" t="s">
        <v>116</v>
      </c>
      <c r="J363" s="5"/>
      <c r="K363" s="5"/>
      <c r="L363" s="5"/>
      <c r="M363" s="5"/>
      <c r="N363" s="5"/>
      <c r="O363" s="5"/>
    </row>
    <row r="364" spans="1:15">
      <c r="A364" s="3" t="s">
        <v>223</v>
      </c>
      <c r="B364" s="3" t="s">
        <v>224</v>
      </c>
      <c r="C364" s="3" t="s">
        <v>116</v>
      </c>
      <c r="D364" s="3" t="s">
        <v>116</v>
      </c>
      <c r="E364" s="3" t="s">
        <v>181</v>
      </c>
      <c r="F364" s="12" t="s">
        <v>4</v>
      </c>
      <c r="G364" s="3" t="s">
        <v>4</v>
      </c>
      <c r="H364" s="3" t="s">
        <v>116</v>
      </c>
      <c r="I364" s="3" t="s">
        <v>116</v>
      </c>
      <c r="J364" s="5"/>
      <c r="K364" s="5"/>
      <c r="L364" s="5"/>
      <c r="M364" s="5"/>
      <c r="N364" s="5"/>
      <c r="O364" s="5"/>
    </row>
    <row r="365" spans="1:15">
      <c r="A365" s="3" t="s">
        <v>397</v>
      </c>
      <c r="B365" s="3" t="s">
        <v>225</v>
      </c>
      <c r="C365" s="3" t="s">
        <v>116</v>
      </c>
      <c r="D365" s="3" t="s">
        <v>116</v>
      </c>
      <c r="E365" s="3" t="s">
        <v>181</v>
      </c>
      <c r="F365" s="12" t="s">
        <v>4</v>
      </c>
      <c r="G365" s="3" t="s">
        <v>4</v>
      </c>
      <c r="H365" s="3" t="s">
        <v>116</v>
      </c>
      <c r="I365" s="3" t="s">
        <v>116</v>
      </c>
      <c r="J365" s="5"/>
      <c r="K365" s="5"/>
      <c r="L365" s="5"/>
      <c r="M365" s="5"/>
      <c r="N365" s="5"/>
      <c r="O365" s="5"/>
    </row>
    <row r="366" spans="1:15">
      <c r="A366" s="3" t="s">
        <v>226</v>
      </c>
      <c r="B366" s="3" t="s">
        <v>227</v>
      </c>
      <c r="C366" s="3" t="s">
        <v>116</v>
      </c>
      <c r="D366" s="3" t="s">
        <v>116</v>
      </c>
      <c r="E366" s="3" t="s">
        <v>181</v>
      </c>
      <c r="F366" s="12" t="s">
        <v>4</v>
      </c>
      <c r="G366" s="3" t="s">
        <v>4</v>
      </c>
      <c r="H366" s="3" t="s">
        <v>116</v>
      </c>
      <c r="I366" s="3" t="s">
        <v>116</v>
      </c>
      <c r="J366" s="5"/>
      <c r="K366" s="5"/>
      <c r="L366" s="5"/>
      <c r="M366" s="5"/>
      <c r="N366" s="5"/>
      <c r="O366" s="5"/>
    </row>
    <row r="367" spans="1:15">
      <c r="A367" s="3" t="s">
        <v>398</v>
      </c>
      <c r="B367" s="3" t="s">
        <v>228</v>
      </c>
      <c r="C367" s="3" t="s">
        <v>116</v>
      </c>
      <c r="D367" s="3" t="s">
        <v>116</v>
      </c>
      <c r="E367" s="3" t="s">
        <v>181</v>
      </c>
      <c r="F367" s="12" t="s">
        <v>4</v>
      </c>
      <c r="G367" s="3" t="s">
        <v>4</v>
      </c>
      <c r="H367" s="3" t="s">
        <v>116</v>
      </c>
      <c r="I367" s="3" t="s">
        <v>116</v>
      </c>
      <c r="J367" s="5"/>
      <c r="K367" s="5"/>
      <c r="L367" s="5"/>
      <c r="M367" s="5"/>
      <c r="N367" s="5"/>
      <c r="O367" s="5"/>
    </row>
    <row r="368" spans="1:15">
      <c r="A368" s="3" t="s">
        <v>420</v>
      </c>
      <c r="B368" s="3" t="s">
        <v>421</v>
      </c>
      <c r="C368" s="3" t="s">
        <v>116</v>
      </c>
      <c r="D368" s="3" t="s">
        <v>116</v>
      </c>
      <c r="E368" s="3" t="s">
        <v>181</v>
      </c>
      <c r="F368" s="12" t="s">
        <v>4</v>
      </c>
      <c r="G368" s="3" t="s">
        <v>4</v>
      </c>
      <c r="H368" s="3" t="s">
        <v>116</v>
      </c>
      <c r="I368" s="3" t="s">
        <v>116</v>
      </c>
      <c r="J368" s="5"/>
      <c r="K368" s="5"/>
      <c r="L368" s="5"/>
      <c r="M368" s="5"/>
      <c r="N368" s="5"/>
      <c r="O368" s="5"/>
    </row>
    <row r="369" spans="1:15">
      <c r="A369" s="3" t="s">
        <v>1051</v>
      </c>
      <c r="B369" s="3" t="s">
        <v>1052</v>
      </c>
      <c r="C369" s="3" t="s">
        <v>116</v>
      </c>
      <c r="D369" s="3" t="s">
        <v>116</v>
      </c>
      <c r="E369" s="3" t="s">
        <v>181</v>
      </c>
      <c r="F369" s="12" t="s">
        <v>4</v>
      </c>
      <c r="G369" s="3" t="s">
        <v>4</v>
      </c>
      <c r="H369" s="3" t="s">
        <v>116</v>
      </c>
      <c r="I369" s="3" t="s">
        <v>116</v>
      </c>
      <c r="J369" s="5"/>
      <c r="K369" s="5"/>
      <c r="L369" s="5"/>
      <c r="M369" s="5"/>
      <c r="N369" s="5"/>
      <c r="O369" s="5"/>
    </row>
    <row r="370" spans="1:15">
      <c r="A370" s="3" t="s">
        <v>399</v>
      </c>
      <c r="B370" s="3" t="s">
        <v>229</v>
      </c>
      <c r="C370" s="3" t="s">
        <v>116</v>
      </c>
      <c r="D370" s="3" t="s">
        <v>116</v>
      </c>
      <c r="E370" s="3" t="s">
        <v>181</v>
      </c>
      <c r="F370" s="12" t="s">
        <v>4</v>
      </c>
      <c r="G370" s="3" t="s">
        <v>4</v>
      </c>
      <c r="H370" s="3" t="s">
        <v>116</v>
      </c>
      <c r="I370" s="3" t="s">
        <v>116</v>
      </c>
      <c r="J370" s="5"/>
      <c r="K370" s="5"/>
      <c r="L370" s="5"/>
      <c r="M370" s="5"/>
      <c r="N370" s="5"/>
      <c r="O370" s="5"/>
    </row>
    <row r="371" spans="1:15">
      <c r="A371" s="3" t="s">
        <v>774</v>
      </c>
      <c r="B371" s="3" t="s">
        <v>775</v>
      </c>
      <c r="C371" s="3" t="s">
        <v>116</v>
      </c>
      <c r="D371" s="3" t="s">
        <v>116</v>
      </c>
      <c r="E371" s="3" t="s">
        <v>181</v>
      </c>
      <c r="F371" s="12" t="s">
        <v>4</v>
      </c>
      <c r="G371" s="3" t="s">
        <v>4</v>
      </c>
      <c r="H371" s="3" t="s">
        <v>116</v>
      </c>
      <c r="I371" s="3" t="s">
        <v>116</v>
      </c>
      <c r="J371" s="5"/>
      <c r="K371" s="5"/>
      <c r="L371" s="5"/>
      <c r="M371" s="5"/>
      <c r="N371" s="5"/>
      <c r="O371" s="5"/>
    </row>
    <row r="372" spans="1:15">
      <c r="A372" s="3" t="s">
        <v>1053</v>
      </c>
      <c r="B372" s="3" t="s">
        <v>1054</v>
      </c>
      <c r="C372" s="3" t="s">
        <v>116</v>
      </c>
      <c r="D372" s="3" t="s">
        <v>116</v>
      </c>
      <c r="E372" s="3" t="s">
        <v>181</v>
      </c>
      <c r="F372" s="12" t="s">
        <v>4</v>
      </c>
      <c r="G372" s="3" t="s">
        <v>4</v>
      </c>
      <c r="H372" s="3" t="s">
        <v>116</v>
      </c>
      <c r="I372" s="3" t="s">
        <v>116</v>
      </c>
      <c r="J372" s="5"/>
      <c r="K372" s="5"/>
      <c r="L372" s="5"/>
      <c r="M372" s="5"/>
      <c r="N372" s="5"/>
      <c r="O372" s="5"/>
    </row>
    <row r="373" spans="1:15">
      <c r="A373" s="3" t="s">
        <v>400</v>
      </c>
      <c r="B373" s="3" t="s">
        <v>230</v>
      </c>
      <c r="C373" s="3" t="s">
        <v>116</v>
      </c>
      <c r="D373" s="3" t="s">
        <v>116</v>
      </c>
      <c r="E373" s="3" t="s">
        <v>181</v>
      </c>
      <c r="F373" s="12" t="s">
        <v>4</v>
      </c>
      <c r="G373" s="3" t="s">
        <v>4</v>
      </c>
      <c r="H373" s="3" t="s">
        <v>116</v>
      </c>
      <c r="I373" s="3" t="s">
        <v>116</v>
      </c>
      <c r="J373" s="5"/>
      <c r="K373" s="5"/>
      <c r="L373" s="5"/>
      <c r="M373" s="5"/>
      <c r="N373" s="5"/>
      <c r="O373" s="5"/>
    </row>
    <row r="374" spans="1:15">
      <c r="A374" s="3" t="s">
        <v>401</v>
      </c>
      <c r="B374" s="3" t="s">
        <v>231</v>
      </c>
      <c r="C374" s="3" t="s">
        <v>116</v>
      </c>
      <c r="D374" s="3" t="s">
        <v>116</v>
      </c>
      <c r="E374" s="3" t="s">
        <v>181</v>
      </c>
      <c r="F374" s="12" t="s">
        <v>4</v>
      </c>
      <c r="G374" s="3" t="s">
        <v>4</v>
      </c>
      <c r="H374" s="3" t="s">
        <v>116</v>
      </c>
      <c r="I374" s="3" t="s">
        <v>116</v>
      </c>
      <c r="J374" s="5"/>
      <c r="K374" s="5"/>
      <c r="L374" s="5"/>
      <c r="M374" s="5"/>
      <c r="N374" s="5"/>
      <c r="O374" s="5"/>
    </row>
    <row r="375" spans="1:15">
      <c r="A375" s="3" t="s">
        <v>402</v>
      </c>
      <c r="B375" s="3" t="s">
        <v>232</v>
      </c>
      <c r="C375" s="3" t="s">
        <v>116</v>
      </c>
      <c r="D375" s="3" t="s">
        <v>116</v>
      </c>
      <c r="E375" s="3" t="s">
        <v>181</v>
      </c>
      <c r="F375" s="12" t="s">
        <v>4</v>
      </c>
      <c r="G375" s="3" t="s">
        <v>4</v>
      </c>
      <c r="H375" s="3" t="s">
        <v>116</v>
      </c>
      <c r="I375" s="3" t="s">
        <v>116</v>
      </c>
      <c r="J375" s="5"/>
      <c r="K375" s="5"/>
      <c r="L375" s="5"/>
      <c r="M375" s="5"/>
      <c r="N375" s="5"/>
      <c r="O375" s="5"/>
    </row>
    <row r="376" spans="1:15">
      <c r="A376" s="2"/>
      <c r="B376" s="2"/>
      <c r="C376" s="2"/>
      <c r="D376" s="2"/>
      <c r="E376" s="2"/>
      <c r="F376" s="10"/>
      <c r="G376" s="2"/>
      <c r="H376" s="2"/>
      <c r="I376" s="2"/>
      <c r="K376" s="2"/>
      <c r="L376" s="2"/>
      <c r="M376" s="2"/>
      <c r="N376" s="2"/>
      <c r="O376" s="2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5"/>
  <sheetViews>
    <sheetView topLeftCell="A4" workbookViewId="0">
      <selection activeCell="A21" sqref="A21:XFD33"/>
    </sheetView>
  </sheetViews>
  <sheetFormatPr defaultRowHeight="15"/>
  <cols>
    <col min="1" max="1" width="46.28515625" customWidth="1"/>
    <col min="2" max="2" width="16.7109375" customWidth="1"/>
    <col min="3" max="3" width="35.7109375" customWidth="1"/>
    <col min="4" max="4" width="15" customWidth="1"/>
    <col min="5" max="5" width="17.140625" customWidth="1"/>
    <col min="6" max="6" width="18.42578125" customWidth="1"/>
    <col min="7" max="7" width="20.85546875" customWidth="1"/>
    <col min="8" max="8" width="24.5703125" bestFit="1" customWidth="1"/>
    <col min="9" max="9" width="16.7109375" bestFit="1" customWidth="1"/>
    <col min="10" max="10" width="28.7109375" bestFit="1" customWidth="1"/>
    <col min="11" max="11" width="26.5703125" bestFit="1" customWidth="1"/>
    <col min="12" max="12" width="19.140625" bestFit="1" customWidth="1"/>
    <col min="13" max="13" width="31.5703125" bestFit="1" customWidth="1"/>
    <col min="14" max="14" width="24" bestFit="1" customWidth="1"/>
    <col min="15" max="15" width="26.28515625" bestFit="1" customWidth="1"/>
    <col min="16" max="16" width="22.42578125" bestFit="1" customWidth="1"/>
  </cols>
  <sheetData>
    <row r="1" spans="1:6" ht="22.5">
      <c r="A1" s="6" t="s">
        <v>82</v>
      </c>
      <c r="B1" s="6"/>
      <c r="C1" s="6"/>
      <c r="D1" s="6"/>
      <c r="E1" s="6"/>
      <c r="F1" s="6"/>
    </row>
    <row r="2" spans="1:6">
      <c r="A2" s="4" t="s">
        <v>39</v>
      </c>
      <c r="B2" s="4" t="s">
        <v>0</v>
      </c>
      <c r="C2" s="4" t="s">
        <v>1</v>
      </c>
      <c r="D2" s="4" t="s">
        <v>265</v>
      </c>
      <c r="E2" s="4" t="s">
        <v>266</v>
      </c>
      <c r="F2" s="4" t="s">
        <v>3</v>
      </c>
    </row>
    <row r="3" spans="1:6">
      <c r="A3" t="s">
        <v>718</v>
      </c>
      <c r="B3">
        <v>268130</v>
      </c>
      <c r="C3" t="s">
        <v>150</v>
      </c>
      <c r="D3" s="5"/>
      <c r="E3" s="5"/>
      <c r="F3" s="5" t="str">
        <f>_xll.AtlasFormulas.AtlasFunctions.AtlasTable("UAT",DataAreaId,"T.LedgerTable","%BlockedInJournal","","","","","","","AccountNum",$B3)</f>
        <v>Yes</v>
      </c>
    </row>
    <row r="4" spans="1:6">
      <c r="A4" t="s">
        <v>40</v>
      </c>
      <c r="B4">
        <v>321000</v>
      </c>
      <c r="C4" t="s">
        <v>19</v>
      </c>
      <c r="D4" s="5"/>
      <c r="E4" s="5"/>
      <c r="F4" s="5" t="str">
        <f>_xll.AtlasFormulas.AtlasFunctions.AtlasTable("UAT",DataAreaId,"T.LedgerTable","%BlockedInJournal","","","","","","","AccountNum",$B4)</f>
        <v>Yes</v>
      </c>
    </row>
    <row r="5" spans="1:6">
      <c r="A5" t="s">
        <v>41</v>
      </c>
      <c r="B5">
        <v>899991</v>
      </c>
      <c r="C5" t="s">
        <v>36</v>
      </c>
      <c r="D5" s="5"/>
      <c r="E5" s="5"/>
      <c r="F5" s="5" t="str">
        <f>_xll.AtlasFormulas.AtlasFunctions.AtlasTable("UAT",DataAreaId,"T.LedgerTable","%BlockedInJournal","","","","","","","AccountNum",$B5)</f>
        <v>Yes</v>
      </c>
    </row>
    <row r="6" spans="1:6">
      <c r="A6" t="s">
        <v>42</v>
      </c>
      <c r="B6">
        <v>899991</v>
      </c>
      <c r="C6" t="s">
        <v>36</v>
      </c>
      <c r="D6" s="5"/>
      <c r="E6" s="5"/>
      <c r="F6" s="5" t="str">
        <f>_xll.AtlasFormulas.AtlasFunctions.AtlasTable("UAT",DataAreaId,"T.LedgerTable","%BlockedInJournal","","","","","","","AccountNum",$B6)</f>
        <v>Yes</v>
      </c>
    </row>
    <row r="7" spans="1:6">
      <c r="A7" t="s">
        <v>43</v>
      </c>
      <c r="B7">
        <v>390000</v>
      </c>
      <c r="C7" t="s">
        <v>21</v>
      </c>
      <c r="D7" s="5"/>
      <c r="E7" s="5"/>
      <c r="F7" s="5" t="str">
        <f>_xll.AtlasFormulas.AtlasFunctions.AtlasTable("UAT",DataAreaId,"T.LedgerTable","%BlockedInJournal","","","","","","","AccountNum",$B7)</f>
        <v>Yes</v>
      </c>
    </row>
    <row r="8" spans="1:6">
      <c r="A8" t="s">
        <v>44</v>
      </c>
      <c r="B8">
        <v>321000</v>
      </c>
      <c r="C8" t="s">
        <v>19</v>
      </c>
      <c r="D8" s="5"/>
      <c r="E8" s="5"/>
      <c r="F8" s="5" t="str">
        <f>_xll.AtlasFormulas.AtlasFunctions.AtlasTable("UAT",DataAreaId,"T.LedgerTable","%BlockedInJournal","","","","","","","AccountNum",$B8)</f>
        <v>Yes</v>
      </c>
    </row>
    <row r="9" spans="1:6">
      <c r="A9" t="s">
        <v>45</v>
      </c>
      <c r="B9">
        <v>906000</v>
      </c>
      <c r="C9" t="s">
        <v>38</v>
      </c>
      <c r="D9" s="5"/>
      <c r="E9" s="5"/>
      <c r="F9" s="5" t="str">
        <f>_xll.AtlasFormulas.AtlasFunctions.AtlasTable("UAT",DataAreaId,"T.LedgerTable","%BlockedInJournal","","","","","","","AccountNum",$B9)</f>
        <v>Yes</v>
      </c>
    </row>
    <row r="10" spans="1:6">
      <c r="A10" t="s">
        <v>46</v>
      </c>
      <c r="B10">
        <v>405000</v>
      </c>
      <c r="C10" t="s">
        <v>25</v>
      </c>
      <c r="D10" s="5"/>
      <c r="E10" s="5"/>
      <c r="F10" s="5" t="str">
        <f>_xll.AtlasFormulas.AtlasFunctions.AtlasTable("UAT",DataAreaId,"T.LedgerTable","%BlockedInJournal","","","","","","","AccountNum",$B10)</f>
        <v>Yes</v>
      </c>
    </row>
    <row r="11" spans="1:6">
      <c r="A11" t="s">
        <v>47</v>
      </c>
      <c r="B11">
        <v>899991</v>
      </c>
      <c r="C11" t="s">
        <v>36</v>
      </c>
      <c r="D11" s="5"/>
      <c r="E11" s="5"/>
      <c r="F11" s="5" t="str">
        <f>_xll.AtlasFormulas.AtlasFunctions.AtlasTable("UAT",DataAreaId,"T.LedgerTable","%BlockedInJournal","","","","","","","AccountNum",$B11)</f>
        <v>Yes</v>
      </c>
    </row>
    <row r="12" spans="1:6">
      <c r="A12" t="s">
        <v>48</v>
      </c>
      <c r="B12">
        <v>401999</v>
      </c>
      <c r="C12" t="s">
        <v>23</v>
      </c>
      <c r="D12" s="5"/>
      <c r="E12" s="5"/>
      <c r="F12" s="5" t="str">
        <f>_xll.AtlasFormulas.AtlasFunctions.AtlasTable("UAT",DataAreaId,"T.LedgerTable","%BlockedInJournal","","","","","","","AccountNum",$B12)</f>
        <v>Yes</v>
      </c>
    </row>
    <row r="13" spans="1:6">
      <c r="A13" t="s">
        <v>49</v>
      </c>
      <c r="B13">
        <v>899991</v>
      </c>
      <c r="C13" t="s">
        <v>36</v>
      </c>
      <c r="D13" s="5"/>
      <c r="E13" s="5"/>
      <c r="F13" s="5" t="str">
        <f>_xll.AtlasFormulas.AtlasFunctions.AtlasTable("UAT",DataAreaId,"T.LedgerTable","%BlockedInJournal","","","","","","","AccountNum",$B13)</f>
        <v>Yes</v>
      </c>
    </row>
    <row r="15" spans="1:6">
      <c r="A15" t="s">
        <v>233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0"/>
  <sheetViews>
    <sheetView workbookViewId="0">
      <selection activeCell="D20" sqref="D20"/>
    </sheetView>
  </sheetViews>
  <sheetFormatPr defaultRowHeight="15"/>
  <cols>
    <col min="1" max="1" width="49.42578125" customWidth="1"/>
    <col min="2" max="2" width="30.7109375" customWidth="1"/>
    <col min="3" max="3" width="18.5703125" customWidth="1"/>
    <col min="4" max="4" width="21" customWidth="1"/>
    <col min="5" max="5" width="18" customWidth="1"/>
    <col min="6" max="6" width="17.42578125" customWidth="1"/>
    <col min="7" max="7" width="20.85546875" customWidth="1"/>
    <col min="8" max="8" width="19.7109375" customWidth="1"/>
    <col min="9" max="9" width="22" customWidth="1"/>
    <col min="10" max="10" width="20.85546875" customWidth="1"/>
    <col min="11" max="11" width="24" customWidth="1"/>
    <col min="12" max="12" width="26.28515625" customWidth="1"/>
    <col min="13" max="13" width="18" customWidth="1"/>
    <col min="14" max="14" width="17.42578125" customWidth="1"/>
    <col min="15" max="15" width="22.42578125" customWidth="1"/>
  </cols>
  <sheetData>
    <row r="1" spans="1:15" ht="22.5">
      <c r="A1" s="6" t="s">
        <v>574</v>
      </c>
      <c r="B1" s="6"/>
      <c r="C1" s="6"/>
      <c r="D1" s="6"/>
      <c r="E1" s="6"/>
      <c r="F1" s="6"/>
      <c r="G1" s="6"/>
      <c r="H1" s="4"/>
      <c r="I1" s="4"/>
      <c r="J1" s="4"/>
      <c r="K1" s="4"/>
      <c r="L1" s="4"/>
      <c r="M1" s="4"/>
      <c r="N1" s="4"/>
      <c r="O1" s="4"/>
    </row>
    <row r="2" spans="1:15">
      <c r="A2" s="4" t="s">
        <v>234</v>
      </c>
      <c r="B2" s="4" t="s">
        <v>58</v>
      </c>
      <c r="C2" s="4" t="s">
        <v>235</v>
      </c>
      <c r="D2" s="4" t="s">
        <v>236</v>
      </c>
      <c r="E2" s="4" t="s">
        <v>237</v>
      </c>
      <c r="F2" s="4" t="s">
        <v>238</v>
      </c>
      <c r="G2" s="4" t="s">
        <v>239</v>
      </c>
    </row>
    <row r="3" spans="1:15">
      <c r="A3" s="3" t="s">
        <v>1055</v>
      </c>
      <c r="B3" s="3" t="s">
        <v>116</v>
      </c>
      <c r="C3" s="3" t="s">
        <v>116</v>
      </c>
      <c r="D3" s="3" t="s">
        <v>116</v>
      </c>
      <c r="E3" s="3" t="s">
        <v>116</v>
      </c>
      <c r="F3" s="3" t="s">
        <v>116</v>
      </c>
      <c r="G3" s="13" t="s">
        <v>116</v>
      </c>
    </row>
    <row r="4" spans="1:15">
      <c r="A4" s="3" t="s">
        <v>1354</v>
      </c>
      <c r="B4" s="3" t="s">
        <v>1629</v>
      </c>
      <c r="C4" s="3" t="s">
        <v>918</v>
      </c>
      <c r="D4" s="3" t="s">
        <v>922</v>
      </c>
      <c r="E4" s="3" t="s">
        <v>116</v>
      </c>
      <c r="F4" s="3" t="s">
        <v>116</v>
      </c>
      <c r="G4" s="13" t="s">
        <v>1355</v>
      </c>
    </row>
    <row r="5" spans="1:15">
      <c r="A5" s="3" t="s">
        <v>1356</v>
      </c>
      <c r="B5" s="3" t="s">
        <v>1630</v>
      </c>
      <c r="C5" s="3" t="s">
        <v>920</v>
      </c>
      <c r="D5" s="3" t="s">
        <v>922</v>
      </c>
      <c r="E5" s="3" t="s">
        <v>116</v>
      </c>
      <c r="F5" s="3" t="s">
        <v>116</v>
      </c>
      <c r="G5" s="13" t="s">
        <v>1355</v>
      </c>
    </row>
    <row r="6" spans="1:15">
      <c r="A6" s="3" t="s">
        <v>1357</v>
      </c>
      <c r="B6" s="3" t="s">
        <v>1631</v>
      </c>
      <c r="C6" s="3" t="s">
        <v>116</v>
      </c>
      <c r="D6" s="3" t="s">
        <v>116</v>
      </c>
      <c r="E6" s="3" t="s">
        <v>1319</v>
      </c>
      <c r="F6" s="3" t="s">
        <v>470</v>
      </c>
      <c r="G6" s="13" t="s">
        <v>1355</v>
      </c>
    </row>
    <row r="7" spans="1:15">
      <c r="A7" s="3" t="s">
        <v>1358</v>
      </c>
      <c r="B7" s="3" t="s">
        <v>1359</v>
      </c>
      <c r="C7" s="3" t="s">
        <v>116</v>
      </c>
      <c r="D7" s="3" t="s">
        <v>924</v>
      </c>
      <c r="E7" s="3" t="s">
        <v>116</v>
      </c>
      <c r="F7" s="3" t="s">
        <v>116</v>
      </c>
      <c r="G7" s="13" t="s">
        <v>1355</v>
      </c>
    </row>
    <row r="8" spans="1:15">
      <c r="A8" s="4"/>
      <c r="B8" s="4"/>
      <c r="C8" s="4"/>
      <c r="D8" s="4"/>
      <c r="E8" s="4"/>
      <c r="F8" s="4"/>
      <c r="G8" s="4"/>
    </row>
    <row r="10" spans="1:15">
      <c r="A10" t="s">
        <v>240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6"/>
  <sheetViews>
    <sheetView workbookViewId="0">
      <selection activeCell="D14" sqref="D14"/>
    </sheetView>
  </sheetViews>
  <sheetFormatPr defaultRowHeight="15"/>
  <cols>
    <col min="1" max="1" width="11.7109375" customWidth="1"/>
    <col min="2" max="2" width="15.140625" customWidth="1"/>
    <col min="3" max="3" width="24.7109375" customWidth="1"/>
    <col min="4" max="4" width="17.42578125" customWidth="1"/>
    <col min="5" max="5" width="19" customWidth="1"/>
    <col min="6" max="6" width="18.42578125" customWidth="1"/>
    <col min="7" max="7" width="16" customWidth="1"/>
    <col min="8" max="8" width="19.5703125" customWidth="1"/>
    <col min="9" max="9" width="27.140625" customWidth="1"/>
  </cols>
  <sheetData>
    <row r="1" spans="1:9" ht="22.5">
      <c r="A1" s="6" t="s">
        <v>241</v>
      </c>
      <c r="B1" s="6"/>
      <c r="C1" s="6"/>
      <c r="D1" s="6"/>
      <c r="E1" s="6"/>
      <c r="F1" s="6"/>
      <c r="G1" s="6"/>
      <c r="H1" s="6"/>
      <c r="I1" s="6"/>
    </row>
    <row r="2" spans="1:9">
      <c r="A2" s="4" t="s">
        <v>84</v>
      </c>
      <c r="B2" s="4" t="s">
        <v>50</v>
      </c>
      <c r="C2" s="4" t="s">
        <v>51</v>
      </c>
      <c r="D2" s="4" t="s">
        <v>277</v>
      </c>
      <c r="E2" s="4" t="s">
        <v>52</v>
      </c>
      <c r="F2" s="4" t="s">
        <v>3</v>
      </c>
      <c r="G2" s="4" t="s">
        <v>53</v>
      </c>
      <c r="H2" s="4" t="s">
        <v>243</v>
      </c>
      <c r="I2" s="4" t="s">
        <v>242</v>
      </c>
    </row>
    <row r="3" spans="1:9">
      <c r="A3" s="3" t="s">
        <v>83</v>
      </c>
      <c r="B3" s="3" t="s">
        <v>54</v>
      </c>
      <c r="C3" s="13" t="s">
        <v>1369</v>
      </c>
      <c r="D3" s="5" t="str">
        <f>_xll.AtlasFormulas.AtlasFunctions.AtlasTable("UAT",DataAreaId,"T.CustTable","%Name","","","","","","","AccountNum",$C3)</f>
        <v>S&amp;P Clever Reinforcement Company AG</v>
      </c>
      <c r="E3" s="13" t="s">
        <v>951</v>
      </c>
      <c r="F3" s="5" t="str">
        <f>_xll.AtlasFormulas.AtlasFunctions.AtlasTable("UAT",DataAreaId,"T.LedgerTable","%BlockedInJournal","","","","","","","AccountNum",$E3)</f>
        <v>Yes</v>
      </c>
      <c r="G3" s="3" t="s">
        <v>8</v>
      </c>
      <c r="H3" s="5" t="str">
        <f>_xll.AtlasFormulas.AtlasFunctions.AtlasTable("UAT",DataAreaId,"T.LedgerTable","%BlockedInJournal","","","","","","","AccountNum",$G3)</f>
        <v>No</v>
      </c>
      <c r="I3" s="3" t="s">
        <v>116</v>
      </c>
    </row>
    <row r="4" spans="1:9">
      <c r="A4" s="3" t="s">
        <v>83</v>
      </c>
      <c r="B4" s="3" t="s">
        <v>54</v>
      </c>
      <c r="C4" s="13" t="s">
        <v>1370</v>
      </c>
      <c r="D4" s="5" t="str">
        <f>_xll.AtlasFormulas.AtlasFunctions.AtlasTable("UAT",DataAreaId,"T.CustTable","%Name","","","","","","","AccountNum",$C4)</f>
        <v>S&amp;P Clever Reinforcement Company AG</v>
      </c>
      <c r="E4" s="13" t="s">
        <v>951</v>
      </c>
      <c r="F4" s="5" t="str">
        <f>_xll.AtlasFormulas.AtlasFunctions.AtlasTable("UAT",DataAreaId,"T.LedgerTable","%BlockedInJournal","","","","","","","AccountNum",$E4)</f>
        <v>Yes</v>
      </c>
      <c r="G4" s="3" t="s">
        <v>8</v>
      </c>
      <c r="H4" s="5" t="str">
        <f>_xll.AtlasFormulas.AtlasFunctions.AtlasTable("UAT",DataAreaId,"T.LedgerTable","%BlockedInJournal","","","","","","","AccountNum",$G4)</f>
        <v>No</v>
      </c>
      <c r="I4" s="3" t="s">
        <v>116</v>
      </c>
    </row>
    <row r="5" spans="1:9">
      <c r="A5" s="3" t="s">
        <v>83</v>
      </c>
      <c r="B5" s="3" t="s">
        <v>54</v>
      </c>
      <c r="C5" s="13" t="s">
        <v>1371</v>
      </c>
      <c r="D5" s="5" t="str">
        <f>_xll.AtlasFormulas.AtlasFunctions.AtlasTable("UAT",DataAreaId,"T.CustTable","%Name","","","","","","","AccountNum",$C5)</f>
        <v>S&amp;P Clever Reinforcement Company Benelux</v>
      </c>
      <c r="E5" s="13" t="s">
        <v>955</v>
      </c>
      <c r="F5" s="5" t="str">
        <f>_xll.AtlasFormulas.AtlasFunctions.AtlasTable("UAT",DataAreaId,"T.LedgerTable","%BlockedInJournal","","","","","","","AccountNum",$E5)</f>
        <v>Yes</v>
      </c>
      <c r="G5" s="3" t="s">
        <v>8</v>
      </c>
      <c r="H5" s="5" t="str">
        <f>_xll.AtlasFormulas.AtlasFunctions.AtlasTable("UAT",DataAreaId,"T.LedgerTable","%BlockedInJournal","","","","","","","AccountNum",$G5)</f>
        <v>No</v>
      </c>
      <c r="I5" s="3" t="s">
        <v>116</v>
      </c>
    </row>
    <row r="6" spans="1:9">
      <c r="A6" s="3" t="s">
        <v>83</v>
      </c>
      <c r="B6" s="3" t="s">
        <v>54</v>
      </c>
      <c r="C6" s="13" t="s">
        <v>1372</v>
      </c>
      <c r="D6" s="5" t="str">
        <f>_xll.AtlasFormulas.AtlasFunctions.AtlasTable("UAT",DataAreaId,"T.CustTable","%Name","","","","","","","AccountNum",$C6)</f>
        <v>S&amp;P Polska Sp. z o.o.</v>
      </c>
      <c r="E6" s="13" t="s">
        <v>953</v>
      </c>
      <c r="F6" s="5" t="str">
        <f>_xll.AtlasFormulas.AtlasFunctions.AtlasTable("UAT",DataAreaId,"T.LedgerTable","%BlockedInJournal","","","","","","","AccountNum",$E6)</f>
        <v>Yes</v>
      </c>
      <c r="G6" s="3" t="s">
        <v>8</v>
      </c>
      <c r="H6" s="5" t="str">
        <f>_xll.AtlasFormulas.AtlasFunctions.AtlasTable("UAT",DataAreaId,"T.LedgerTable","%BlockedInJournal","","","","","","","AccountNum",$G6)</f>
        <v>No</v>
      </c>
      <c r="I6" s="3" t="s">
        <v>116</v>
      </c>
    </row>
    <row r="7" spans="1:9">
      <c r="A7" s="3" t="s">
        <v>83</v>
      </c>
      <c r="B7" s="3" t="s">
        <v>54</v>
      </c>
      <c r="C7" s="13" t="s">
        <v>1373</v>
      </c>
      <c r="D7" s="5" t="str">
        <f>_xll.AtlasFormulas.AtlasFunctions.AtlasTable("UAT",DataAreaId,"T.CustTable","%Name","","","","","","","AccountNum",$C7)</f>
        <v>S&amp;P Clever Reinforcement GmbH</v>
      </c>
      <c r="E7" s="13" t="s">
        <v>959</v>
      </c>
      <c r="F7" s="5" t="str">
        <f>_xll.AtlasFormulas.AtlasFunctions.AtlasTable("UAT",DataAreaId,"T.LedgerTable","%BlockedInJournal","","","","","","","AccountNum",$E7)</f>
        <v>Yes</v>
      </c>
      <c r="G7" s="3" t="s">
        <v>8</v>
      </c>
      <c r="H7" s="5" t="str">
        <f>_xll.AtlasFormulas.AtlasFunctions.AtlasTable("UAT",DataAreaId,"T.LedgerTable","%BlockedInJournal","","","","","","","AccountNum",$G7)</f>
        <v>No</v>
      </c>
      <c r="I7" s="3" t="s">
        <v>116</v>
      </c>
    </row>
    <row r="8" spans="1:9">
      <c r="A8" s="3" t="s">
        <v>83</v>
      </c>
      <c r="B8" s="3" t="s">
        <v>54</v>
      </c>
      <c r="C8" s="13" t="s">
        <v>1374</v>
      </c>
      <c r="D8" s="5" t="str">
        <f>_xll.AtlasFormulas.AtlasFunctions.AtlasTable("UAT",DataAreaId,"T.CustTable","%Name","","","","","","","AccountNum",$C8)</f>
        <v>S&amp;P Reinforcement France</v>
      </c>
      <c r="E8" s="13" t="s">
        <v>961</v>
      </c>
      <c r="F8" s="5" t="str">
        <f>_xll.AtlasFormulas.AtlasFunctions.AtlasTable("UAT",DataAreaId,"T.LedgerTable","%BlockedInJournal","","","","","","","AccountNum",$E8)</f>
        <v>Yes</v>
      </c>
      <c r="G8" s="3" t="s">
        <v>8</v>
      </c>
      <c r="H8" s="5" t="str">
        <f>_xll.AtlasFormulas.AtlasFunctions.AtlasTable("UAT",DataAreaId,"T.LedgerTable","%BlockedInJournal","","","","","","","AccountNum",$G8)</f>
        <v>No</v>
      </c>
      <c r="I8" s="3" t="s">
        <v>116</v>
      </c>
    </row>
    <row r="9" spans="1:9">
      <c r="A9" s="3" t="s">
        <v>83</v>
      </c>
      <c r="B9" s="3" t="s">
        <v>54</v>
      </c>
      <c r="C9" s="13" t="s">
        <v>1375</v>
      </c>
      <c r="D9" s="5" t="str">
        <f>_xll.AtlasFormulas.AtlasFunctions.AtlasTable("UAT",DataAreaId,"T.CustTable","%Name","","","","","","","AccountNum",$C9)</f>
        <v>S&amp;P Reinforcement Nordic ApS</v>
      </c>
      <c r="E9" s="13" t="s">
        <v>965</v>
      </c>
      <c r="F9" s="5" t="str">
        <f>_xll.AtlasFormulas.AtlasFunctions.AtlasTable("UAT",DataAreaId,"T.LedgerTable","%BlockedInJournal","","","","","","","AccountNum",$E9)</f>
        <v>Yes</v>
      </c>
      <c r="G9" s="3" t="s">
        <v>8</v>
      </c>
      <c r="H9" s="5" t="str">
        <f>_xll.AtlasFormulas.AtlasFunctions.AtlasTable("UAT",DataAreaId,"T.LedgerTable","%BlockedInJournal","","","","","","","AccountNum",$G9)</f>
        <v>No</v>
      </c>
      <c r="I9" s="3" t="s">
        <v>116</v>
      </c>
    </row>
    <row r="10" spans="1:9">
      <c r="A10" s="3" t="s">
        <v>83</v>
      </c>
      <c r="B10" s="3" t="s">
        <v>54</v>
      </c>
      <c r="C10" s="13" t="s">
        <v>1376</v>
      </c>
      <c r="D10" s="5" t="str">
        <f>_xll.AtlasFormulas.AtlasFunctions.AtlasTable("UAT",DataAreaId,"T.CustTable","%Name","","","","","","","AccountNum",$C10)</f>
        <v>Clever Reinforcement Ib¨¦rica Lda</v>
      </c>
      <c r="E10" s="13" t="s">
        <v>957</v>
      </c>
      <c r="F10" s="5" t="str">
        <f>_xll.AtlasFormulas.AtlasFunctions.AtlasTable("UAT",DataAreaId,"T.LedgerTable","%BlockedInJournal","","","","","","","AccountNum",$E10)</f>
        <v>Yes</v>
      </c>
      <c r="G10" s="3" t="s">
        <v>8</v>
      </c>
      <c r="H10" s="5" t="str">
        <f>_xll.AtlasFormulas.AtlasFunctions.AtlasTable("UAT",DataAreaId,"T.LedgerTable","%BlockedInJournal","","","","","","","AccountNum",$G10)</f>
        <v>No</v>
      </c>
      <c r="I10" s="3" t="s">
        <v>116</v>
      </c>
    </row>
    <row r="11" spans="1:9">
      <c r="A11" s="3" t="s">
        <v>83</v>
      </c>
      <c r="B11" s="3" t="s">
        <v>54</v>
      </c>
      <c r="C11" s="13" t="s">
        <v>1377</v>
      </c>
      <c r="D11" s="5" t="str">
        <f>_xll.AtlasFormulas.AtlasFunctions.AtlasTable("UAT",DataAreaId,"T.CustTable","%Name","","","","","","","AccountNum",$C11)</f>
        <v>Simpson Strong-Tie Manufacturing Inc.</v>
      </c>
      <c r="E11" s="13" t="s">
        <v>1378</v>
      </c>
      <c r="F11" s="5" t="str">
        <f>_xll.AtlasFormulas.AtlasFunctions.AtlasTable("UAT",DataAreaId,"T.LedgerTable","%BlockedInJournal","","","","","","","AccountNum",$E11)</f>
        <v>Yes</v>
      </c>
      <c r="G11" s="3" t="s">
        <v>8</v>
      </c>
      <c r="H11" s="5" t="str">
        <f>_xll.AtlasFormulas.AtlasFunctions.AtlasTable("UAT",DataAreaId,"T.LedgerTable","%BlockedInJournal","","","","","","","AccountNum",$G11)</f>
        <v>No</v>
      </c>
      <c r="I11" s="3" t="s">
        <v>116</v>
      </c>
    </row>
    <row r="12" spans="1:9">
      <c r="A12" s="3" t="s">
        <v>83</v>
      </c>
      <c r="B12" s="3" t="s">
        <v>54</v>
      </c>
      <c r="C12" s="13" t="s">
        <v>1379</v>
      </c>
      <c r="D12" s="5" t="str">
        <f>_xll.AtlasFormulas.AtlasFunctions.AtlasTable("UAT",DataAreaId,"T.CustTable","%Name","","","","","","","AccountNum",$C12)</f>
        <v>Simpson Strong-Tie A/S</v>
      </c>
      <c r="E12" s="13" t="s">
        <v>950</v>
      </c>
      <c r="F12" s="5" t="str">
        <f>_xll.AtlasFormulas.AtlasFunctions.AtlasTable("UAT",DataAreaId,"T.LedgerTable","%BlockedInJournal","","","","","","","AccountNum",$E12)</f>
        <v>Yes</v>
      </c>
      <c r="G12" s="3" t="s">
        <v>8</v>
      </c>
      <c r="H12" s="5" t="str">
        <f>_xll.AtlasFormulas.AtlasFunctions.AtlasTable("UAT",DataAreaId,"T.LedgerTable","%BlockedInJournal","","","","","","","AccountNum",$G12)</f>
        <v>No</v>
      </c>
      <c r="I12" s="3" t="s">
        <v>116</v>
      </c>
    </row>
    <row r="13" spans="1:9">
      <c r="A13" s="3" t="s">
        <v>83</v>
      </c>
      <c r="B13" s="3" t="s">
        <v>54</v>
      </c>
      <c r="C13" s="13" t="s">
        <v>1380</v>
      </c>
      <c r="D13" s="5" t="str">
        <f>_xll.AtlasFormulas.AtlasFunctions.AtlasTable("UAT",DataAreaId,"T.CustTable","%Name","","","","","","","AccountNum",$C13)</f>
        <v>S&amp;P Clever Reinforcement Company AG</v>
      </c>
      <c r="E13" s="13" t="s">
        <v>951</v>
      </c>
      <c r="F13" s="5" t="str">
        <f>_xll.AtlasFormulas.AtlasFunctions.AtlasTable("UAT",DataAreaId,"T.LedgerTable","%BlockedInJournal","","","","","","","AccountNum",$E13)</f>
        <v>Yes</v>
      </c>
      <c r="G13" s="3" t="s">
        <v>8</v>
      </c>
      <c r="H13" s="5" t="str">
        <f>_xll.AtlasFormulas.AtlasFunctions.AtlasTable("UAT",DataAreaId,"T.LedgerTable","%BlockedInJournal","","","","","","","AccountNum",$G13)</f>
        <v>No</v>
      </c>
      <c r="I13" s="3" t="s">
        <v>116</v>
      </c>
    </row>
    <row r="14" spans="1:9">
      <c r="A14" s="3" t="s">
        <v>83</v>
      </c>
      <c r="B14" s="3" t="s">
        <v>55</v>
      </c>
      <c r="C14" s="13" t="s">
        <v>1360</v>
      </c>
      <c r="D14" s="5" t="str">
        <f>_xll.AtlasFormulas.AtlasFunctions.AtlasTable("UAT",DataAreaId,"T.CustTable","%Name","","","","","","","AccountNum",$C14)</f>
        <v/>
      </c>
      <c r="E14" s="13" t="s">
        <v>5</v>
      </c>
      <c r="F14" s="5" t="str">
        <f>_xll.AtlasFormulas.AtlasFunctions.AtlasTable("UAT",DataAreaId,"T.LedgerTable","%BlockedInJournal","","","","","","","AccountNum",$E14)</f>
        <v>No</v>
      </c>
      <c r="G14" s="3" t="s">
        <v>8</v>
      </c>
      <c r="H14" s="5" t="str">
        <f>_xll.AtlasFormulas.AtlasFunctions.AtlasTable("UAT",DataAreaId,"T.LedgerTable","%BlockedInJournal","","","","","","","AccountNum",$G14)</f>
        <v>No</v>
      </c>
      <c r="I14" s="3" t="s">
        <v>116</v>
      </c>
    </row>
    <row r="15" spans="1:9">
      <c r="A15" s="3" t="s">
        <v>83</v>
      </c>
      <c r="B15" s="3" t="s">
        <v>55</v>
      </c>
      <c r="C15" s="13" t="s">
        <v>1361</v>
      </c>
      <c r="D15" s="5" t="str">
        <f>_xll.AtlasFormulas.AtlasFunctions.AtlasTable("UAT",DataAreaId,"T.CustTable","%Name","","","","","","","AccountNum",$C15)</f>
        <v/>
      </c>
      <c r="E15" s="13" t="s">
        <v>5</v>
      </c>
      <c r="F15" s="5" t="str">
        <f>_xll.AtlasFormulas.AtlasFunctions.AtlasTable("UAT",DataAreaId,"T.LedgerTable","%BlockedInJournal","","","","","","","AccountNum",$E15)</f>
        <v>No</v>
      </c>
      <c r="G15" s="3" t="s">
        <v>8</v>
      </c>
      <c r="H15" s="5" t="str">
        <f>_xll.AtlasFormulas.AtlasFunctions.AtlasTable("UAT",DataAreaId,"T.LedgerTable","%BlockedInJournal","","","","","","","AccountNum",$G15)</f>
        <v>No</v>
      </c>
      <c r="I15" s="3" t="s">
        <v>116</v>
      </c>
    </row>
    <row r="16" spans="1:9">
      <c r="A16" s="3" t="s">
        <v>83</v>
      </c>
      <c r="B16" s="3" t="s">
        <v>55</v>
      </c>
      <c r="C16" s="13" t="s">
        <v>1362</v>
      </c>
      <c r="D16" s="5" t="str">
        <f>_xll.AtlasFormulas.AtlasFunctions.AtlasTable("UAT",DataAreaId,"T.CustTable","%Name","","","","","","","AccountNum",$C16)</f>
        <v/>
      </c>
      <c r="E16" s="13" t="s">
        <v>5</v>
      </c>
      <c r="F16" s="5" t="str">
        <f>_xll.AtlasFormulas.AtlasFunctions.AtlasTable("UAT",DataAreaId,"T.LedgerTable","%BlockedInJournal","","","","","","","AccountNum",$E16)</f>
        <v>No</v>
      </c>
      <c r="G16" s="3" t="s">
        <v>8</v>
      </c>
      <c r="H16" s="5" t="str">
        <f>_xll.AtlasFormulas.AtlasFunctions.AtlasTable("UAT",DataAreaId,"T.LedgerTable","%BlockedInJournal","","","","","","","AccountNum",$G16)</f>
        <v>No</v>
      </c>
      <c r="I16" s="3" t="s">
        <v>116</v>
      </c>
    </row>
    <row r="17" spans="1:9">
      <c r="A17" s="3" t="s">
        <v>83</v>
      </c>
      <c r="B17" s="3" t="s">
        <v>55</v>
      </c>
      <c r="C17" s="13" t="s">
        <v>1363</v>
      </c>
      <c r="D17" s="5" t="str">
        <f>_xll.AtlasFormulas.AtlasFunctions.AtlasTable("UAT",DataAreaId,"T.CustTable","%Name","","","","","","","AccountNum",$C17)</f>
        <v/>
      </c>
      <c r="E17" s="13" t="s">
        <v>5</v>
      </c>
      <c r="F17" s="5" t="str">
        <f>_xll.AtlasFormulas.AtlasFunctions.AtlasTable("UAT",DataAreaId,"T.LedgerTable","%BlockedInJournal","","","","","","","AccountNum",$E17)</f>
        <v>No</v>
      </c>
      <c r="G17" s="3" t="s">
        <v>8</v>
      </c>
      <c r="H17" s="5" t="str">
        <f>_xll.AtlasFormulas.AtlasFunctions.AtlasTable("UAT",DataAreaId,"T.LedgerTable","%BlockedInJournal","","","","","","","AccountNum",$G17)</f>
        <v>No</v>
      </c>
      <c r="I17" s="3" t="s">
        <v>116</v>
      </c>
    </row>
    <row r="18" spans="1:9">
      <c r="A18" s="3" t="s">
        <v>1364</v>
      </c>
      <c r="B18" s="3" t="s">
        <v>56</v>
      </c>
      <c r="C18" s="13" t="s">
        <v>116</v>
      </c>
      <c r="D18" s="5" t="str">
        <f>_xll.AtlasFormulas.AtlasFunctions.AtlasTable("UAT",DataAreaId,"T.CustTable","%Name","","","","","","","AccountNum",$C18)</f>
        <v/>
      </c>
      <c r="E18" s="13" t="s">
        <v>116</v>
      </c>
      <c r="F18" s="5" t="str">
        <f>_xll.AtlasFormulas.AtlasFunctions.AtlasTable("UAT",DataAreaId,"T.LedgerTable","%BlockedInJournal","","","","","","","AccountNum",$E18)</f>
        <v/>
      </c>
      <c r="G18" s="3" t="s">
        <v>323</v>
      </c>
      <c r="H18" s="5" t="str">
        <f>_xll.AtlasFormulas.AtlasFunctions.AtlasTable("UAT",DataAreaId,"T.LedgerTable","%BlockedInJournal","","","","","","","AccountNum",$G18)</f>
        <v>No</v>
      </c>
      <c r="I18" s="3" t="s">
        <v>116</v>
      </c>
    </row>
    <row r="19" spans="1:9">
      <c r="A19" s="3" t="s">
        <v>1365</v>
      </c>
      <c r="B19" s="3" t="s">
        <v>56</v>
      </c>
      <c r="C19" s="13" t="s">
        <v>116</v>
      </c>
      <c r="D19" s="5" t="str">
        <f>_xll.AtlasFormulas.AtlasFunctions.AtlasTable("UAT",DataAreaId,"T.CustTable","%Name","","","","","","","AccountNum",$C19)</f>
        <v/>
      </c>
      <c r="E19" s="13" t="s">
        <v>323</v>
      </c>
      <c r="F19" s="5" t="str">
        <f>_xll.AtlasFormulas.AtlasFunctions.AtlasTable("UAT",DataAreaId,"T.LedgerTable","%BlockedInJournal","","","","","","","AccountNum",$E19)</f>
        <v>No</v>
      </c>
      <c r="G19" s="3" t="s">
        <v>116</v>
      </c>
      <c r="H19" s="5" t="str">
        <f>_xll.AtlasFormulas.AtlasFunctions.AtlasTable("UAT",DataAreaId,"T.LedgerTable","%BlockedInJournal","","","","","","","AccountNum",$G19)</f>
        <v/>
      </c>
      <c r="I19" s="3" t="s">
        <v>116</v>
      </c>
    </row>
    <row r="20" spans="1:9">
      <c r="A20" s="3" t="s">
        <v>1366</v>
      </c>
      <c r="B20" s="3" t="s">
        <v>56</v>
      </c>
      <c r="C20" s="13" t="s">
        <v>116</v>
      </c>
      <c r="D20" s="5" t="str">
        <f>_xll.AtlasFormulas.AtlasFunctions.AtlasTable("UAT",DataAreaId,"T.CustTable","%Name","","","","","","","AccountNum",$C20)</f>
        <v/>
      </c>
      <c r="E20" s="13" t="s">
        <v>324</v>
      </c>
      <c r="F20" s="5" t="str">
        <f>_xll.AtlasFormulas.AtlasFunctions.AtlasTable("UAT",DataAreaId,"T.LedgerTable","%BlockedInJournal","","","","","","","AccountNum",$E20)</f>
        <v>No</v>
      </c>
      <c r="G20" s="3" t="s">
        <v>116</v>
      </c>
      <c r="H20" s="5" t="str">
        <f>_xll.AtlasFormulas.AtlasFunctions.AtlasTable("UAT",DataAreaId,"T.LedgerTable","%BlockedInJournal","","","","","","","AccountNum",$G20)</f>
        <v/>
      </c>
      <c r="I20" s="3" t="s">
        <v>116</v>
      </c>
    </row>
    <row r="21" spans="1:9">
      <c r="A21" s="3" t="s">
        <v>1367</v>
      </c>
      <c r="B21" s="3" t="s">
        <v>56</v>
      </c>
      <c r="C21" s="13" t="s">
        <v>116</v>
      </c>
      <c r="D21" s="5" t="str">
        <f>_xll.AtlasFormulas.AtlasFunctions.AtlasTable("UAT",DataAreaId,"T.CustTable","%Name","","","","","","","AccountNum",$C21)</f>
        <v/>
      </c>
      <c r="E21" s="13" t="s">
        <v>588</v>
      </c>
      <c r="F21" s="5" t="str">
        <f>_xll.AtlasFormulas.AtlasFunctions.AtlasTable("UAT",DataAreaId,"T.LedgerTable","%BlockedInJournal","","","","","","","AccountNum",$E21)</f>
        <v>No</v>
      </c>
      <c r="G21" s="3" t="s">
        <v>116</v>
      </c>
      <c r="H21" s="5" t="str">
        <f>_xll.AtlasFormulas.AtlasFunctions.AtlasTable("UAT",DataAreaId,"T.LedgerTable","%BlockedInJournal","","","","","","","AccountNum",$G21)</f>
        <v/>
      </c>
      <c r="I21" s="3" t="s">
        <v>116</v>
      </c>
    </row>
    <row r="22" spans="1:9">
      <c r="A22" s="3" t="s">
        <v>1368</v>
      </c>
      <c r="B22" s="3" t="s">
        <v>56</v>
      </c>
      <c r="C22" s="13" t="s">
        <v>116</v>
      </c>
      <c r="D22" s="5" t="str">
        <f>_xll.AtlasFormulas.AtlasFunctions.AtlasTable("UAT",DataAreaId,"T.CustTable","%Name","","","","","","","AccountNum",$C22)</f>
        <v/>
      </c>
      <c r="E22" s="13" t="s">
        <v>589</v>
      </c>
      <c r="F22" s="5" t="str">
        <f>_xll.AtlasFormulas.AtlasFunctions.AtlasTable("UAT",DataAreaId,"T.LedgerTable","%BlockedInJournal","","","","","","","AccountNum",$E22)</f>
        <v>No</v>
      </c>
      <c r="G22" s="3" t="s">
        <v>116</v>
      </c>
      <c r="H22" s="5" t="str">
        <f>_xll.AtlasFormulas.AtlasFunctions.AtlasTable("UAT",DataAreaId,"T.LedgerTable","%BlockedInJournal","","","","","","","AccountNum",$G22)</f>
        <v/>
      </c>
      <c r="I22" s="3" t="s">
        <v>116</v>
      </c>
    </row>
    <row r="23" spans="1:9">
      <c r="A23" s="3" t="s">
        <v>590</v>
      </c>
      <c r="B23" s="3" t="s">
        <v>56</v>
      </c>
      <c r="C23" s="13" t="s">
        <v>116</v>
      </c>
      <c r="D23" s="5" t="str">
        <f>_xll.AtlasFormulas.AtlasFunctions.AtlasTable("UAT",DataAreaId,"T.CustTable","%Name","","","","","","","AccountNum",$C23)</f>
        <v/>
      </c>
      <c r="E23" s="13" t="s">
        <v>7</v>
      </c>
      <c r="F23" s="5" t="str">
        <f>_xll.AtlasFormulas.AtlasFunctions.AtlasTable("UAT",DataAreaId,"T.LedgerTable","%BlockedInJournal","","","","","","","AccountNum",$E23)</f>
        <v>No</v>
      </c>
      <c r="G23" s="3" t="s">
        <v>7</v>
      </c>
      <c r="H23" s="5" t="str">
        <f>_xll.AtlasFormulas.AtlasFunctions.AtlasTable("UAT",DataAreaId,"T.LedgerTable","%BlockedInJournal","","","","","","","AccountNum",$G23)</f>
        <v>No</v>
      </c>
      <c r="I23" s="3" t="s">
        <v>116</v>
      </c>
    </row>
    <row r="24" spans="1:9">
      <c r="A24" s="4"/>
      <c r="B24" s="4"/>
      <c r="C24" s="4"/>
      <c r="D24" s="4"/>
      <c r="E24" s="4"/>
      <c r="F24" s="4"/>
      <c r="G24" s="4"/>
      <c r="H24" s="4"/>
      <c r="I24" s="4"/>
    </row>
    <row r="26" spans="1:9">
      <c r="A26" t="s">
        <v>244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7"/>
  <sheetViews>
    <sheetView workbookViewId="0">
      <selection activeCell="D25" sqref="D25"/>
    </sheetView>
  </sheetViews>
  <sheetFormatPr defaultRowHeight="15"/>
  <cols>
    <col min="1" max="1" width="39.42578125" customWidth="1"/>
    <col min="2" max="2" width="15.140625" customWidth="1"/>
    <col min="3" max="3" width="24.7109375" customWidth="1"/>
    <col min="4" max="4" width="41.85546875" customWidth="1"/>
    <col min="5" max="5" width="19" customWidth="1"/>
    <col min="6" max="6" width="18.42578125" customWidth="1"/>
    <col min="7" max="7" width="16" customWidth="1"/>
    <col min="8" max="8" width="19.5703125" customWidth="1"/>
  </cols>
  <sheetData>
    <row r="1" spans="1:8" ht="22.5">
      <c r="A1" s="6" t="s">
        <v>258</v>
      </c>
      <c r="B1" s="6"/>
      <c r="C1" s="6"/>
      <c r="D1" s="6"/>
      <c r="E1" s="6"/>
      <c r="F1" s="6"/>
      <c r="G1" s="6"/>
      <c r="H1" s="6"/>
    </row>
    <row r="2" spans="1:8">
      <c r="A2" s="4" t="s">
        <v>84</v>
      </c>
      <c r="B2" s="4" t="s">
        <v>50</v>
      </c>
      <c r="C2" s="4" t="s">
        <v>51</v>
      </c>
      <c r="D2" s="4" t="s">
        <v>278</v>
      </c>
      <c r="E2" s="4" t="s">
        <v>52</v>
      </c>
      <c r="F2" s="4" t="s">
        <v>3</v>
      </c>
      <c r="G2" s="4" t="s">
        <v>53</v>
      </c>
      <c r="H2" s="4" t="s">
        <v>243</v>
      </c>
    </row>
    <row r="3" spans="1:8">
      <c r="A3" s="3" t="s">
        <v>259</v>
      </c>
      <c r="B3" s="3" t="s">
        <v>54</v>
      </c>
      <c r="C3" s="3" t="s">
        <v>1381</v>
      </c>
      <c r="D3" s="5" t="str">
        <f>_xll.AtlasFormulas.AtlasFunctions.AtlasTable("UAT",DataAreaId,"T.VendTable","%Name","","","","","","","AccountNum",$C3)</f>
        <v>S&amp;P Clever Reinforcement GmbH</v>
      </c>
      <c r="E3" s="3" t="s">
        <v>16</v>
      </c>
      <c r="F3" s="5" t="str">
        <f>_xll.AtlasFormulas.AtlasFunctions.AtlasTable("UAT",DataAreaId,"T.LedgerTable","%BlockedInJournal","","","","","","","AccountNum",$E3)</f>
        <v>Yes</v>
      </c>
      <c r="G3" s="3" t="s">
        <v>116</v>
      </c>
      <c r="H3" s="5"/>
    </row>
    <row r="4" spans="1:8">
      <c r="A4" s="3" t="s">
        <v>259</v>
      </c>
      <c r="B4" s="3" t="s">
        <v>54</v>
      </c>
      <c r="C4" s="3" t="s">
        <v>1382</v>
      </c>
      <c r="D4" s="5" t="str">
        <f>_xll.AtlasFormulas.AtlasFunctions.AtlasTable("UAT",DataAreaId,"T.VendTable","%Name","","","","","","","AccountNum",$C4)</f>
        <v>S&amp;P Polska Sp. z o.o.</v>
      </c>
      <c r="E4" s="3" t="s">
        <v>12</v>
      </c>
      <c r="F4" s="5" t="str">
        <f>_xll.AtlasFormulas.AtlasFunctions.AtlasTable("UAT",DataAreaId,"T.LedgerTable","%BlockedInJournal","","","","","","","AccountNum",$E4)</f>
        <v>Yes</v>
      </c>
      <c r="G4" s="3" t="s">
        <v>116</v>
      </c>
      <c r="H4" s="5"/>
    </row>
    <row r="5" spans="1:8">
      <c r="A5" s="3" t="s">
        <v>259</v>
      </c>
      <c r="B5" s="3" t="s">
        <v>54</v>
      </c>
      <c r="C5" s="3" t="s">
        <v>1383</v>
      </c>
      <c r="D5" s="5" t="str">
        <f>_xll.AtlasFormulas.AtlasFunctions.AtlasTable("UAT",DataAreaId,"T.VendTable","%Name","","","","","","","AccountNum",$C5)</f>
        <v>S&amp;P Clever Reinforcement Company Benelux</v>
      </c>
      <c r="E5" s="3" t="s">
        <v>14</v>
      </c>
      <c r="F5" s="5" t="str">
        <f>_xll.AtlasFormulas.AtlasFunctions.AtlasTable("UAT",DataAreaId,"T.LedgerTable","%BlockedInJournal","","","","","","","AccountNum",$E5)</f>
        <v>Yes</v>
      </c>
      <c r="G5" s="3" t="s">
        <v>116</v>
      </c>
      <c r="H5" s="5"/>
    </row>
    <row r="6" spans="1:8">
      <c r="A6" s="3" t="s">
        <v>259</v>
      </c>
      <c r="B6" s="3" t="s">
        <v>54</v>
      </c>
      <c r="C6" s="3" t="s">
        <v>1384</v>
      </c>
      <c r="D6" s="5" t="str">
        <f>_xll.AtlasFormulas.AtlasFunctions.AtlasTable("UAT",DataAreaId,"T.VendTable","%Name","","","","","","","AccountNum",$C6)</f>
        <v>S&amp;P Handels GmbH</v>
      </c>
      <c r="E6" s="3" t="s">
        <v>13</v>
      </c>
      <c r="F6" s="5" t="str">
        <f>_xll.AtlasFormulas.AtlasFunctions.AtlasTable("UAT",DataAreaId,"T.LedgerTable","%BlockedInJournal","","","","","","","AccountNum",$E6)</f>
        <v>Yes</v>
      </c>
      <c r="G6" s="3" t="s">
        <v>116</v>
      </c>
      <c r="H6" s="5"/>
    </row>
    <row r="7" spans="1:8">
      <c r="A7" s="3" t="s">
        <v>259</v>
      </c>
      <c r="B7" s="3" t="s">
        <v>54</v>
      </c>
      <c r="C7" s="3" t="s">
        <v>1385</v>
      </c>
      <c r="D7" s="5" t="str">
        <f>_xll.AtlasFormulas.AtlasFunctions.AtlasTable("UAT",DataAreaId,"T.VendTable","%Name","","","","","","","AccountNum",$C7)</f>
        <v>S&amp;P Clever Reinforcement Company AG</v>
      </c>
      <c r="E7" s="3" t="s">
        <v>11</v>
      </c>
      <c r="F7" s="5" t="str">
        <f>_xll.AtlasFormulas.AtlasFunctions.AtlasTable("UAT",DataAreaId,"T.LedgerTable","%BlockedInJournal","","","","","","","AccountNum",$E7)</f>
        <v>Yes</v>
      </c>
      <c r="G7" s="3" t="s">
        <v>116</v>
      </c>
      <c r="H7" s="5"/>
    </row>
    <row r="8" spans="1:8">
      <c r="A8" s="3" t="s">
        <v>259</v>
      </c>
      <c r="B8" s="3" t="s">
        <v>54</v>
      </c>
      <c r="C8" s="3" t="s">
        <v>1386</v>
      </c>
      <c r="D8" s="5" t="str">
        <f>_xll.AtlasFormulas.AtlasFunctions.AtlasTable("UAT",DataAreaId,"T.VendTable","%Name","","","","","","","AccountNum",$C8)</f>
        <v>S&amp;P Clever Reinforcement Ibérica Lda</v>
      </c>
      <c r="E8" s="3" t="s">
        <v>15</v>
      </c>
      <c r="F8" s="5" t="str">
        <f>_xll.AtlasFormulas.AtlasFunctions.AtlasTable("UAT",DataAreaId,"T.LedgerTable","%BlockedInJournal","","","","","","","AccountNum",$E8)</f>
        <v>Yes</v>
      </c>
      <c r="G8" s="3" t="s">
        <v>116</v>
      </c>
      <c r="H8" s="5"/>
    </row>
    <row r="9" spans="1:8">
      <c r="A9" s="3" t="s">
        <v>259</v>
      </c>
      <c r="B9" s="3" t="s">
        <v>54</v>
      </c>
      <c r="C9" s="3" t="s">
        <v>1387</v>
      </c>
      <c r="D9" s="5" t="str">
        <f>_xll.AtlasFormulas.AtlasFunctions.AtlasTable("UAT",DataAreaId,"T.VendTable","%Name","","","","","","","AccountNum",$C9)</f>
        <v>S&amp;P Clever Reinforcement Company AG</v>
      </c>
      <c r="E9" s="3" t="s">
        <v>11</v>
      </c>
      <c r="F9" s="5" t="str">
        <f>_xll.AtlasFormulas.AtlasFunctions.AtlasTable("UAT",DataAreaId,"T.LedgerTable","%BlockedInJournal","","","","","","","AccountNum",$E9)</f>
        <v>Yes</v>
      </c>
      <c r="G9" s="3" t="s">
        <v>116</v>
      </c>
      <c r="H9" s="5"/>
    </row>
    <row r="10" spans="1:8">
      <c r="A10" s="3" t="s">
        <v>259</v>
      </c>
      <c r="B10" s="3" t="s">
        <v>54</v>
      </c>
      <c r="C10" s="3" t="s">
        <v>1388</v>
      </c>
      <c r="D10" s="5" t="str">
        <f>_xll.AtlasFormulas.AtlasFunctions.AtlasTable("UAT",DataAreaId,"T.VendTable","%Name","","","","","","","AccountNum",$C10)</f>
        <v>Simpson Strong-Tie France</v>
      </c>
      <c r="E10" s="3" t="s">
        <v>942</v>
      </c>
      <c r="F10" s="5" t="str">
        <f>_xll.AtlasFormulas.AtlasFunctions.AtlasTable("UAT",DataAreaId,"T.LedgerTable","%BlockedInJournal","","","","","","","AccountNum",$E10)</f>
        <v>Yes</v>
      </c>
      <c r="G10" s="3" t="s">
        <v>116</v>
      </c>
      <c r="H10" s="5"/>
    </row>
    <row r="11" spans="1:8">
      <c r="A11" s="3" t="s">
        <v>259</v>
      </c>
      <c r="B11" s="3" t="s">
        <v>54</v>
      </c>
      <c r="C11" s="3" t="s">
        <v>1389</v>
      </c>
      <c r="D11" s="5" t="str">
        <f>_xll.AtlasFormulas.AtlasFunctions.AtlasTable("UAT",DataAreaId,"T.VendTable","%Name","","","","","","","AccountNum",$C11)</f>
        <v>SOCOM S.A.S.</v>
      </c>
      <c r="E11" s="3" t="s">
        <v>747</v>
      </c>
      <c r="F11" s="5" t="str">
        <f>_xll.AtlasFormulas.AtlasFunctions.AtlasTable("UAT",DataAreaId,"T.LedgerTable","%BlockedInJournal","","","","","","","AccountNum",$E11)</f>
        <v>Yes</v>
      </c>
      <c r="G11" s="3" t="s">
        <v>116</v>
      </c>
      <c r="H11" s="5"/>
    </row>
    <row r="12" spans="1:8">
      <c r="A12" s="3" t="s">
        <v>259</v>
      </c>
      <c r="B12" s="3" t="s">
        <v>54</v>
      </c>
      <c r="C12" s="3" t="s">
        <v>1390</v>
      </c>
      <c r="D12" s="5" t="str">
        <f>_xll.AtlasFormulas.AtlasFunctions.AtlasTable("UAT",DataAreaId,"T.VendTable","%Name","","","","","","","AccountNum",$C12)</f>
        <v>S&amp;P Reinforcement France</v>
      </c>
      <c r="E12" s="3" t="s">
        <v>17</v>
      </c>
      <c r="F12" s="5" t="str">
        <f>_xll.AtlasFormulas.AtlasFunctions.AtlasTable("UAT",DataAreaId,"T.LedgerTable","%BlockedInJournal","","","","","","","AccountNum",$E12)</f>
        <v>Yes</v>
      </c>
      <c r="G12" s="3" t="s">
        <v>116</v>
      </c>
      <c r="H12" s="5"/>
    </row>
    <row r="13" spans="1:8">
      <c r="A13" s="3" t="s">
        <v>259</v>
      </c>
      <c r="B13" s="3" t="s">
        <v>55</v>
      </c>
      <c r="C13" s="3" t="s">
        <v>83</v>
      </c>
      <c r="D13" s="5" t="str">
        <f>_xll.AtlasFormulas.AtlasFunctions.AtlasTable("UAT",DataAreaId,"T.VendTable","%Name","","","","","","","AccountNum",$C13)</f>
        <v/>
      </c>
      <c r="E13" s="3" t="s">
        <v>10</v>
      </c>
      <c r="F13" s="5" t="str">
        <f>_xll.AtlasFormulas.AtlasFunctions.AtlasTable("UAT",DataAreaId,"T.LedgerTable","%BlockedInJournal","","","","","","","AccountNum",$E13)</f>
        <v>Yes</v>
      </c>
      <c r="G13" s="3" t="s">
        <v>116</v>
      </c>
      <c r="H13" s="5"/>
    </row>
    <row r="14" spans="1:8">
      <c r="A14" s="3" t="s">
        <v>590</v>
      </c>
      <c r="B14" s="3" t="s">
        <v>56</v>
      </c>
      <c r="C14" s="3" t="s">
        <v>116</v>
      </c>
      <c r="D14" s="5" t="str">
        <f>_xll.AtlasFormulas.AtlasFunctions.AtlasTable("UAT",DataAreaId,"T.VendTable","%Name","","","","","","","AccountNum",$C14)</f>
        <v/>
      </c>
      <c r="E14" s="3" t="s">
        <v>325</v>
      </c>
      <c r="F14" s="5" t="str">
        <f>_xll.AtlasFormulas.AtlasFunctions.AtlasTable("UAT",DataAreaId,"T.LedgerTable","%BlockedInJournal","","","","","","","AccountNum",$E14)</f>
        <v>No</v>
      </c>
      <c r="G14" s="3" t="s">
        <v>116</v>
      </c>
      <c r="H14" s="5"/>
    </row>
    <row r="15" spans="1:8">
      <c r="A15" s="4"/>
      <c r="B15" s="4"/>
      <c r="C15" s="4"/>
      <c r="D15" s="4"/>
      <c r="E15" s="4"/>
      <c r="F15" s="4"/>
      <c r="G15" s="4"/>
      <c r="H15" s="4"/>
    </row>
    <row r="17" spans="1:1">
      <c r="A17" t="s">
        <v>244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3"/>
  <sheetViews>
    <sheetView workbookViewId="0">
      <selection activeCell="F26" sqref="F26"/>
    </sheetView>
  </sheetViews>
  <sheetFormatPr defaultRowHeight="15"/>
  <cols>
    <col min="1" max="1" width="23.7109375" customWidth="1"/>
    <col min="2" max="2" width="30.140625" customWidth="1"/>
    <col min="3" max="3" width="8" customWidth="1"/>
    <col min="4" max="4" width="14.7109375" customWidth="1"/>
    <col min="5" max="5" width="10.140625" customWidth="1"/>
    <col min="6" max="6" width="7.42578125" customWidth="1"/>
    <col min="7" max="7" width="18.7109375" customWidth="1"/>
    <col min="8" max="8" width="18.42578125" customWidth="1"/>
    <col min="9" max="9" width="18.140625" customWidth="1"/>
    <col min="10" max="10" width="19.5703125" customWidth="1"/>
  </cols>
  <sheetData>
    <row r="1" spans="1:10" ht="22.5">
      <c r="A1" s="6" t="s">
        <v>57</v>
      </c>
      <c r="B1" s="6"/>
      <c r="C1" s="6"/>
      <c r="D1" s="6"/>
      <c r="E1" s="6"/>
      <c r="F1" s="6"/>
      <c r="G1" s="6"/>
      <c r="H1" s="6"/>
      <c r="I1" s="6"/>
      <c r="J1" s="6"/>
    </row>
    <row r="2" spans="1:10">
      <c r="A2" s="4" t="s">
        <v>57</v>
      </c>
      <c r="B2" s="4" t="s">
        <v>58</v>
      </c>
      <c r="C2" s="4" t="s">
        <v>245</v>
      </c>
      <c r="D2" s="4" t="s">
        <v>246</v>
      </c>
      <c r="E2" s="4" t="s">
        <v>247</v>
      </c>
      <c r="F2" s="4" t="s">
        <v>248</v>
      </c>
      <c r="G2" s="4" t="s">
        <v>60</v>
      </c>
      <c r="H2" s="4" t="s">
        <v>3</v>
      </c>
      <c r="I2" s="4" t="s">
        <v>59</v>
      </c>
      <c r="J2" s="4" t="s">
        <v>243</v>
      </c>
    </row>
    <row r="3" spans="1:10">
      <c r="A3" s="3" t="s">
        <v>1391</v>
      </c>
      <c r="B3" s="3" t="s">
        <v>1392</v>
      </c>
      <c r="C3" s="3" t="s">
        <v>249</v>
      </c>
      <c r="D3" s="5">
        <v>1</v>
      </c>
      <c r="E3" s="5">
        <v>0</v>
      </c>
      <c r="F3" s="5">
        <v>7</v>
      </c>
      <c r="G3" s="13" t="s">
        <v>735</v>
      </c>
      <c r="H3" s="5" t="str">
        <f>_xll.AtlasFormulas.AtlasFunctions.AtlasTable("UAT",DataAreaId,"T.LedgerTable","%BlockedInJournal","","","","","","","AccountNum",$G3)</f>
        <v>No</v>
      </c>
      <c r="I3" s="13" t="s">
        <v>24</v>
      </c>
      <c r="J3" s="5" t="str">
        <f>_xll.AtlasFormulas.AtlasFunctions.AtlasTable("UAT",DataAreaId,"T.LedgerTable","%BlockedInJournal","","","","","","","AccountNum",$I3)</f>
        <v>Yes</v>
      </c>
    </row>
    <row r="4" spans="1:10">
      <c r="A4" s="3" t="s">
        <v>1393</v>
      </c>
      <c r="B4" s="3" t="s">
        <v>1392</v>
      </c>
      <c r="C4" s="3" t="s">
        <v>249</v>
      </c>
      <c r="D4" s="5">
        <v>1</v>
      </c>
      <c r="E4" s="5">
        <v>0</v>
      </c>
      <c r="F4" s="5">
        <v>7</v>
      </c>
      <c r="G4" s="13" t="s">
        <v>735</v>
      </c>
      <c r="H4" s="5" t="str">
        <f>_xll.AtlasFormulas.AtlasFunctions.AtlasTable("UAT",DataAreaId,"T.LedgerTable","%BlockedInJournal","","","","","","","AccountNum",$G4)</f>
        <v>No</v>
      </c>
      <c r="I4" s="13" t="s">
        <v>24</v>
      </c>
      <c r="J4" s="5" t="str">
        <f>_xll.AtlasFormulas.AtlasFunctions.AtlasTable("UAT",DataAreaId,"T.LedgerTable","%BlockedInJournal","","","","","","","AccountNum",$I4)</f>
        <v>Yes</v>
      </c>
    </row>
    <row r="5" spans="1:10">
      <c r="A5" s="3" t="s">
        <v>1394</v>
      </c>
      <c r="B5" s="3" t="s">
        <v>1395</v>
      </c>
      <c r="C5" s="3" t="s">
        <v>249</v>
      </c>
      <c r="D5" s="5">
        <v>2</v>
      </c>
      <c r="E5" s="5">
        <v>0</v>
      </c>
      <c r="F5" s="5">
        <v>10</v>
      </c>
      <c r="G5" s="13" t="s">
        <v>735</v>
      </c>
      <c r="H5" s="5" t="str">
        <f>_xll.AtlasFormulas.AtlasFunctions.AtlasTable("UAT",DataAreaId,"T.LedgerTable","%BlockedInJournal","","","","","","","AccountNum",$G5)</f>
        <v>No</v>
      </c>
      <c r="I5" s="13" t="s">
        <v>24</v>
      </c>
      <c r="J5" s="5" t="str">
        <f>_xll.AtlasFormulas.AtlasFunctions.AtlasTable("UAT",DataAreaId,"T.LedgerTable","%BlockedInJournal","","","","","","","AccountNum",$I5)</f>
        <v>Yes</v>
      </c>
    </row>
    <row r="6" spans="1:10">
      <c r="A6" s="3" t="s">
        <v>1396</v>
      </c>
      <c r="B6" s="3" t="s">
        <v>1397</v>
      </c>
      <c r="C6" s="3" t="s">
        <v>249</v>
      </c>
      <c r="D6" s="5">
        <v>2</v>
      </c>
      <c r="E6" s="5">
        <v>0</v>
      </c>
      <c r="F6" s="5">
        <v>10</v>
      </c>
      <c r="G6" s="13" t="s">
        <v>735</v>
      </c>
      <c r="H6" s="5" t="str">
        <f>_xll.AtlasFormulas.AtlasFunctions.AtlasTable("UAT",DataAreaId,"T.LedgerTable","%BlockedInJournal","","","","","","","AccountNum",$G6)</f>
        <v>No</v>
      </c>
      <c r="I6" s="13" t="s">
        <v>24</v>
      </c>
      <c r="J6" s="5" t="str">
        <f>_xll.AtlasFormulas.AtlasFunctions.AtlasTable("UAT",DataAreaId,"T.LedgerTable","%BlockedInJournal","","","","","","","AccountNum",$I6)</f>
        <v>Yes</v>
      </c>
    </row>
    <row r="7" spans="1:10">
      <c r="A7" s="3" t="s">
        <v>1398</v>
      </c>
      <c r="B7" s="3" t="s">
        <v>1399</v>
      </c>
      <c r="C7" s="3" t="s">
        <v>249</v>
      </c>
      <c r="D7" s="5">
        <v>2</v>
      </c>
      <c r="E7" s="5">
        <v>0</v>
      </c>
      <c r="F7" s="5">
        <v>10</v>
      </c>
      <c r="G7" s="13" t="s">
        <v>735</v>
      </c>
      <c r="H7" s="5" t="str">
        <f>_xll.AtlasFormulas.AtlasFunctions.AtlasTable("UAT",DataAreaId,"T.LedgerTable","%BlockedInJournal","","","","","","","AccountNum",$G7)</f>
        <v>No</v>
      </c>
      <c r="I7" s="13" t="s">
        <v>24</v>
      </c>
      <c r="J7" s="5" t="str">
        <f>_xll.AtlasFormulas.AtlasFunctions.AtlasTable("UAT",DataAreaId,"T.LedgerTable","%BlockedInJournal","","","","","","","AccountNum",$I7)</f>
        <v>Yes</v>
      </c>
    </row>
    <row r="8" spans="1:10">
      <c r="A8" s="3" t="s">
        <v>1400</v>
      </c>
      <c r="B8" s="3" t="s">
        <v>1401</v>
      </c>
      <c r="C8" s="3" t="s">
        <v>249</v>
      </c>
      <c r="D8" s="5">
        <v>2</v>
      </c>
      <c r="E8" s="5">
        <v>0</v>
      </c>
      <c r="F8" s="5">
        <v>14</v>
      </c>
      <c r="G8" s="13" t="s">
        <v>735</v>
      </c>
      <c r="H8" s="5" t="str">
        <f>_xll.AtlasFormulas.AtlasFunctions.AtlasTable("UAT",DataAreaId,"T.LedgerTable","%BlockedInJournal","","","","","","","AccountNum",$G8)</f>
        <v>No</v>
      </c>
      <c r="I8" s="13" t="s">
        <v>24</v>
      </c>
      <c r="J8" s="5" t="str">
        <f>_xll.AtlasFormulas.AtlasFunctions.AtlasTable("UAT",DataAreaId,"T.LedgerTable","%BlockedInJournal","","","","","","","AccountNum",$I8)</f>
        <v>Yes</v>
      </c>
    </row>
    <row r="9" spans="1:10">
      <c r="A9" s="3" t="s">
        <v>1402</v>
      </c>
      <c r="B9" s="3" t="s">
        <v>1403</v>
      </c>
      <c r="C9" s="3" t="s">
        <v>249</v>
      </c>
      <c r="D9" s="5">
        <v>2</v>
      </c>
      <c r="E9" s="5">
        <v>0</v>
      </c>
      <c r="F9" s="5">
        <v>21</v>
      </c>
      <c r="G9" s="13" t="s">
        <v>735</v>
      </c>
      <c r="H9" s="5" t="str">
        <f>_xll.AtlasFormulas.AtlasFunctions.AtlasTable("UAT",DataAreaId,"T.LedgerTable","%BlockedInJournal","","","","","","","AccountNum",$G9)</f>
        <v>No</v>
      </c>
      <c r="I9" s="13" t="s">
        <v>24</v>
      </c>
      <c r="J9" s="5" t="str">
        <f>_xll.AtlasFormulas.AtlasFunctions.AtlasTable("UAT",DataAreaId,"T.LedgerTable","%BlockedInJournal","","","","","","","AccountNum",$I9)</f>
        <v>Yes</v>
      </c>
    </row>
    <row r="10" spans="1:10">
      <c r="A10" s="3" t="s">
        <v>1404</v>
      </c>
      <c r="B10" s="3" t="s">
        <v>1405</v>
      </c>
      <c r="C10" s="3" t="s">
        <v>249</v>
      </c>
      <c r="D10" s="5">
        <v>2</v>
      </c>
      <c r="E10" s="5">
        <v>0</v>
      </c>
      <c r="F10" s="5">
        <v>30</v>
      </c>
      <c r="G10" s="13" t="s">
        <v>735</v>
      </c>
      <c r="H10" s="5" t="str">
        <f>_xll.AtlasFormulas.AtlasFunctions.AtlasTable("UAT",DataAreaId,"T.LedgerTable","%BlockedInJournal","","","","","","","AccountNum",$G10)</f>
        <v>No</v>
      </c>
      <c r="I10" s="13" t="s">
        <v>24</v>
      </c>
      <c r="J10" s="5" t="str">
        <f>_xll.AtlasFormulas.AtlasFunctions.AtlasTable("UAT",DataAreaId,"T.LedgerTable","%BlockedInJournal","","","","","","","AccountNum",$I10)</f>
        <v>Yes</v>
      </c>
    </row>
    <row r="11" spans="1:10">
      <c r="A11" s="3" t="s">
        <v>1406</v>
      </c>
      <c r="B11" s="3" t="s">
        <v>1407</v>
      </c>
      <c r="C11" s="3" t="s">
        <v>249</v>
      </c>
      <c r="D11" s="5">
        <v>2</v>
      </c>
      <c r="E11" s="5">
        <v>0</v>
      </c>
      <c r="F11" s="5">
        <v>60</v>
      </c>
      <c r="G11" s="13" t="s">
        <v>735</v>
      </c>
      <c r="H11" s="5" t="str">
        <f>_xll.AtlasFormulas.AtlasFunctions.AtlasTable("UAT",DataAreaId,"T.LedgerTable","%BlockedInJournal","","","","","","","AccountNum",$G11)</f>
        <v>No</v>
      </c>
      <c r="I11" s="13" t="s">
        <v>24</v>
      </c>
      <c r="J11" s="5" t="str">
        <f>_xll.AtlasFormulas.AtlasFunctions.AtlasTable("UAT",DataAreaId,"T.LedgerTable","%BlockedInJournal","","","","","","","AccountNum",$I11)</f>
        <v>Yes</v>
      </c>
    </row>
    <row r="12" spans="1:10">
      <c r="A12" s="3" t="s">
        <v>1408</v>
      </c>
      <c r="B12" s="3" t="s">
        <v>1409</v>
      </c>
      <c r="C12" s="3" t="s">
        <v>249</v>
      </c>
      <c r="D12" s="5">
        <v>3</v>
      </c>
      <c r="E12" s="5">
        <v>0</v>
      </c>
      <c r="F12" s="5">
        <v>10</v>
      </c>
      <c r="G12" s="13" t="s">
        <v>735</v>
      </c>
      <c r="H12" s="5" t="str">
        <f>_xll.AtlasFormulas.AtlasFunctions.AtlasTable("UAT",DataAreaId,"T.LedgerTable","%BlockedInJournal","","","","","","","AccountNum",$G12)</f>
        <v>No</v>
      </c>
      <c r="I12" s="13" t="s">
        <v>24</v>
      </c>
      <c r="J12" s="5" t="str">
        <f>_xll.AtlasFormulas.AtlasFunctions.AtlasTable("UAT",DataAreaId,"T.LedgerTable","%BlockedInJournal","","","","","","","AccountNum",$I12)</f>
        <v>Yes</v>
      </c>
    </row>
    <row r="13" spans="1:10">
      <c r="A13" s="3" t="s">
        <v>1410</v>
      </c>
      <c r="B13" s="3" t="s">
        <v>1411</v>
      </c>
      <c r="C13" s="3" t="s">
        <v>249</v>
      </c>
      <c r="D13" s="5">
        <v>3</v>
      </c>
      <c r="E13" s="5">
        <v>0</v>
      </c>
      <c r="F13" s="5">
        <v>14</v>
      </c>
      <c r="G13" s="13" t="s">
        <v>735</v>
      </c>
      <c r="H13" s="5" t="str">
        <f>_xll.AtlasFormulas.AtlasFunctions.AtlasTable("UAT",DataAreaId,"T.LedgerTable","%BlockedInJournal","","","","","","","AccountNum",$G13)</f>
        <v>No</v>
      </c>
      <c r="I13" s="13" t="s">
        <v>24</v>
      </c>
      <c r="J13" s="5" t="str">
        <f>_xll.AtlasFormulas.AtlasFunctions.AtlasTable("UAT",DataAreaId,"T.LedgerTable","%BlockedInJournal","","","","","","","AccountNum",$I13)</f>
        <v>Yes</v>
      </c>
    </row>
    <row r="14" spans="1:10">
      <c r="A14" s="3" t="s">
        <v>1412</v>
      </c>
      <c r="B14" s="3" t="s">
        <v>1413</v>
      </c>
      <c r="C14" s="3" t="s">
        <v>249</v>
      </c>
      <c r="D14" s="5">
        <v>3</v>
      </c>
      <c r="E14" s="5">
        <v>0</v>
      </c>
      <c r="F14" s="5">
        <v>21</v>
      </c>
      <c r="G14" s="13" t="s">
        <v>735</v>
      </c>
      <c r="H14" s="5" t="str">
        <f>_xll.AtlasFormulas.AtlasFunctions.AtlasTable("UAT",DataAreaId,"T.LedgerTable","%BlockedInJournal","","","","","","","AccountNum",$G14)</f>
        <v>No</v>
      </c>
      <c r="I14" s="13" t="s">
        <v>24</v>
      </c>
      <c r="J14" s="5" t="str">
        <f>_xll.AtlasFormulas.AtlasFunctions.AtlasTable("UAT",DataAreaId,"T.LedgerTable","%BlockedInJournal","","","","","","","AccountNum",$I14)</f>
        <v>Yes</v>
      </c>
    </row>
    <row r="15" spans="1:10">
      <c r="A15" s="3" t="s">
        <v>1414</v>
      </c>
      <c r="B15" s="3" t="s">
        <v>1415</v>
      </c>
      <c r="C15" s="3" t="s">
        <v>249</v>
      </c>
      <c r="D15" s="5">
        <v>3</v>
      </c>
      <c r="E15" s="5">
        <v>0</v>
      </c>
      <c r="F15" s="5">
        <v>8</v>
      </c>
      <c r="G15" s="13" t="s">
        <v>735</v>
      </c>
      <c r="H15" s="5" t="str">
        <f>_xll.AtlasFormulas.AtlasFunctions.AtlasTable("UAT",DataAreaId,"T.LedgerTable","%BlockedInJournal","","","","","","","AccountNum",$G15)</f>
        <v>No</v>
      </c>
      <c r="I15" s="13" t="s">
        <v>24</v>
      </c>
      <c r="J15" s="5" t="str">
        <f>_xll.AtlasFormulas.AtlasFunctions.AtlasTable("UAT",DataAreaId,"T.LedgerTable","%BlockedInJournal","","","","","","","AccountNum",$I15)</f>
        <v>Yes</v>
      </c>
    </row>
    <row r="16" spans="1:10">
      <c r="A16" s="3" t="s">
        <v>1416</v>
      </c>
      <c r="B16" s="3" t="s">
        <v>1417</v>
      </c>
      <c r="C16" s="3" t="s">
        <v>249</v>
      </c>
      <c r="D16" s="5">
        <v>4</v>
      </c>
      <c r="E16" s="5">
        <v>0</v>
      </c>
      <c r="F16" s="5">
        <v>30</v>
      </c>
      <c r="G16" s="13" t="s">
        <v>735</v>
      </c>
      <c r="H16" s="5" t="str">
        <f>_xll.AtlasFormulas.AtlasFunctions.AtlasTable("UAT",DataAreaId,"T.LedgerTable","%BlockedInJournal","","","","","","","AccountNum",$G16)</f>
        <v>No</v>
      </c>
      <c r="I16" s="13" t="s">
        <v>24</v>
      </c>
      <c r="J16" s="5" t="str">
        <f>_xll.AtlasFormulas.AtlasFunctions.AtlasTable("UAT",DataAreaId,"T.LedgerTable","%BlockedInJournal","","","","","","","AccountNum",$I16)</f>
        <v>Yes</v>
      </c>
    </row>
    <row r="17" spans="1:10">
      <c r="A17" s="3" t="s">
        <v>1418</v>
      </c>
      <c r="B17" s="3" t="s">
        <v>1419</v>
      </c>
      <c r="C17" s="3" t="s">
        <v>249</v>
      </c>
      <c r="D17" s="5">
        <v>4</v>
      </c>
      <c r="E17" s="5">
        <v>0</v>
      </c>
      <c r="F17" s="5">
        <v>30</v>
      </c>
      <c r="G17" s="13" t="s">
        <v>735</v>
      </c>
      <c r="H17" s="5" t="str">
        <f>_xll.AtlasFormulas.AtlasFunctions.AtlasTable("UAT",DataAreaId,"T.LedgerTable","%BlockedInJournal","","","","","","","AccountNum",$G17)</f>
        <v>No</v>
      </c>
      <c r="I17" s="13" t="s">
        <v>24</v>
      </c>
      <c r="J17" s="5" t="str">
        <f>_xll.AtlasFormulas.AtlasFunctions.AtlasTable("UAT",DataAreaId,"T.LedgerTable","%BlockedInJournal","","","","","","","AccountNum",$I17)</f>
        <v>Yes</v>
      </c>
    </row>
    <row r="18" spans="1:10">
      <c r="A18" s="3" t="s">
        <v>1420</v>
      </c>
      <c r="B18" s="3" t="s">
        <v>1421</v>
      </c>
      <c r="C18" s="3" t="s">
        <v>249</v>
      </c>
      <c r="D18" s="5">
        <v>4</v>
      </c>
      <c r="E18" s="5">
        <v>0</v>
      </c>
      <c r="F18" s="5">
        <v>10</v>
      </c>
      <c r="G18" s="13" t="s">
        <v>735</v>
      </c>
      <c r="H18" s="5" t="str">
        <f>_xll.AtlasFormulas.AtlasFunctions.AtlasTable("UAT",DataAreaId,"T.LedgerTable","%BlockedInJournal","","","","","","","AccountNum",$G18)</f>
        <v>No</v>
      </c>
      <c r="I18" s="13" t="s">
        <v>24</v>
      </c>
      <c r="J18" s="5" t="str">
        <f>_xll.AtlasFormulas.AtlasFunctions.AtlasTable("UAT",DataAreaId,"T.LedgerTable","%BlockedInJournal","","","","","","","AccountNum",$I18)</f>
        <v>Yes</v>
      </c>
    </row>
    <row r="19" spans="1:10">
      <c r="A19" s="3" t="s">
        <v>1422</v>
      </c>
      <c r="B19" s="3" t="s">
        <v>1423</v>
      </c>
      <c r="C19" s="3" t="s">
        <v>249</v>
      </c>
      <c r="D19" s="5">
        <v>5</v>
      </c>
      <c r="E19" s="5">
        <v>0</v>
      </c>
      <c r="F19" s="5">
        <v>20</v>
      </c>
      <c r="G19" s="13" t="s">
        <v>735</v>
      </c>
      <c r="H19" s="5" t="str">
        <f>_xll.AtlasFormulas.AtlasFunctions.AtlasTable("UAT",DataAreaId,"T.LedgerTable","%BlockedInJournal","","","","","","","AccountNum",$G19)</f>
        <v>No</v>
      </c>
      <c r="I19" s="13" t="s">
        <v>24</v>
      </c>
      <c r="J19" s="5" t="str">
        <f>_xll.AtlasFormulas.AtlasFunctions.AtlasTable("UAT",DataAreaId,"T.LedgerTable","%BlockedInJournal","","","","","","","AccountNum",$I19)</f>
        <v>Yes</v>
      </c>
    </row>
    <row r="20" spans="1:10">
      <c r="A20" s="3" t="s">
        <v>1424</v>
      </c>
      <c r="B20" s="3" t="s">
        <v>1425</v>
      </c>
      <c r="C20" s="3" t="s">
        <v>249</v>
      </c>
      <c r="D20" s="5">
        <v>5</v>
      </c>
      <c r="E20" s="5">
        <v>0</v>
      </c>
      <c r="F20" s="5">
        <v>30</v>
      </c>
      <c r="G20" s="13" t="s">
        <v>735</v>
      </c>
      <c r="H20" s="5" t="str">
        <f>_xll.AtlasFormulas.AtlasFunctions.AtlasTable("UAT",DataAreaId,"T.LedgerTable","%BlockedInJournal","","","","","","","AccountNum",$G20)</f>
        <v>No</v>
      </c>
      <c r="I20" s="13" t="s">
        <v>24</v>
      </c>
      <c r="J20" s="5" t="str">
        <f>_xll.AtlasFormulas.AtlasFunctions.AtlasTable("UAT",DataAreaId,"T.LedgerTable","%BlockedInJournal","","","","","","","AccountNum",$I20)</f>
        <v>Yes</v>
      </c>
    </row>
    <row r="21" spans="1:10">
      <c r="A21" s="4"/>
      <c r="B21" s="4"/>
      <c r="C21" s="4"/>
      <c r="D21" s="4"/>
      <c r="E21" s="4"/>
      <c r="F21" s="4"/>
      <c r="G21" s="4"/>
      <c r="H21" s="4"/>
      <c r="I21" s="4"/>
      <c r="J21" s="4"/>
    </row>
    <row r="33" spans="1:2">
      <c r="A33" t="s">
        <v>57</v>
      </c>
      <c r="B33" t="s">
        <v>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5"/>
  <sheetViews>
    <sheetView topLeftCell="C1" workbookViewId="0">
      <selection activeCell="L3" sqref="L3:L20"/>
    </sheetView>
  </sheetViews>
  <sheetFormatPr defaultRowHeight="15"/>
  <cols>
    <col min="1" max="1" width="12.7109375" customWidth="1"/>
    <col min="2" max="2" width="14.42578125" customWidth="1"/>
    <col min="3" max="3" width="24.5703125" customWidth="1"/>
    <col min="4" max="4" width="9" customWidth="1"/>
    <col min="5" max="5" width="12.85546875" customWidth="1"/>
    <col min="6" max="6" width="17.28515625" customWidth="1"/>
    <col min="7" max="7" width="15.140625" customWidth="1"/>
    <col min="8" max="8" width="13" customWidth="1"/>
    <col min="9" max="9" width="18.42578125" customWidth="1"/>
    <col min="10" max="10" width="17.28515625" customWidth="1"/>
    <col min="11" max="11" width="30.5703125" customWidth="1"/>
    <col min="12" max="12" width="18.140625" customWidth="1"/>
    <col min="13" max="13" width="19.5703125" customWidth="1"/>
  </cols>
  <sheetData>
    <row r="1" spans="1:13" ht="22.5">
      <c r="A1" s="6" t="s">
        <v>250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>
      <c r="A2" s="4" t="s">
        <v>109</v>
      </c>
      <c r="B2" s="4" t="s">
        <v>63</v>
      </c>
      <c r="C2" s="4" t="s">
        <v>58</v>
      </c>
      <c r="D2" s="4" t="s">
        <v>71</v>
      </c>
      <c r="E2" s="4" t="s">
        <v>251</v>
      </c>
      <c r="F2" s="4" t="s">
        <v>65</v>
      </c>
      <c r="G2" s="4" t="s">
        <v>66</v>
      </c>
      <c r="H2" s="4" t="s">
        <v>67</v>
      </c>
      <c r="I2" s="4" t="s">
        <v>3</v>
      </c>
      <c r="J2" s="4" t="s">
        <v>68</v>
      </c>
      <c r="K2" s="4" t="s">
        <v>69</v>
      </c>
      <c r="L2" s="4" t="s">
        <v>70</v>
      </c>
      <c r="M2" s="4" t="s">
        <v>243</v>
      </c>
    </row>
    <row r="3" spans="1:13">
      <c r="A3" t="s">
        <v>252</v>
      </c>
      <c r="B3" t="s">
        <v>72</v>
      </c>
      <c r="C3" s="20" t="s">
        <v>73</v>
      </c>
      <c r="D3" s="20" t="s">
        <v>4</v>
      </c>
      <c r="E3" s="20" t="s">
        <v>1056</v>
      </c>
      <c r="F3" s="20" t="s">
        <v>74</v>
      </c>
      <c r="G3" s="20"/>
      <c r="H3" s="20"/>
      <c r="I3" s="5" t="str">
        <f>_xll.AtlasFormulas.AtlasFunctions.AtlasTable("UAT",DataAreaId,"T.LedgerTable","%BlockedInJournal","","","","","","","AccountNum",$H3)</f>
        <v/>
      </c>
      <c r="J3" s="20" t="s">
        <v>0</v>
      </c>
      <c r="K3" s="20" t="s">
        <v>75</v>
      </c>
      <c r="L3" s="20">
        <v>403030</v>
      </c>
      <c r="M3" s="5" t="str">
        <f>_xll.AtlasFormulas.AtlasFunctions.AtlasTable("UAT",DataAreaId,"T.LedgerTable","%BlockedInJournal","","","","","","","AccountNum",$L3)</f>
        <v>No</v>
      </c>
    </row>
    <row r="4" spans="1:13">
      <c r="A4" t="s">
        <v>252</v>
      </c>
      <c r="B4" t="s">
        <v>76</v>
      </c>
      <c r="C4" s="20" t="s">
        <v>77</v>
      </c>
      <c r="D4" s="20" t="s">
        <v>4</v>
      </c>
      <c r="E4" s="20" t="s">
        <v>1056</v>
      </c>
      <c r="F4" s="20" t="s">
        <v>74</v>
      </c>
      <c r="G4" s="20"/>
      <c r="H4" s="20"/>
      <c r="I4" s="16" t="str">
        <f>_xll.AtlasFormulas.AtlasFunctions.AtlasTable("UAT",DataAreaId,"T.LedgerTable","%BlockedInJournal","","","","","","","AccountNum",$H4)</f>
        <v/>
      </c>
      <c r="J4" s="20" t="s">
        <v>0</v>
      </c>
      <c r="K4" s="20" t="s">
        <v>78</v>
      </c>
      <c r="L4" s="20">
        <v>403030</v>
      </c>
      <c r="M4" s="5" t="str">
        <f>_xll.AtlasFormulas.AtlasFunctions.AtlasTable("UAT",DataAreaId,"T.LedgerTable","%BlockedInJournal","","","","","","","AccountNum",$L4)</f>
        <v>No</v>
      </c>
    </row>
    <row r="5" spans="1:13">
      <c r="A5" t="s">
        <v>252</v>
      </c>
      <c r="B5" t="s">
        <v>1058</v>
      </c>
      <c r="C5" s="20" t="s">
        <v>1057</v>
      </c>
      <c r="D5" s="20" t="s">
        <v>6</v>
      </c>
      <c r="E5" s="20" t="s">
        <v>1056</v>
      </c>
      <c r="F5" s="20" t="s">
        <v>74</v>
      </c>
      <c r="G5" s="20"/>
      <c r="H5" s="20"/>
      <c r="I5" s="16" t="str">
        <f>_xll.AtlasFormulas.AtlasFunctions.AtlasTable("UAT",DataAreaId,"T.LedgerTable","%BlockedInJournal","","","","","","","AccountNum",$H5)</f>
        <v/>
      </c>
      <c r="J5" s="20" t="s">
        <v>0</v>
      </c>
      <c r="K5" s="20" t="s">
        <v>78</v>
      </c>
      <c r="L5" s="20">
        <v>492002</v>
      </c>
      <c r="M5" s="5" t="str">
        <f>_xll.AtlasFormulas.AtlasFunctions.AtlasTable("UAT",DataAreaId,"T.LedgerTable","%BlockedInJournal","","","","","","","AccountNum",$L5)</f>
        <v>No</v>
      </c>
    </row>
    <row r="6" spans="1:13">
      <c r="A6" t="s">
        <v>252</v>
      </c>
      <c r="B6" t="s">
        <v>79</v>
      </c>
      <c r="C6" s="20" t="s">
        <v>79</v>
      </c>
      <c r="D6" s="20" t="s">
        <v>4</v>
      </c>
      <c r="E6" s="20" t="s">
        <v>1056</v>
      </c>
      <c r="F6" s="20" t="s">
        <v>74</v>
      </c>
      <c r="G6" s="20"/>
      <c r="H6" s="20"/>
      <c r="I6" s="16" t="str">
        <f>_xll.AtlasFormulas.AtlasFunctions.AtlasTable("UAT",DataAreaId,"T.LedgerTable","%BlockedInJournal","","","","","","","AccountNum",$H6)</f>
        <v/>
      </c>
      <c r="J6" s="20" t="s">
        <v>0</v>
      </c>
      <c r="K6" s="20" t="s">
        <v>75</v>
      </c>
      <c r="L6" s="20">
        <v>403000</v>
      </c>
      <c r="M6" s="5" t="str">
        <f>_xll.AtlasFormulas.AtlasFunctions.AtlasTable("UAT",DataAreaId,"T.LedgerTable","%BlockedInJournal","","","","","","","AccountNum",$L6)</f>
        <v>No</v>
      </c>
    </row>
    <row r="7" spans="1:13">
      <c r="A7" t="s">
        <v>252</v>
      </c>
      <c r="B7" t="s">
        <v>1060</v>
      </c>
      <c r="C7" s="20" t="s">
        <v>1059</v>
      </c>
      <c r="D7" s="20" t="s">
        <v>6</v>
      </c>
      <c r="E7" s="20" t="s">
        <v>1056</v>
      </c>
      <c r="F7" s="20" t="s">
        <v>0</v>
      </c>
      <c r="G7" s="20" t="s">
        <v>730</v>
      </c>
      <c r="H7" s="20">
        <v>402020</v>
      </c>
      <c r="I7" s="16" t="str">
        <f>_xll.AtlasFormulas.AtlasFunctions.AtlasTable("UAT",DataAreaId,"T.LedgerTable","%BlockedInJournal","","","","","","","AccountNum",$H7)</f>
        <v>No</v>
      </c>
      <c r="J7" s="20" t="s">
        <v>74</v>
      </c>
      <c r="K7" s="20"/>
      <c r="L7" s="20"/>
      <c r="M7" s="5" t="str">
        <f>_xll.AtlasFormulas.AtlasFunctions.AtlasTable("UAT",DataAreaId,"T.LedgerTable","%BlockedInJournal","","","","","","","AccountNum",$L7)</f>
        <v/>
      </c>
    </row>
    <row r="8" spans="1:13">
      <c r="A8" t="s">
        <v>252</v>
      </c>
      <c r="B8" t="s">
        <v>64</v>
      </c>
      <c r="C8" s="20" t="s">
        <v>80</v>
      </c>
      <c r="D8" s="20" t="s">
        <v>6</v>
      </c>
      <c r="E8" s="20" t="s">
        <v>1056</v>
      </c>
      <c r="F8" s="20" t="s">
        <v>74</v>
      </c>
      <c r="G8" s="20"/>
      <c r="H8" s="20"/>
      <c r="I8" s="16" t="str">
        <f>_xll.AtlasFormulas.AtlasFunctions.AtlasTable("UAT",DataAreaId,"T.LedgerTable","%BlockedInJournal","","","","","","","AccountNum",$H8)</f>
        <v/>
      </c>
      <c r="J8" s="20" t="s">
        <v>0</v>
      </c>
      <c r="K8" s="20" t="s">
        <v>75</v>
      </c>
      <c r="L8" s="20">
        <v>907000</v>
      </c>
      <c r="M8" s="5" t="str">
        <f>_xll.AtlasFormulas.AtlasFunctions.AtlasTable("UAT",DataAreaId,"T.LedgerTable","%BlockedInJournal","","","","","","","AccountNum",$L8)</f>
        <v>No</v>
      </c>
    </row>
    <row r="9" spans="1:13">
      <c r="A9" t="s">
        <v>253</v>
      </c>
      <c r="B9" t="s">
        <v>1426</v>
      </c>
      <c r="C9" s="20" t="s">
        <v>254</v>
      </c>
      <c r="D9" s="20" t="s">
        <v>4</v>
      </c>
      <c r="E9" s="20"/>
      <c r="F9" s="20" t="s">
        <v>87</v>
      </c>
      <c r="G9" s="20"/>
      <c r="H9" s="20"/>
      <c r="I9" s="16" t="str">
        <f>_xll.AtlasFormulas.AtlasFunctions.AtlasTable("UAT",DataAreaId,"T.LedgerTable","%BlockedInJournal","","","","","","","AccountNum",$H9)</f>
        <v/>
      </c>
      <c r="J9" s="20" t="s">
        <v>0</v>
      </c>
      <c r="K9" s="20" t="s">
        <v>255</v>
      </c>
      <c r="L9" s="20">
        <v>210003</v>
      </c>
      <c r="M9" s="5" t="str">
        <f>_xll.AtlasFormulas.AtlasFunctions.AtlasTable("UAT",DataAreaId,"T.LedgerTable","%BlockedInJournal","","","","","","","AccountNum",$L9)</f>
        <v>No</v>
      </c>
    </row>
    <row r="10" spans="1:13">
      <c r="A10" t="s">
        <v>253</v>
      </c>
      <c r="B10" t="s">
        <v>85</v>
      </c>
      <c r="C10" s="20" t="s">
        <v>86</v>
      </c>
      <c r="D10" s="20" t="s">
        <v>4</v>
      </c>
      <c r="E10" s="20"/>
      <c r="F10" s="20" t="s">
        <v>87</v>
      </c>
      <c r="G10" s="20"/>
      <c r="H10" s="20"/>
      <c r="I10" s="16" t="str">
        <f>_xll.AtlasFormulas.AtlasFunctions.AtlasTable("UAT",DataAreaId,"T.LedgerTable","%BlockedInJournal","","","","","","","AccountNum",$H10)</f>
        <v/>
      </c>
      <c r="J10" s="20" t="s">
        <v>0</v>
      </c>
      <c r="K10" s="20" t="s">
        <v>88</v>
      </c>
      <c r="L10" s="20">
        <v>210003</v>
      </c>
      <c r="M10" s="5" t="str">
        <f>_xll.AtlasFormulas.AtlasFunctions.AtlasTable("UAT",DataAreaId,"T.LedgerTable","%BlockedInJournal","","","","","","","AccountNum",$L10)</f>
        <v>No</v>
      </c>
    </row>
    <row r="11" spans="1:13">
      <c r="A11" t="s">
        <v>253</v>
      </c>
      <c r="B11" t="s">
        <v>732</v>
      </c>
      <c r="C11" s="20" t="s">
        <v>254</v>
      </c>
      <c r="D11" s="20" t="s">
        <v>6</v>
      </c>
      <c r="E11" s="20" t="s">
        <v>1056</v>
      </c>
      <c r="F11" s="20" t="s">
        <v>87</v>
      </c>
      <c r="G11" s="20"/>
      <c r="H11" s="20"/>
      <c r="I11" s="16" t="str">
        <f>_xll.AtlasFormulas.AtlasFunctions.AtlasTable("UAT",DataAreaId,"T.LedgerTable","%BlockedInJournal","","","","","","","AccountNum",$H11)</f>
        <v/>
      </c>
      <c r="J11" s="20" t="s">
        <v>0</v>
      </c>
      <c r="K11" s="20" t="s">
        <v>255</v>
      </c>
      <c r="L11" s="20">
        <v>210003</v>
      </c>
      <c r="M11" s="5" t="str">
        <f>_xll.AtlasFormulas.AtlasFunctions.AtlasTable("UAT",DataAreaId,"T.LedgerTable","%BlockedInJournal","","","","","","","AccountNum",$L11)</f>
        <v>No</v>
      </c>
    </row>
    <row r="12" spans="1:13">
      <c r="A12" t="s">
        <v>253</v>
      </c>
      <c r="B12" t="s">
        <v>72</v>
      </c>
      <c r="C12" s="20" t="s">
        <v>73</v>
      </c>
      <c r="D12" s="20" t="s">
        <v>4</v>
      </c>
      <c r="E12" s="20"/>
      <c r="F12" s="20" t="s">
        <v>87</v>
      </c>
      <c r="G12" s="20"/>
      <c r="H12" s="20"/>
      <c r="I12" s="16" t="str">
        <f>_xll.AtlasFormulas.AtlasFunctions.AtlasTable("UAT",DataAreaId,"T.LedgerTable","%BlockedInJournal","","","","","","","AccountNum",$H12)</f>
        <v/>
      </c>
      <c r="J12" s="20" t="s">
        <v>0</v>
      </c>
      <c r="K12" s="20" t="s">
        <v>89</v>
      </c>
      <c r="L12" s="20">
        <v>210002</v>
      </c>
      <c r="M12" s="5" t="str">
        <f>_xll.AtlasFormulas.AtlasFunctions.AtlasTable("UAT",DataAreaId,"T.LedgerTable","%BlockedInJournal","","","","","","","AccountNum",$L12)</f>
        <v>No</v>
      </c>
    </row>
    <row r="13" spans="1:13">
      <c r="A13" t="s">
        <v>253</v>
      </c>
      <c r="B13" t="s">
        <v>76</v>
      </c>
      <c r="C13" s="20" t="s">
        <v>76</v>
      </c>
      <c r="D13" s="20" t="s">
        <v>6</v>
      </c>
      <c r="E13" s="20" t="s">
        <v>1056</v>
      </c>
      <c r="F13" s="20" t="s">
        <v>87</v>
      </c>
      <c r="G13" s="20"/>
      <c r="H13" s="20"/>
      <c r="I13" s="16" t="str">
        <f>_xll.AtlasFormulas.AtlasFunctions.AtlasTable("UAT",DataAreaId,"T.LedgerTable","%BlockedInJournal","","","","","","","AccountNum",$H13)</f>
        <v/>
      </c>
      <c r="J13" s="20" t="s">
        <v>74</v>
      </c>
      <c r="K13" s="20"/>
      <c r="L13" s="20"/>
      <c r="M13" s="5" t="str">
        <f>_xll.AtlasFormulas.AtlasFunctions.AtlasTable("UAT",DataAreaId,"T.LedgerTable","%BlockedInJournal","","","","","","","AccountNum",$L13)</f>
        <v/>
      </c>
    </row>
    <row r="14" spans="1:13">
      <c r="A14" t="s">
        <v>253</v>
      </c>
      <c r="B14" t="s">
        <v>1063</v>
      </c>
      <c r="C14" s="20" t="s">
        <v>1061</v>
      </c>
      <c r="D14" s="20" t="s">
        <v>4</v>
      </c>
      <c r="E14" s="20"/>
      <c r="F14" s="20" t="s">
        <v>87</v>
      </c>
      <c r="G14" s="20"/>
      <c r="H14" s="20"/>
      <c r="I14" s="16" t="str">
        <f>_xll.AtlasFormulas.AtlasFunctions.AtlasTable("UAT",DataAreaId,"T.LedgerTable","%BlockedInJournal","","","","","","","AccountNum",$H14)</f>
        <v/>
      </c>
      <c r="J14" s="20" t="s">
        <v>0</v>
      </c>
      <c r="K14" s="20" t="s">
        <v>1062</v>
      </c>
      <c r="L14" s="20">
        <v>210004</v>
      </c>
      <c r="M14" s="5" t="str">
        <f>_xll.AtlasFormulas.AtlasFunctions.AtlasTable("UAT",DataAreaId,"T.LedgerTable","%BlockedInJournal","","","","","","","AccountNum",$L14)</f>
        <v>No</v>
      </c>
    </row>
    <row r="15" spans="1:13">
      <c r="A15" t="s">
        <v>253</v>
      </c>
      <c r="B15" t="s">
        <v>1065</v>
      </c>
      <c r="C15" s="20" t="s">
        <v>1064</v>
      </c>
      <c r="D15" s="20" t="s">
        <v>4</v>
      </c>
      <c r="E15" s="20"/>
      <c r="F15" s="20" t="s">
        <v>87</v>
      </c>
      <c r="G15" s="20"/>
      <c r="H15" s="20"/>
      <c r="I15" s="16" t="str">
        <f>_xll.AtlasFormulas.AtlasFunctions.AtlasTable("UAT",DataAreaId,"T.LedgerTable","%BlockedInJournal","","","","","","","AccountNum",$H15)</f>
        <v/>
      </c>
      <c r="J15" s="20" t="s">
        <v>0</v>
      </c>
      <c r="K15" s="20" t="s">
        <v>1062</v>
      </c>
      <c r="L15" s="20">
        <v>210000</v>
      </c>
      <c r="M15" s="5" t="str">
        <f>_xll.AtlasFormulas.AtlasFunctions.AtlasTable("UAT",DataAreaId,"T.LedgerTable","%BlockedInJournal","","","","","","","AccountNum",$L15)</f>
        <v>Yes</v>
      </c>
    </row>
    <row r="16" spans="1:13">
      <c r="A16" t="s">
        <v>253</v>
      </c>
      <c r="B16" t="s">
        <v>79</v>
      </c>
      <c r="C16" s="20" t="s">
        <v>79</v>
      </c>
      <c r="D16" s="20" t="s">
        <v>6</v>
      </c>
      <c r="E16" s="20" t="s">
        <v>1056</v>
      </c>
      <c r="F16" s="20" t="s">
        <v>87</v>
      </c>
      <c r="G16" s="20"/>
      <c r="H16" s="20"/>
      <c r="I16" s="16" t="str">
        <f>_xll.AtlasFormulas.AtlasFunctions.AtlasTable("UAT",DataAreaId,"T.LedgerTable","%BlockedInJournal","","","","","","","AccountNum",$H16)</f>
        <v/>
      </c>
      <c r="J16" s="20" t="s">
        <v>74</v>
      </c>
      <c r="K16" s="20"/>
      <c r="L16" s="20"/>
      <c r="M16" s="5" t="str">
        <f>_xll.AtlasFormulas.AtlasFunctions.AtlasTable("UAT",DataAreaId,"T.LedgerTable","%BlockedInJournal","","","","","","","AccountNum",$L16)</f>
        <v/>
      </c>
    </row>
    <row r="17" spans="1:13">
      <c r="A17" t="s">
        <v>253</v>
      </c>
      <c r="B17" t="s">
        <v>90</v>
      </c>
      <c r="C17" s="20" t="s">
        <v>91</v>
      </c>
      <c r="D17" s="20" t="s">
        <v>4</v>
      </c>
      <c r="E17" s="20"/>
      <c r="F17" s="20" t="s">
        <v>87</v>
      </c>
      <c r="G17" s="20"/>
      <c r="H17" s="20"/>
      <c r="I17" s="16" t="str">
        <f>_xll.AtlasFormulas.AtlasFunctions.AtlasTable("UAT",DataAreaId,"T.LedgerTable","%BlockedInJournal","","","","","","","AccountNum",$H17)</f>
        <v/>
      </c>
      <c r="J17" s="20" t="s">
        <v>74</v>
      </c>
      <c r="K17" s="20"/>
      <c r="L17" s="20"/>
      <c r="M17" s="5" t="str">
        <f>_xll.AtlasFormulas.AtlasFunctions.AtlasTable("UAT",DataAreaId,"T.LedgerTable","%BlockedInJournal","","","","","","","AccountNum",$L17)</f>
        <v/>
      </c>
    </row>
    <row r="18" spans="1:13">
      <c r="A18" t="s">
        <v>253</v>
      </c>
      <c r="B18" t="s">
        <v>733</v>
      </c>
      <c r="C18" s="20" t="s">
        <v>734</v>
      </c>
      <c r="D18" s="20" t="s">
        <v>6</v>
      </c>
      <c r="E18" s="20" t="s">
        <v>1056</v>
      </c>
      <c r="F18" s="20" t="s">
        <v>87</v>
      </c>
      <c r="G18" s="20"/>
      <c r="H18" s="20"/>
      <c r="I18" s="16" t="str">
        <f>_xll.AtlasFormulas.AtlasFunctions.AtlasTable("UAT",DataAreaId,"T.LedgerTable","%BlockedInJournal","","","","","","","AccountNum",$H18)</f>
        <v/>
      </c>
      <c r="J18" s="20" t="s">
        <v>0</v>
      </c>
      <c r="K18" s="20" t="s">
        <v>88</v>
      </c>
      <c r="L18" s="20">
        <v>495010</v>
      </c>
      <c r="M18" s="5" t="str">
        <f>_xll.AtlasFormulas.AtlasFunctions.AtlasTable("UAT",DataAreaId,"T.LedgerTable","%BlockedInJournal","","","","","","","AccountNum",$L18)</f>
        <v>No</v>
      </c>
    </row>
    <row r="19" spans="1:13">
      <c r="A19" t="s">
        <v>253</v>
      </c>
      <c r="B19" t="s">
        <v>64</v>
      </c>
      <c r="C19" s="20" t="s">
        <v>80</v>
      </c>
      <c r="D19" s="20" t="s">
        <v>6</v>
      </c>
      <c r="E19" s="20" t="s">
        <v>1056</v>
      </c>
      <c r="F19" s="20" t="s">
        <v>0</v>
      </c>
      <c r="G19" s="20" t="s">
        <v>75</v>
      </c>
      <c r="H19" s="20">
        <v>907010</v>
      </c>
      <c r="I19" s="16" t="str">
        <f>_xll.AtlasFormulas.AtlasFunctions.AtlasTable("UAT",DataAreaId,"T.LedgerTable","%BlockedInJournal","","","","","","","AccountNum",$H19)</f>
        <v>No</v>
      </c>
      <c r="J19" s="20" t="s">
        <v>74</v>
      </c>
      <c r="K19" s="20"/>
      <c r="L19" s="20"/>
      <c r="M19" s="5" t="str">
        <f>_xll.AtlasFormulas.AtlasFunctions.AtlasTable("UAT",DataAreaId,"T.LedgerTable","%BlockedInJournal","","","","","","","AccountNum",$L19)</f>
        <v/>
      </c>
    </row>
    <row r="20" spans="1:13">
      <c r="A20" t="s">
        <v>253</v>
      </c>
      <c r="B20" t="s">
        <v>92</v>
      </c>
      <c r="C20" s="20" t="s">
        <v>93</v>
      </c>
      <c r="D20" s="20" t="s">
        <v>4</v>
      </c>
      <c r="E20" s="20" t="s">
        <v>1056</v>
      </c>
      <c r="F20" s="20" t="s">
        <v>87</v>
      </c>
      <c r="G20" s="20"/>
      <c r="H20" s="20"/>
      <c r="I20" s="16" t="str">
        <f>_xll.AtlasFormulas.AtlasFunctions.AtlasTable("UAT",DataAreaId,"T.LedgerTable","%BlockedInJournal","","","","","","","AccountNum",$H20)</f>
        <v/>
      </c>
      <c r="J20" s="20" t="s">
        <v>74</v>
      </c>
      <c r="K20" s="20"/>
      <c r="L20" s="20"/>
      <c r="M20" s="5" t="str">
        <f>_xll.AtlasFormulas.AtlasFunctions.AtlasTable("UAT",DataAreaId,"T.LedgerTable","%BlockedInJournal","","","","","","","AccountNum",$L20)</f>
        <v/>
      </c>
    </row>
    <row r="21" spans="1:1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5"/>
    </row>
    <row r="22" spans="1:1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5"/>
    </row>
    <row r="23" spans="1:1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5"/>
    </row>
    <row r="24" spans="1:13">
      <c r="A24" t="s">
        <v>81</v>
      </c>
    </row>
    <row r="25" spans="1:13">
      <c r="A25" t="s">
        <v>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88"/>
  <sheetViews>
    <sheetView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N3" sqref="N3:N188"/>
    </sheetView>
  </sheetViews>
  <sheetFormatPr defaultRowHeight="15"/>
  <cols>
    <col min="1" max="1" width="18.42578125" customWidth="1"/>
    <col min="2" max="2" width="22.5703125" customWidth="1"/>
    <col min="3" max="3" width="11.28515625" customWidth="1"/>
    <col min="4" max="4" width="23.42578125" customWidth="1"/>
    <col min="5" max="5" width="30" customWidth="1"/>
    <col min="6" max="6" width="16.85546875" bestFit="1" customWidth="1"/>
    <col min="7" max="7" width="10.42578125" customWidth="1"/>
    <col min="8" max="8" width="8.7109375" customWidth="1"/>
    <col min="9" max="9" width="16.7109375" customWidth="1"/>
    <col min="10" max="10" width="11.5703125" customWidth="1"/>
    <col min="11" max="11" width="31.42578125" customWidth="1"/>
    <col min="12" max="12" width="16.85546875" customWidth="1"/>
    <col min="13" max="13" width="21" customWidth="1"/>
    <col min="14" max="14" width="18.42578125" customWidth="1"/>
  </cols>
  <sheetData>
    <row r="1" spans="1:14" ht="22.5">
      <c r="A1" s="6" t="s">
        <v>260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>
      <c r="A2" s="4" t="s">
        <v>109</v>
      </c>
      <c r="B2" s="4" t="s">
        <v>2</v>
      </c>
      <c r="C2" s="4" t="s">
        <v>261</v>
      </c>
      <c r="D2" s="4" t="s">
        <v>262</v>
      </c>
      <c r="E2" s="4" t="s">
        <v>780</v>
      </c>
      <c r="F2" t="s">
        <v>876</v>
      </c>
      <c r="G2" s="4" t="s">
        <v>50</v>
      </c>
      <c r="H2" s="4" t="s">
        <v>263</v>
      </c>
      <c r="I2" s="4" t="s">
        <v>701</v>
      </c>
      <c r="J2" s="4" t="s">
        <v>264</v>
      </c>
      <c r="K2" s="4" t="s">
        <v>1</v>
      </c>
      <c r="L2" s="4" t="s">
        <v>113</v>
      </c>
      <c r="M2" s="4" t="s">
        <v>114</v>
      </c>
      <c r="N2" s="4" t="s">
        <v>3</v>
      </c>
    </row>
    <row r="3" spans="1:14">
      <c r="A3" s="17" t="s">
        <v>110</v>
      </c>
      <c r="B3" s="19" t="s">
        <v>96</v>
      </c>
      <c r="C3" s="19" t="s">
        <v>54</v>
      </c>
      <c r="D3" s="19" t="s">
        <v>95</v>
      </c>
      <c r="E3" s="18" t="str">
        <f>_xll.AtlasFormulas.AtlasFunctions.AtlasTable("UAT",DataAreaId,"T.InventTable","%ItemName","","","","","","","ItemId",$D3)</f>
        <v/>
      </c>
      <c r="F3" s="18" t="str">
        <f>_xll.AtlasFormulas.AtlasFunctions.AtlasTable("UAT","UNI","T.InventTable","%ItemName","","","","","","","ItemId",$D3)</f>
        <v>Code approvals</v>
      </c>
      <c r="G3" s="19" t="s">
        <v>56</v>
      </c>
      <c r="H3" s="17"/>
      <c r="I3" s="17"/>
      <c r="J3" s="19">
        <v>811000</v>
      </c>
      <c r="K3" s="18" t="str">
        <f>_xll.AtlasFormulas.AtlasFunctions.AtlasTable("UAT",DataAreaId,"T.LedgerTable","%AccountName","","","","","","","AccountNum",$J3)</f>
        <v>Code approvals</v>
      </c>
      <c r="L3" s="3"/>
      <c r="M3" s="3"/>
      <c r="N3" s="5" t="str">
        <f>_xll.AtlasFormulas.AtlasFunctions.AtlasTable("UAT",DataAreaId,"T.LedgerTable","%BlockedInJournal","","","","","","","AccountNum",$J3)</f>
        <v>No</v>
      </c>
    </row>
    <row r="4" spans="1:14">
      <c r="A4" s="17" t="s">
        <v>110</v>
      </c>
      <c r="B4" s="19" t="s">
        <v>96</v>
      </c>
      <c r="C4" s="19" t="s">
        <v>54</v>
      </c>
      <c r="D4" s="19" t="s">
        <v>97</v>
      </c>
      <c r="E4" s="17" t="str">
        <f>_xll.AtlasFormulas.AtlasFunctions.AtlasTable("UAT",DataAreaId,"T.InventTable","%ItemName","","","","","","","ItemId",$D4)</f>
        <v/>
      </c>
      <c r="F4" s="18" t="str">
        <f>_xll.AtlasFormulas.AtlasFunctions.AtlasTable("UAT","UNI","T.InventTable","%ItemName","","","","","","","ItemId",$D4)</f>
        <v>Dues - other</v>
      </c>
      <c r="G4" s="19" t="s">
        <v>56</v>
      </c>
      <c r="H4" s="17"/>
      <c r="I4" s="17"/>
      <c r="J4" s="19">
        <v>619000</v>
      </c>
      <c r="K4" s="18" t="str">
        <f>_xll.AtlasFormulas.AtlasFunctions.AtlasTable("UAT",DataAreaId,"T.LedgerTable","%AccountName","","","","","","","AccountNum",$J4)</f>
        <v>Dues - other</v>
      </c>
      <c r="L4" s="3"/>
      <c r="M4" s="3"/>
      <c r="N4" s="5" t="str">
        <f>_xll.AtlasFormulas.AtlasFunctions.AtlasTable("UAT",DataAreaId,"T.LedgerTable","%BlockedInJournal","","","","","","","AccountNum",$J4)</f>
        <v>No</v>
      </c>
    </row>
    <row r="5" spans="1:14">
      <c r="A5" s="17" t="s">
        <v>110</v>
      </c>
      <c r="B5" s="19" t="s">
        <v>96</v>
      </c>
      <c r="C5" s="19" t="s">
        <v>54</v>
      </c>
      <c r="D5" s="19" t="s">
        <v>787</v>
      </c>
      <c r="E5" s="17" t="str">
        <f>_xll.AtlasFormulas.AtlasFunctions.AtlasTable("UAT",DataAreaId,"T.InventTable","%ItemName","","","","","","","ItemId",$D5)</f>
        <v/>
      </c>
      <c r="F5" s="18" t="str">
        <f>_xll.AtlasFormulas.AtlasFunctions.AtlasTable("UAT","UNI","T.InventTable","%ItemName","","","","","","","ItemId",$D5)</f>
        <v>EE Tuition</v>
      </c>
      <c r="G5" s="19" t="s">
        <v>56</v>
      </c>
      <c r="H5" s="17"/>
      <c r="I5" s="17"/>
      <c r="J5" s="19">
        <v>521000</v>
      </c>
      <c r="K5" s="18" t="str">
        <f>_xll.AtlasFormulas.AtlasFunctions.AtlasTable("UAT",DataAreaId,"T.LedgerTable","%AccountName","","","","","","","AccountNum",$J5)</f>
        <v>EE develop - tuition re-imbursement</v>
      </c>
      <c r="L5" s="3"/>
      <c r="M5" s="3"/>
      <c r="N5" s="5" t="str">
        <f>_xll.AtlasFormulas.AtlasFunctions.AtlasTable("UAT",DataAreaId,"T.LedgerTable","%BlockedInJournal","","","","","","","AccountNum",$J5)</f>
        <v>No</v>
      </c>
    </row>
    <row r="6" spans="1:14">
      <c r="A6" s="17" t="s">
        <v>110</v>
      </c>
      <c r="B6" s="19" t="s">
        <v>96</v>
      </c>
      <c r="C6" s="19" t="s">
        <v>54</v>
      </c>
      <c r="D6" s="19" t="s">
        <v>1632</v>
      </c>
      <c r="E6" s="17" t="str">
        <f>_xll.AtlasFormulas.AtlasFunctions.AtlasTable("UAT",DataAreaId,"T.InventTable","%ItemName","","","","","","","ItemId",$D6)</f>
        <v>Fixed Asset Item</v>
      </c>
      <c r="F6" s="18" t="str">
        <f>_xll.AtlasFormulas.AtlasFunctions.AtlasTable("UAT","UNI","T.InventTable","%ItemName","","","","","","","ItemId",$D6)</f>
        <v>Fixed Asset Item</v>
      </c>
      <c r="G6" s="19" t="s">
        <v>56</v>
      </c>
      <c r="H6" s="17"/>
      <c r="I6" s="17"/>
      <c r="J6" s="19">
        <v>179001</v>
      </c>
      <c r="K6" s="18" t="str">
        <f>_xll.AtlasFormulas.AtlasFunctions.AtlasTable("UAT",DataAreaId,"T.LedgerTable","%AccountName","","","","","","","AccountNum",$J6)</f>
        <v>Capital projects-in-process 2</v>
      </c>
      <c r="L6" s="3"/>
      <c r="M6" s="3"/>
      <c r="N6" s="5" t="str">
        <f>_xll.AtlasFormulas.AtlasFunctions.AtlasTable("UAT",DataAreaId,"T.LedgerTable","%BlockedInJournal","","","","","","","AccountNum",$J6)</f>
        <v>No</v>
      </c>
    </row>
    <row r="7" spans="1:14">
      <c r="A7" s="17" t="s">
        <v>110</v>
      </c>
      <c r="B7" s="19" t="s">
        <v>96</v>
      </c>
      <c r="C7" s="19" t="s">
        <v>54</v>
      </c>
      <c r="D7" s="19" t="s">
        <v>788</v>
      </c>
      <c r="E7" s="17" t="str">
        <f>_xll.AtlasFormulas.AtlasFunctions.AtlasTable("UAT",DataAreaId,"T.InventTable","%ItemName","","","","","","","ItemId",$D7)</f>
        <v/>
      </c>
      <c r="F7" s="18" t="str">
        <f>_xll.AtlasFormulas.AtlasFunctions.AtlasTable("UAT","UNI","T.InventTable","%ItemName","","","","","","","ItemId",$D7)</f>
        <v>Fines &amp; Penalties</v>
      </c>
      <c r="G7" s="19" t="s">
        <v>56</v>
      </c>
      <c r="H7" s="17"/>
      <c r="I7" s="17"/>
      <c r="J7" s="19">
        <v>631000</v>
      </c>
      <c r="K7" s="18" t="str">
        <f>_xll.AtlasFormulas.AtlasFunctions.AtlasTable("UAT",DataAreaId,"T.LedgerTable","%AccountName","","","","","","","AccountNum",$J7)</f>
        <v>Fines and penalties</v>
      </c>
      <c r="L7" s="3"/>
      <c r="M7" s="3"/>
      <c r="N7" s="5" t="str">
        <f>_xll.AtlasFormulas.AtlasFunctions.AtlasTable("UAT",DataAreaId,"T.LedgerTable","%BlockedInJournal","","","","","","","AccountNum",$J7)</f>
        <v>No</v>
      </c>
    </row>
    <row r="8" spans="1:14">
      <c r="A8" s="5" t="s">
        <v>110</v>
      </c>
      <c r="B8" s="19" t="s">
        <v>96</v>
      </c>
      <c r="C8" s="19" t="s">
        <v>54</v>
      </c>
      <c r="D8" s="19" t="s">
        <v>594</v>
      </c>
      <c r="E8" s="5" t="str">
        <f>_xll.AtlasFormulas.AtlasFunctions.AtlasTable("UAT",DataAreaId,"T.InventTable","%ItemName","","","","","","","ItemId",$D8)</f>
        <v/>
      </c>
      <c r="F8" s="18" t="str">
        <f>_xll.AtlasFormulas.AtlasFunctions.AtlasTable("UAT","UNI","T.InventTable","%ItemName","","","","","","","ItemId",$D8)</f>
        <v/>
      </c>
      <c r="G8" s="19" t="s">
        <v>56</v>
      </c>
      <c r="H8" s="5"/>
      <c r="I8" s="5"/>
      <c r="J8" s="19">
        <v>429200</v>
      </c>
      <c r="K8" s="18" t="str">
        <f>_xll.AtlasFormulas.AtlasFunctions.AtlasTable("UAT",DataAreaId,"T.LedgerTable","%AccountName","","","","","","","AccountNum",$J8)</f>
        <v>Health, welfare</v>
      </c>
      <c r="L8" s="5"/>
      <c r="M8" s="5"/>
      <c r="N8" s="5" t="str">
        <f>_xll.AtlasFormulas.AtlasFunctions.AtlasTable("UAT",DataAreaId,"T.LedgerTable","%BlockedInJournal","","","","","","","AccountNum",$J8)</f>
        <v>No</v>
      </c>
    </row>
    <row r="9" spans="1:14">
      <c r="A9" s="5" t="s">
        <v>110</v>
      </c>
      <c r="B9" s="19" t="s">
        <v>96</v>
      </c>
      <c r="C9" s="19" t="s">
        <v>54</v>
      </c>
      <c r="D9" s="19" t="s">
        <v>791</v>
      </c>
      <c r="E9" s="5" t="str">
        <f>_xll.AtlasFormulas.AtlasFunctions.AtlasTable("UAT",DataAreaId,"T.InventTable","%ItemName","","","","","","","ItemId",$D9)</f>
        <v/>
      </c>
      <c r="F9" s="18" t="str">
        <f>_xll.AtlasFormulas.AtlasFunctions.AtlasTable("UAT","UNI","T.InventTable","%ItemName","","","","","","","ItemId",$D9)</f>
        <v/>
      </c>
      <c r="G9" s="19" t="s">
        <v>56</v>
      </c>
      <c r="H9" s="5"/>
      <c r="I9" s="5"/>
      <c r="J9" s="19">
        <v>754000</v>
      </c>
      <c r="K9" s="18" t="str">
        <f>_xll.AtlasFormulas.AtlasFunctions.AtlasTable("UAT",DataAreaId,"T.LedgerTable","%AccountName","","","","","","","AccountNum",$J9)</f>
        <v>Services - uniforms, mats, etc.</v>
      </c>
      <c r="L9" s="5"/>
      <c r="M9" s="5"/>
      <c r="N9" s="5" t="str">
        <f>_xll.AtlasFormulas.AtlasFunctions.AtlasTable("UAT",DataAreaId,"T.LedgerTable","%BlockedInJournal","","","","","","","AccountNum",$J9)</f>
        <v>No</v>
      </c>
    </row>
    <row r="10" spans="1:14">
      <c r="A10" s="5" t="s">
        <v>110</v>
      </c>
      <c r="B10" s="19" t="s">
        <v>96</v>
      </c>
      <c r="C10" s="19" t="s">
        <v>55</v>
      </c>
      <c r="D10" s="19" t="s">
        <v>792</v>
      </c>
      <c r="E10" s="5" t="str">
        <f>_xll.AtlasFormulas.AtlasFunctions.AtlasTable("UAT",DataAreaId,"T.InventTable","%ItemName","","","","","","","ItemId",$D10)</f>
        <v/>
      </c>
      <c r="F10" s="18" t="str">
        <f>_xll.AtlasFormulas.AtlasFunctions.AtlasTable("UAT","UNI","T.InventTable","%ItemName","","","","","","","ItemId",$D10)</f>
        <v/>
      </c>
      <c r="G10" s="19" t="s">
        <v>56</v>
      </c>
      <c r="H10" s="5"/>
      <c r="I10" s="5"/>
      <c r="J10" s="19">
        <v>131000</v>
      </c>
      <c r="K10" s="18" t="str">
        <f>_xll.AtlasFormulas.AtlasFunctions.AtlasTable("UAT",DataAreaId,"T.LedgerTable","%AccountName","","","","","","","AccountNum",$J10)</f>
        <v>Components</v>
      </c>
      <c r="L10" s="5"/>
      <c r="M10" s="5"/>
      <c r="N10" s="5" t="str">
        <f>_xll.AtlasFormulas.AtlasFunctions.AtlasTable("UAT",DataAreaId,"T.LedgerTable","%BlockedInJournal","","","","","","","AccountNum",$J10)</f>
        <v>Yes</v>
      </c>
    </row>
    <row r="11" spans="1:14">
      <c r="A11" s="5" t="s">
        <v>110</v>
      </c>
      <c r="B11" s="19" t="s">
        <v>96</v>
      </c>
      <c r="C11" s="19" t="s">
        <v>55</v>
      </c>
      <c r="D11" s="19" t="s">
        <v>793</v>
      </c>
      <c r="E11" s="5" t="str">
        <f>_xll.AtlasFormulas.AtlasFunctions.AtlasTable("UAT",DataAreaId,"T.InventTable","%ItemName","","","","","","","ItemId",$D11)</f>
        <v/>
      </c>
      <c r="F11" s="18" t="str">
        <f>_xll.AtlasFormulas.AtlasFunctions.AtlasTable("UAT","UNI","T.InventTable","%ItemName","","","","","","","ItemId",$D11)</f>
        <v/>
      </c>
      <c r="G11" s="19" t="s">
        <v>56</v>
      </c>
      <c r="H11" s="5"/>
      <c r="I11" s="5"/>
      <c r="J11" s="19">
        <v>130000</v>
      </c>
      <c r="K11" s="18" t="str">
        <f>_xll.AtlasFormulas.AtlasFunctions.AtlasTable("UAT",DataAreaId,"T.LedgerTable","%AccountName","","","","","","","AccountNum",$J11)</f>
        <v>Raw materials</v>
      </c>
      <c r="L11" s="5"/>
      <c r="M11" s="5"/>
      <c r="N11" s="5" t="str">
        <f>_xll.AtlasFormulas.AtlasFunctions.AtlasTable("UAT",DataAreaId,"T.LedgerTable","%BlockedInJournal","","","","","","","AccountNum",$J11)</f>
        <v>Yes</v>
      </c>
    </row>
    <row r="12" spans="1:14">
      <c r="A12" s="5" t="s">
        <v>110</v>
      </c>
      <c r="B12" s="19" t="s">
        <v>96</v>
      </c>
      <c r="C12" s="19" t="s">
        <v>55</v>
      </c>
      <c r="D12" s="19" t="s">
        <v>794</v>
      </c>
      <c r="E12" s="5" t="str">
        <f>_xll.AtlasFormulas.AtlasFunctions.AtlasTable("UAT",DataAreaId,"T.InventTable","%ItemName","","","","","","","ItemId",$D12)</f>
        <v/>
      </c>
      <c r="F12" s="18" t="str">
        <f>_xll.AtlasFormulas.AtlasFunctions.AtlasTable("UAT","UNI","T.InventTable","%ItemName","","","","","","","ItemId",$D12)</f>
        <v/>
      </c>
      <c r="G12" s="19" t="s">
        <v>56</v>
      </c>
      <c r="H12" s="5"/>
      <c r="I12" s="5"/>
      <c r="J12" s="19">
        <v>132000</v>
      </c>
      <c r="K12" s="18" t="str">
        <f>_xll.AtlasFormulas.AtlasFunctions.AtlasTable("UAT",DataAreaId,"T.LedgerTable","%AccountName","","","","","","","AccountNum",$J12)</f>
        <v>Finished goods</v>
      </c>
      <c r="L12" s="5"/>
      <c r="M12" s="5"/>
      <c r="N12" s="5" t="str">
        <f>_xll.AtlasFormulas.AtlasFunctions.AtlasTable("UAT",DataAreaId,"T.LedgerTable","%BlockedInJournal","","","","","","","AccountNum",$J12)</f>
        <v>Yes</v>
      </c>
    </row>
    <row r="13" spans="1:14">
      <c r="A13" s="5" t="s">
        <v>110</v>
      </c>
      <c r="B13" s="19" t="s">
        <v>96</v>
      </c>
      <c r="C13" s="19" t="s">
        <v>55</v>
      </c>
      <c r="D13" s="19" t="s">
        <v>795</v>
      </c>
      <c r="E13" s="5" t="str">
        <f>_xll.AtlasFormulas.AtlasFunctions.AtlasTable("UAT",DataAreaId,"T.InventTable","%ItemName","","","","","","","ItemId",$D13)</f>
        <v/>
      </c>
      <c r="F13" s="18" t="str">
        <f>_xll.AtlasFormulas.AtlasFunctions.AtlasTable("UAT","UNI","T.InventTable","%ItemName","","","","","","","ItemId",$D13)</f>
        <v/>
      </c>
      <c r="G13" s="19" t="s">
        <v>56</v>
      </c>
      <c r="H13" s="5"/>
      <c r="I13" s="5"/>
      <c r="J13" s="19">
        <v>671000</v>
      </c>
      <c r="K13" s="18" t="str">
        <f>_xll.AtlasFormulas.AtlasFunctions.AtlasTable("UAT",DataAreaId,"T.LedgerTable","%AccountName","","","","","","","AccountNum",$J13)</f>
        <v>Home Office Allocations - In</v>
      </c>
      <c r="L13" s="5"/>
      <c r="M13" s="5"/>
      <c r="N13" s="5" t="str">
        <f>_xll.AtlasFormulas.AtlasFunctions.AtlasTable("UAT",DataAreaId,"T.LedgerTable","%BlockedInJournal","","","","","","","AccountNum",$J13)</f>
        <v>No</v>
      </c>
    </row>
    <row r="14" spans="1:14">
      <c r="A14" s="5" t="s">
        <v>110</v>
      </c>
      <c r="B14" s="19" t="s">
        <v>96</v>
      </c>
      <c r="C14" s="19" t="s">
        <v>55</v>
      </c>
      <c r="D14" s="19" t="s">
        <v>796</v>
      </c>
      <c r="E14" s="5" t="str">
        <f>_xll.AtlasFormulas.AtlasFunctions.AtlasTable("UAT",DataAreaId,"T.InventTable","%ItemName","","","","","","","ItemId",$D14)</f>
        <v/>
      </c>
      <c r="F14" s="18" t="str">
        <f>_xll.AtlasFormulas.AtlasFunctions.AtlasTable("UAT","UNI","T.InventTable","%ItemName","","","","","","","ItemId",$D14)</f>
        <v/>
      </c>
      <c r="G14" s="19" t="s">
        <v>56</v>
      </c>
      <c r="H14" s="5"/>
      <c r="I14" s="5"/>
      <c r="J14" s="19">
        <v>779000</v>
      </c>
      <c r="K14" s="18" t="str">
        <f>_xll.AtlasFormulas.AtlasFunctions.AtlasTable("UAT",DataAreaId,"T.LedgerTable","%AccountName","","","","","","","AccountNum",$J14)</f>
        <v>Supplies - other</v>
      </c>
      <c r="L14" s="5"/>
      <c r="M14" s="5"/>
      <c r="N14" s="5" t="str">
        <f>_xll.AtlasFormulas.AtlasFunctions.AtlasTable("UAT",DataAreaId,"T.LedgerTable","%BlockedInJournal","","","","","","","AccountNum",$J14)</f>
        <v>No</v>
      </c>
    </row>
    <row r="15" spans="1:14">
      <c r="A15" s="5" t="s">
        <v>110</v>
      </c>
      <c r="B15" s="19" t="s">
        <v>797</v>
      </c>
      <c r="C15" s="19" t="s">
        <v>56</v>
      </c>
      <c r="D15" s="19"/>
      <c r="E15" s="5" t="str">
        <f>_xll.AtlasFormulas.AtlasFunctions.AtlasTable("UAT",DataAreaId,"T.InventTable","%ItemName","","","","","","","ItemId",$D15)</f>
        <v/>
      </c>
      <c r="F15" s="18" t="str">
        <f>_xll.AtlasFormulas.AtlasFunctions.AtlasTable("UAT","UNI","T.InventTable","%ItemName","","","","","","","ItemId",$D15)</f>
        <v/>
      </c>
      <c r="G15" s="19" t="s">
        <v>56</v>
      </c>
      <c r="H15" s="5"/>
      <c r="I15" s="5"/>
      <c r="J15" s="19">
        <v>210010</v>
      </c>
      <c r="K15" s="18" t="str">
        <f>_xll.AtlasFormulas.AtlasFunctions.AtlasTable("UAT",DataAreaId,"T.LedgerTable","%AccountName","","","","","","","AccountNum",$J15)</f>
        <v>Accounts payable - clearing</v>
      </c>
      <c r="L15" s="5"/>
      <c r="M15" s="5"/>
      <c r="N15" s="5" t="str">
        <f>_xll.AtlasFormulas.AtlasFunctions.AtlasTable("UAT",DataAreaId,"T.LedgerTable","%BlockedInJournal","","","","","","","AccountNum",$J15)</f>
        <v>No</v>
      </c>
    </row>
    <row r="16" spans="1:14">
      <c r="A16" s="5" t="s">
        <v>110</v>
      </c>
      <c r="B16" s="19" t="s">
        <v>102</v>
      </c>
      <c r="C16" s="19" t="s">
        <v>54</v>
      </c>
      <c r="D16" s="19" t="s">
        <v>798</v>
      </c>
      <c r="E16" s="5" t="str">
        <f>_xll.AtlasFormulas.AtlasFunctions.AtlasTable("UAT",DataAreaId,"T.InventTable","%ItemName","","","","","","","ItemId",$D16)</f>
        <v/>
      </c>
      <c r="F16" s="18" t="str">
        <f>_xll.AtlasFormulas.AtlasFunctions.AtlasTable("UAT","UNI","T.InventTable","%ItemName","","","","","","","ItemId",$D16)</f>
        <v>Adv - cat</v>
      </c>
      <c r="G16" s="19" t="s">
        <v>56</v>
      </c>
      <c r="H16" s="5"/>
      <c r="I16" s="5"/>
      <c r="J16" s="19">
        <v>511000</v>
      </c>
      <c r="K16" s="18" t="str">
        <f>_xll.AtlasFormulas.AtlasFunctions.AtlasTable("UAT",DataAreaId,"T.LedgerTable","%AccountName","","","","","","","AccountNum",$J16)</f>
        <v>Adv - catalogs &amp; price lists</v>
      </c>
      <c r="L16" s="5"/>
      <c r="M16" s="5"/>
      <c r="N16" s="5" t="str">
        <f>_xll.AtlasFormulas.AtlasFunctions.AtlasTable("UAT",DataAreaId,"T.LedgerTable","%BlockedInJournal","","","","","","","AccountNum",$J16)</f>
        <v>No</v>
      </c>
    </row>
    <row r="17" spans="1:14">
      <c r="A17" s="5" t="s">
        <v>110</v>
      </c>
      <c r="B17" s="19" t="s">
        <v>102</v>
      </c>
      <c r="C17" s="19" t="s">
        <v>54</v>
      </c>
      <c r="D17" s="19" t="s">
        <v>799</v>
      </c>
      <c r="E17" s="5" t="str">
        <f>_xll.AtlasFormulas.AtlasFunctions.AtlasTable("UAT",DataAreaId,"T.InventTable","%ItemName","","","","","","","ItemId",$D17)</f>
        <v/>
      </c>
      <c r="F17" s="18" t="str">
        <f>_xll.AtlasFormulas.AtlasFunctions.AtlasTable("UAT","UNI","T.InventTable","%ItemName","","","","","","","ItemId",$D17)</f>
        <v>Adv - lit</v>
      </c>
      <c r="G17" s="19" t="s">
        <v>56</v>
      </c>
      <c r="H17" s="5"/>
      <c r="I17" s="5"/>
      <c r="J17" s="19">
        <v>511200</v>
      </c>
      <c r="K17" s="18" t="str">
        <f>_xll.AtlasFormulas.AtlasFunctions.AtlasTable("UAT",DataAreaId,"T.LedgerTable","%AccountName","","","","","","","AccountNum",$J17)</f>
        <v>Adv - consumer literature</v>
      </c>
      <c r="L17" s="5"/>
      <c r="M17" s="5"/>
      <c r="N17" s="5" t="str">
        <f>_xll.AtlasFormulas.AtlasFunctions.AtlasTable("UAT",DataAreaId,"T.LedgerTable","%BlockedInJournal","","","","","","","AccountNum",$J17)</f>
        <v>No</v>
      </c>
    </row>
    <row r="18" spans="1:14">
      <c r="A18" s="5" t="s">
        <v>110</v>
      </c>
      <c r="B18" s="19" t="s">
        <v>102</v>
      </c>
      <c r="C18" s="19" t="s">
        <v>54</v>
      </c>
      <c r="D18" s="19" t="s">
        <v>800</v>
      </c>
      <c r="E18" s="5" t="str">
        <f>_xll.AtlasFormulas.AtlasFunctions.AtlasTable("UAT",DataAreaId,"T.InventTable","%ItemName","","","","","","","ItemId",$D18)</f>
        <v/>
      </c>
      <c r="F18" s="18" t="str">
        <f>_xll.AtlasFormulas.AtlasFunctions.AtlasTable("UAT","UNI","T.InventTable","%ItemName","","","","","","","ItemId",$D18)</f>
        <v>Adv - sls prom</v>
      </c>
      <c r="G18" s="19" t="s">
        <v>56</v>
      </c>
      <c r="H18" s="5"/>
      <c r="I18" s="5"/>
      <c r="J18" s="19">
        <v>511700</v>
      </c>
      <c r="K18" s="18" t="str">
        <f>_xll.AtlasFormulas.AtlasFunctions.AtlasTable("UAT",DataAreaId,"T.LedgerTable","%AccountName","","","","","","","AccountNum",$J18)</f>
        <v>Adv - sales promotions</v>
      </c>
      <c r="L18" s="5"/>
      <c r="M18" s="5"/>
      <c r="N18" s="5" t="str">
        <f>_xll.AtlasFormulas.AtlasFunctions.AtlasTable("UAT",DataAreaId,"T.LedgerTable","%BlockedInJournal","","","","","","","AccountNum",$J18)</f>
        <v>No</v>
      </c>
    </row>
    <row r="19" spans="1:14">
      <c r="A19" s="5" t="s">
        <v>110</v>
      </c>
      <c r="B19" s="19" t="s">
        <v>102</v>
      </c>
      <c r="C19" s="19" t="s">
        <v>54</v>
      </c>
      <c r="D19" s="19" t="s">
        <v>9</v>
      </c>
      <c r="E19" s="5" t="str">
        <f>_xll.AtlasFormulas.AtlasFunctions.AtlasTable("UAT",DataAreaId,"T.InventTable","%ItemName","","","","","","","ItemId",$D19)</f>
        <v/>
      </c>
      <c r="F19" s="18" t="str">
        <f>_xll.AtlasFormulas.AtlasFunctions.AtlasTable("UAT","UNI","T.InventTable","%ItemName","","","","","","","ItemId",$D19)</f>
        <v>Automobiles</v>
      </c>
      <c r="G19" s="19" t="s">
        <v>56</v>
      </c>
      <c r="H19" s="5"/>
      <c r="I19" s="5"/>
      <c r="J19" s="19">
        <v>172300</v>
      </c>
      <c r="K19" s="18" t="str">
        <f>_xll.AtlasFormulas.AtlasFunctions.AtlasTable("UAT",DataAreaId,"T.LedgerTable","%AccountName","","","","","","","AccountNum",$J19)</f>
        <v>Automobiles</v>
      </c>
      <c r="L19" s="5"/>
      <c r="M19" s="5"/>
      <c r="N19" s="5" t="str">
        <f>_xll.AtlasFormulas.AtlasFunctions.AtlasTable("UAT",DataAreaId,"T.LedgerTable","%BlockedInJournal","","","","","","","AccountNum",$J19)</f>
        <v>No</v>
      </c>
    </row>
    <row r="20" spans="1:14">
      <c r="A20" s="5" t="s">
        <v>110</v>
      </c>
      <c r="B20" s="19" t="s">
        <v>102</v>
      </c>
      <c r="C20" s="19" t="s">
        <v>54</v>
      </c>
      <c r="D20" s="19" t="s">
        <v>95</v>
      </c>
      <c r="E20" s="5" t="str">
        <f>_xll.AtlasFormulas.AtlasFunctions.AtlasTable("UAT",DataAreaId,"T.InventTable","%ItemName","","","","","","","ItemId",$D20)</f>
        <v/>
      </c>
      <c r="F20" s="18" t="str">
        <f>_xll.AtlasFormulas.AtlasFunctions.AtlasTable("UAT","UNI","T.InventTable","%ItemName","","","","","","","ItemId",$D20)</f>
        <v>Code approvals</v>
      </c>
      <c r="G20" s="19" t="s">
        <v>56</v>
      </c>
      <c r="H20" s="5"/>
      <c r="I20" s="5"/>
      <c r="J20" s="19">
        <v>811000</v>
      </c>
      <c r="K20" s="18" t="str">
        <f>_xll.AtlasFormulas.AtlasFunctions.AtlasTable("UAT",DataAreaId,"T.LedgerTable","%AccountName","","","","","","","AccountNum",$J20)</f>
        <v>Code approvals</v>
      </c>
      <c r="L20" s="5"/>
      <c r="M20" s="5"/>
      <c r="N20" s="5" t="str">
        <f>_xll.AtlasFormulas.AtlasFunctions.AtlasTable("UAT",DataAreaId,"T.LedgerTable","%BlockedInJournal","","","","","","","AccountNum",$J20)</f>
        <v>No</v>
      </c>
    </row>
    <row r="21" spans="1:14">
      <c r="A21" s="5" t="s">
        <v>110</v>
      </c>
      <c r="B21" s="19" t="s">
        <v>102</v>
      </c>
      <c r="C21" s="19" t="s">
        <v>54</v>
      </c>
      <c r="D21" s="19" t="s">
        <v>801</v>
      </c>
      <c r="E21" s="5" t="str">
        <f>_xll.AtlasFormulas.AtlasFunctions.AtlasTable("UAT",DataAreaId,"T.InventTable","%ItemName","","","","","","","ItemId",$D21)</f>
        <v/>
      </c>
      <c r="F21" s="18" t="str">
        <f>_xll.AtlasFormulas.AtlasFunctions.AtlasTable("UAT","UNI","T.InventTable","%ItemName","","","","","","","ItemId",$D21)</f>
        <v>Comp - hardware</v>
      </c>
      <c r="G21" s="19" t="s">
        <v>56</v>
      </c>
      <c r="H21" s="5"/>
      <c r="I21" s="5"/>
      <c r="J21" s="19">
        <v>581000</v>
      </c>
      <c r="K21" s="18" t="str">
        <f>_xll.AtlasFormulas.AtlasFunctions.AtlasTable("UAT",DataAreaId,"T.LedgerTable","%AccountName","","","","","","","AccountNum",$J21)</f>
        <v>Computers - hardware</v>
      </c>
      <c r="L21" s="5"/>
      <c r="M21" s="5"/>
      <c r="N21" s="5" t="str">
        <f>_xll.AtlasFormulas.AtlasFunctions.AtlasTable("UAT",DataAreaId,"T.LedgerTable","%BlockedInJournal","","","","","","","AccountNum",$J21)</f>
        <v>No</v>
      </c>
    </row>
    <row r="22" spans="1:14">
      <c r="A22" s="5" t="s">
        <v>110</v>
      </c>
      <c r="B22" s="19" t="s">
        <v>102</v>
      </c>
      <c r="C22" s="19" t="s">
        <v>54</v>
      </c>
      <c r="D22" s="19" t="s">
        <v>802</v>
      </c>
      <c r="E22" s="5" t="str">
        <f>_xll.AtlasFormulas.AtlasFunctions.AtlasTable("UAT",DataAreaId,"T.InventTable","%ItemName","","","","","","","ItemId",$D22)</f>
        <v/>
      </c>
      <c r="F22" s="18" t="str">
        <f>_xll.AtlasFormulas.AtlasFunctions.AtlasTable("UAT","UNI","T.InventTable","%ItemName","","","","","","","ItemId",$D22)</f>
        <v>Comp - other</v>
      </c>
      <c r="G22" s="19" t="s">
        <v>56</v>
      </c>
      <c r="H22" s="5"/>
      <c r="I22" s="5"/>
      <c r="J22" s="19">
        <v>589000</v>
      </c>
      <c r="K22" s="18" t="str">
        <f>_xll.AtlasFormulas.AtlasFunctions.AtlasTable("UAT",DataAreaId,"T.LedgerTable","%AccountName","","","","","","","AccountNum",$J22)</f>
        <v>Computers - other</v>
      </c>
      <c r="L22" s="5"/>
      <c r="M22" s="5"/>
      <c r="N22" s="5" t="str">
        <f>_xll.AtlasFormulas.AtlasFunctions.AtlasTable("UAT",DataAreaId,"T.LedgerTable","%BlockedInJournal","","","","","","","AccountNum",$J22)</f>
        <v>No</v>
      </c>
    </row>
    <row r="23" spans="1:14">
      <c r="A23" s="5" t="s">
        <v>110</v>
      </c>
      <c r="B23" s="19" t="s">
        <v>102</v>
      </c>
      <c r="C23" s="19" t="s">
        <v>54</v>
      </c>
      <c r="D23" s="19" t="s">
        <v>803</v>
      </c>
      <c r="E23" s="5" t="str">
        <f>_xll.AtlasFormulas.AtlasFunctions.AtlasTable("UAT",DataAreaId,"T.InventTable","%ItemName","","","","","","","ItemId",$D23)</f>
        <v/>
      </c>
      <c r="F23" s="18" t="str">
        <f>_xll.AtlasFormulas.AtlasFunctions.AtlasTable("UAT","UNI","T.InventTable","%ItemName","","","","","","","ItemId",$D23)</f>
        <v>Comp - software</v>
      </c>
      <c r="G23" s="19" t="s">
        <v>56</v>
      </c>
      <c r="H23" s="5"/>
      <c r="I23" s="5"/>
      <c r="J23" s="19">
        <v>582000</v>
      </c>
      <c r="K23" s="18" t="str">
        <f>_xll.AtlasFormulas.AtlasFunctions.AtlasTable("UAT",DataAreaId,"T.LedgerTable","%AccountName","","","","","","","AccountNum",$J23)</f>
        <v>Computers – Software Subscriptions</v>
      </c>
      <c r="L23" s="5"/>
      <c r="M23" s="5"/>
      <c r="N23" s="5" t="str">
        <f>_xll.AtlasFormulas.AtlasFunctions.AtlasTable("UAT",DataAreaId,"T.LedgerTable","%BlockedInJournal","","","","","","","AccountNum",$J23)</f>
        <v>No</v>
      </c>
    </row>
    <row r="24" spans="1:14">
      <c r="A24" s="5" t="s">
        <v>110</v>
      </c>
      <c r="B24" s="19" t="s">
        <v>102</v>
      </c>
      <c r="C24" s="19" t="s">
        <v>54</v>
      </c>
      <c r="D24" s="19" t="s">
        <v>97</v>
      </c>
      <c r="E24" s="5" t="str">
        <f>_xll.AtlasFormulas.AtlasFunctions.AtlasTable("UAT",DataAreaId,"T.InventTable","%ItemName","","","","","","","ItemId",$D24)</f>
        <v/>
      </c>
      <c r="F24" s="18" t="str">
        <f>_xll.AtlasFormulas.AtlasFunctions.AtlasTable("UAT","UNI","T.InventTable","%ItemName","","","","","","","ItemId",$D24)</f>
        <v>Dues - other</v>
      </c>
      <c r="G24" s="19" t="s">
        <v>56</v>
      </c>
      <c r="H24" s="5"/>
      <c r="I24" s="5"/>
      <c r="J24" s="19">
        <v>619000</v>
      </c>
      <c r="K24" s="18" t="str">
        <f>_xll.AtlasFormulas.AtlasFunctions.AtlasTable("UAT",DataAreaId,"T.LedgerTable","%AccountName","","","","","","","AccountNum",$J24)</f>
        <v>Dues - other</v>
      </c>
      <c r="L24" s="5"/>
      <c r="M24" s="5"/>
      <c r="N24" s="5" t="str">
        <f>_xll.AtlasFormulas.AtlasFunctions.AtlasTable("UAT",DataAreaId,"T.LedgerTable","%BlockedInJournal","","","","","","","AccountNum",$J24)</f>
        <v>No</v>
      </c>
    </row>
    <row r="25" spans="1:14">
      <c r="A25" s="5" t="s">
        <v>110</v>
      </c>
      <c r="B25" s="19" t="s">
        <v>102</v>
      </c>
      <c r="C25" s="19" t="s">
        <v>54</v>
      </c>
      <c r="D25" s="19" t="s">
        <v>787</v>
      </c>
      <c r="E25" s="5" t="str">
        <f>_xll.AtlasFormulas.AtlasFunctions.AtlasTable("UAT",DataAreaId,"T.InventTable","%ItemName","","","","","","","ItemId",$D25)</f>
        <v/>
      </c>
      <c r="F25" s="18" t="str">
        <f>_xll.AtlasFormulas.AtlasFunctions.AtlasTable("UAT","UNI","T.InventTable","%ItemName","","","","","","","ItemId",$D25)</f>
        <v>EE Tuition</v>
      </c>
      <c r="G25" s="19" t="s">
        <v>56</v>
      </c>
      <c r="H25" s="5"/>
      <c r="I25" s="5"/>
      <c r="J25" s="19">
        <v>521000</v>
      </c>
      <c r="K25" s="18" t="str">
        <f>_xll.AtlasFormulas.AtlasFunctions.AtlasTable("UAT",DataAreaId,"T.LedgerTable","%AccountName","","","","","","","AccountNum",$J25)</f>
        <v>EE develop - tuition re-imbursement</v>
      </c>
      <c r="L25" s="5"/>
      <c r="M25" s="5"/>
      <c r="N25" s="5" t="str">
        <f>_xll.AtlasFormulas.AtlasFunctions.AtlasTable("UAT",DataAreaId,"T.LedgerTable","%BlockedInJournal","","","","","","","AccountNum",$J25)</f>
        <v>No</v>
      </c>
    </row>
    <row r="26" spans="1:14">
      <c r="A26" s="5" t="s">
        <v>110</v>
      </c>
      <c r="B26" s="19" t="s">
        <v>102</v>
      </c>
      <c r="C26" s="19" t="s">
        <v>54</v>
      </c>
      <c r="D26" s="19" t="s">
        <v>804</v>
      </c>
      <c r="E26" s="5" t="str">
        <f>_xll.AtlasFormulas.AtlasFunctions.AtlasTable("UAT",DataAreaId,"T.InventTable","%ItemName","","","","","","","ItemId",$D26)</f>
        <v/>
      </c>
      <c r="F26" s="18" t="str">
        <f>_xll.AtlasFormulas.AtlasFunctions.AtlasTable("UAT","UNI","T.InventTable","%ItemName","","","","","","","ItemId",$D26)</f>
        <v>Factory Equipment</v>
      </c>
      <c r="G26" s="19" t="s">
        <v>56</v>
      </c>
      <c r="H26" s="5"/>
      <c r="I26" s="5"/>
      <c r="J26" s="19">
        <v>172000</v>
      </c>
      <c r="K26" s="18" t="str">
        <f>_xll.AtlasFormulas.AtlasFunctions.AtlasTable("UAT",DataAreaId,"T.LedgerTable","%AccountName","","","","","","","AccountNum",$J26)</f>
        <v>Factory equipment</v>
      </c>
      <c r="L26" s="5"/>
      <c r="M26" s="5"/>
      <c r="N26" s="5" t="str">
        <f>_xll.AtlasFormulas.AtlasFunctions.AtlasTable("UAT",DataAreaId,"T.LedgerTable","%BlockedInJournal","","","","","","","AccountNum",$J26)</f>
        <v>No</v>
      </c>
    </row>
    <row r="27" spans="1:14">
      <c r="A27" s="5" t="s">
        <v>110</v>
      </c>
      <c r="B27" s="19" t="s">
        <v>102</v>
      </c>
      <c r="C27" s="19" t="s">
        <v>54</v>
      </c>
      <c r="D27" s="19" t="s">
        <v>788</v>
      </c>
      <c r="E27" s="5" t="str">
        <f>_xll.AtlasFormulas.AtlasFunctions.AtlasTable("UAT",DataAreaId,"T.InventTable","%ItemName","","","","","","","ItemId",$D27)</f>
        <v/>
      </c>
      <c r="F27" s="18" t="str">
        <f>_xll.AtlasFormulas.AtlasFunctions.AtlasTable("UAT","UNI","T.InventTable","%ItemName","","","","","","","ItemId",$D27)</f>
        <v>Fines &amp; Penalties</v>
      </c>
      <c r="G27" s="19" t="s">
        <v>56</v>
      </c>
      <c r="H27" s="5"/>
      <c r="I27" s="5"/>
      <c r="J27" s="19">
        <v>631000</v>
      </c>
      <c r="K27" s="18" t="str">
        <f>_xll.AtlasFormulas.AtlasFunctions.AtlasTable("UAT",DataAreaId,"T.LedgerTable","%AccountName","","","","","","","AccountNum",$J27)</f>
        <v>Fines and penalties</v>
      </c>
      <c r="L27" s="5"/>
      <c r="M27" s="5"/>
      <c r="N27" s="5" t="str">
        <f>_xll.AtlasFormulas.AtlasFunctions.AtlasTable("UAT",DataAreaId,"T.LedgerTable","%BlockedInJournal","","","","","","","AccountNum",$J27)</f>
        <v>No</v>
      </c>
    </row>
    <row r="28" spans="1:14">
      <c r="A28" s="5" t="s">
        <v>110</v>
      </c>
      <c r="B28" s="19" t="s">
        <v>102</v>
      </c>
      <c r="C28" s="19" t="s">
        <v>54</v>
      </c>
      <c r="D28" s="19" t="s">
        <v>789</v>
      </c>
      <c r="E28" s="5" t="str">
        <f>_xll.AtlasFormulas.AtlasFunctions.AtlasTable("UAT",DataAreaId,"T.InventTable","%ItemName","","","","","","","ItemId",$D28)</f>
        <v/>
      </c>
      <c r="F28" s="18" t="str">
        <f>_xll.AtlasFormulas.AtlasFunctions.AtlasTable("UAT","UNI","T.InventTable","%ItemName","","","","","","","ItemId",$D28)</f>
        <v>Hand tools - large</v>
      </c>
      <c r="G28" s="19" t="s">
        <v>56</v>
      </c>
      <c r="H28" s="5"/>
      <c r="I28" s="5"/>
      <c r="J28" s="19">
        <v>792000</v>
      </c>
      <c r="K28" s="18" t="str">
        <f>_xll.AtlasFormulas.AtlasFunctions.AtlasTable("UAT",DataAreaId,"T.LedgerTable","%AccountName","","","","","","","AccountNum",$J28)</f>
        <v>Hand tools - large &gt;$500</v>
      </c>
      <c r="L28" s="5"/>
      <c r="M28" s="5"/>
      <c r="N28" s="5" t="str">
        <f>_xll.AtlasFormulas.AtlasFunctions.AtlasTable("UAT",DataAreaId,"T.LedgerTable","%BlockedInJournal","","","","","","","AccountNum",$J28)</f>
        <v>No</v>
      </c>
    </row>
    <row r="29" spans="1:14">
      <c r="A29" s="5" t="s">
        <v>110</v>
      </c>
      <c r="B29" s="19" t="s">
        <v>102</v>
      </c>
      <c r="C29" s="19" t="s">
        <v>54</v>
      </c>
      <c r="D29" s="19" t="s">
        <v>790</v>
      </c>
      <c r="E29" s="5" t="str">
        <f>_xll.AtlasFormulas.AtlasFunctions.AtlasTable("UAT",DataAreaId,"T.InventTable","%ItemName","","","","","","","ItemId",$D29)</f>
        <v/>
      </c>
      <c r="F29" s="18" t="str">
        <f>_xll.AtlasFormulas.AtlasFunctions.AtlasTable("UAT","UNI","T.InventTable","%ItemName","","","","","","","ItemId",$D29)</f>
        <v>Hand tools - small</v>
      </c>
      <c r="G29" s="19" t="s">
        <v>56</v>
      </c>
      <c r="H29" s="5"/>
      <c r="I29" s="5"/>
      <c r="J29" s="19">
        <v>791000</v>
      </c>
      <c r="K29" s="18" t="str">
        <f>_xll.AtlasFormulas.AtlasFunctions.AtlasTable("UAT",DataAreaId,"T.LedgerTable","%AccountName","","","","","","","AccountNum",$J29)</f>
        <v>Hand tools - small &lt;=$500</v>
      </c>
      <c r="L29" s="5"/>
      <c r="M29" s="5"/>
      <c r="N29" s="5" t="str">
        <f>_xll.AtlasFormulas.AtlasFunctions.AtlasTable("UAT",DataAreaId,"T.LedgerTable","%BlockedInJournal","","","","","","","AccountNum",$J29)</f>
        <v>No</v>
      </c>
    </row>
    <row r="30" spans="1:14">
      <c r="A30" s="5" t="s">
        <v>110</v>
      </c>
      <c r="B30" s="19" t="s">
        <v>102</v>
      </c>
      <c r="C30" s="19" t="s">
        <v>54</v>
      </c>
      <c r="D30" s="19" t="s">
        <v>594</v>
      </c>
      <c r="E30" s="5" t="str">
        <f>_xll.AtlasFormulas.AtlasFunctions.AtlasTable("UAT",DataAreaId,"T.InventTable","%ItemName","","","","","","","ItemId",$D30)</f>
        <v/>
      </c>
      <c r="F30" s="18" t="str">
        <f>_xll.AtlasFormulas.AtlasFunctions.AtlasTable("UAT","UNI","T.InventTable","%ItemName","","","","","","","ItemId",$D30)</f>
        <v/>
      </c>
      <c r="G30" s="19" t="s">
        <v>56</v>
      </c>
      <c r="H30" s="5"/>
      <c r="I30" s="5"/>
      <c r="J30" s="19">
        <v>429200</v>
      </c>
      <c r="K30" s="18" t="str">
        <f>_xll.AtlasFormulas.AtlasFunctions.AtlasTable("UAT",DataAreaId,"T.LedgerTable","%AccountName","","","","","","","AccountNum",$J30)</f>
        <v>Health, welfare</v>
      </c>
      <c r="L30" s="5"/>
      <c r="M30" s="5"/>
      <c r="N30" s="5" t="str">
        <f>_xll.AtlasFormulas.AtlasFunctions.AtlasTable("UAT",DataAreaId,"T.LedgerTable","%BlockedInJournal","","","","","","","AccountNum",$J30)</f>
        <v>No</v>
      </c>
    </row>
    <row r="31" spans="1:14">
      <c r="A31" s="5" t="s">
        <v>110</v>
      </c>
      <c r="B31" s="19" t="s">
        <v>102</v>
      </c>
      <c r="C31" s="19" t="s">
        <v>54</v>
      </c>
      <c r="D31" s="19" t="s">
        <v>805</v>
      </c>
      <c r="E31" s="5" t="str">
        <f>_xll.AtlasFormulas.AtlasFunctions.AtlasTable("UAT",DataAreaId,"T.InventTable","%ItemName","","","","","","","ItemId",$D31)</f>
        <v/>
      </c>
      <c r="F31" s="18" t="str">
        <f>_xll.AtlasFormulas.AtlasFunctions.AtlasTable("UAT","UNI","T.InventTable","%ItemName","","","","","","","ItemId",$D31)</f>
        <v>Leased Equipment</v>
      </c>
      <c r="G31" s="19" t="s">
        <v>56</v>
      </c>
      <c r="H31" s="5"/>
      <c r="I31" s="5"/>
      <c r="J31" s="19">
        <v>172100</v>
      </c>
      <c r="K31" s="18" t="str">
        <f>_xll.AtlasFormulas.AtlasFunctions.AtlasTable("UAT",DataAreaId,"T.LedgerTable","%AccountName","","","","","","","AccountNum",$J31)</f>
        <v>Leased equipment</v>
      </c>
      <c r="L31" s="5"/>
      <c r="M31" s="5"/>
      <c r="N31" s="5" t="str">
        <f>_xll.AtlasFormulas.AtlasFunctions.AtlasTable("UAT",DataAreaId,"T.LedgerTable","%BlockedInJournal","","","","","","","AccountNum",$J31)</f>
        <v>No</v>
      </c>
    </row>
    <row r="32" spans="1:14">
      <c r="A32" s="5" t="s">
        <v>110</v>
      </c>
      <c r="B32" s="19" t="s">
        <v>102</v>
      </c>
      <c r="C32" s="19" t="s">
        <v>54</v>
      </c>
      <c r="D32" s="19" t="s">
        <v>806</v>
      </c>
      <c r="E32" s="5" t="str">
        <f>_xll.AtlasFormulas.AtlasFunctions.AtlasTable("UAT",DataAreaId,"T.InventTable","%ItemName","","","","","","","ItemId",$D32)</f>
        <v/>
      </c>
      <c r="F32" s="18" t="str">
        <f>_xll.AtlasFormulas.AtlasFunctions.AtlasTable("UAT","UNI","T.InventTable","%ItemName","","","","","","","ItemId",$D32)</f>
        <v>Leasehold Imp</v>
      </c>
      <c r="G32" s="19" t="s">
        <v>56</v>
      </c>
      <c r="H32" s="5"/>
      <c r="I32" s="5"/>
      <c r="J32" s="19">
        <v>171200</v>
      </c>
      <c r="K32" s="18" t="str">
        <f>_xll.AtlasFormulas.AtlasFunctions.AtlasTable("UAT",DataAreaId,"T.LedgerTable","%AccountName","","","","","","","AccountNum",$J32)</f>
        <v>Leasehold improvements</v>
      </c>
      <c r="L32" s="5"/>
      <c r="M32" s="5"/>
      <c r="N32" s="5" t="str">
        <f>_xll.AtlasFormulas.AtlasFunctions.AtlasTable("UAT",DataAreaId,"T.LedgerTable","%BlockedInJournal","","","","","","","AccountNum",$J32)</f>
        <v>No</v>
      </c>
    </row>
    <row r="33" spans="1:14">
      <c r="A33" s="5" t="s">
        <v>110</v>
      </c>
      <c r="B33" s="19" t="s">
        <v>102</v>
      </c>
      <c r="C33" s="19" t="s">
        <v>54</v>
      </c>
      <c r="D33" s="19" t="s">
        <v>807</v>
      </c>
      <c r="E33" s="5" t="str">
        <f>_xll.AtlasFormulas.AtlasFunctions.AtlasTable("UAT",DataAreaId,"T.InventTable","%ItemName","","","","","","","ItemId",$D33)</f>
        <v/>
      </c>
      <c r="F33" s="18" t="str">
        <f>_xll.AtlasFormulas.AtlasFunctions.AtlasTable("UAT","UNI","T.InventTable","%ItemName","","","","","","","ItemId",$D33)</f>
        <v>Office Equipment</v>
      </c>
      <c r="G33" s="19" t="s">
        <v>56</v>
      </c>
      <c r="H33" s="5"/>
      <c r="I33" s="5"/>
      <c r="J33" s="19">
        <v>172400</v>
      </c>
      <c r="K33" s="18" t="str">
        <f>_xll.AtlasFormulas.AtlasFunctions.AtlasTable("UAT",DataAreaId,"T.LedgerTable","%AccountName","","","","","","","AccountNum",$J33)</f>
        <v>Office equipment</v>
      </c>
      <c r="L33" s="5"/>
      <c r="M33" s="5"/>
      <c r="N33" s="5" t="str">
        <f>_xll.AtlasFormulas.AtlasFunctions.AtlasTable("UAT",DataAreaId,"T.LedgerTable","%BlockedInJournal","","","","","","","AccountNum",$J33)</f>
        <v>No</v>
      </c>
    </row>
    <row r="34" spans="1:14">
      <c r="A34" s="5" t="s">
        <v>110</v>
      </c>
      <c r="B34" s="19" t="s">
        <v>102</v>
      </c>
      <c r="C34" s="19" t="s">
        <v>54</v>
      </c>
      <c r="D34" s="19" t="s">
        <v>103</v>
      </c>
      <c r="E34" s="5" t="str">
        <f>_xll.AtlasFormulas.AtlasFunctions.AtlasTable("UAT",DataAreaId,"T.InventTable","%ItemName","","","","","","","ItemId",$D34)</f>
        <v/>
      </c>
      <c r="F34" s="18" t="str">
        <f>_xll.AtlasFormulas.AtlasFunctions.AtlasTable("UAT","UNI","T.InventTable","%ItemName","","","","","","","ItemId",$D34)</f>
        <v>Pallets</v>
      </c>
      <c r="G34" s="19" t="s">
        <v>56</v>
      </c>
      <c r="H34" s="5"/>
      <c r="I34" s="5"/>
      <c r="J34" s="19">
        <v>503000</v>
      </c>
      <c r="K34" s="18" t="str">
        <f>_xll.AtlasFormulas.AtlasFunctions.AtlasTable("UAT",DataAreaId,"T.LedgerTable","%AccountName","","","","","","","AccountNum",$J34)</f>
        <v>Pallets</v>
      </c>
      <c r="L34" s="5"/>
      <c r="M34" s="5"/>
      <c r="N34" s="5" t="str">
        <f>_xll.AtlasFormulas.AtlasFunctions.AtlasTable("UAT",DataAreaId,"T.LedgerTable","%BlockedInJournal","","","","","","","AccountNum",$J34)</f>
        <v>No</v>
      </c>
    </row>
    <row r="35" spans="1:14">
      <c r="A35" s="5" t="s">
        <v>110</v>
      </c>
      <c r="B35" s="19" t="s">
        <v>102</v>
      </c>
      <c r="C35" s="19" t="s">
        <v>54</v>
      </c>
      <c r="D35" s="19" t="s">
        <v>808</v>
      </c>
      <c r="E35" s="5" t="str">
        <f>_xll.AtlasFormulas.AtlasFunctions.AtlasTable("UAT",DataAreaId,"T.InventTable","%ItemName","","","","","","","ItemId",$D35)</f>
        <v/>
      </c>
      <c r="F35" s="18" t="str">
        <f>_xll.AtlasFormulas.AtlasFunctions.AtlasTable("UAT","UNI","T.InventTable","%ItemName","","","","","","","ItemId",$D35)</f>
        <v/>
      </c>
      <c r="G35" s="19" t="s">
        <v>56</v>
      </c>
      <c r="H35" s="5"/>
      <c r="I35" s="5"/>
      <c r="J35" s="19">
        <v>501000</v>
      </c>
      <c r="K35" s="18" t="str">
        <f>_xll.AtlasFormulas.AtlasFunctions.AtlasTable("UAT",DataAreaId,"T.LedgerTable","%AccountName","","","","","","","AccountNum",$J35)</f>
        <v>Staples and stitching wire</v>
      </c>
      <c r="L35" s="5"/>
      <c r="M35" s="5"/>
      <c r="N35" s="5" t="str">
        <f>_xll.AtlasFormulas.AtlasFunctions.AtlasTable("UAT",DataAreaId,"T.LedgerTable","%BlockedInJournal","","","","","","","AccountNum",$J35)</f>
        <v>No</v>
      </c>
    </row>
    <row r="36" spans="1:14">
      <c r="A36" s="5" t="s">
        <v>110</v>
      </c>
      <c r="B36" s="19" t="s">
        <v>102</v>
      </c>
      <c r="C36" s="19" t="s">
        <v>54</v>
      </c>
      <c r="D36" s="19" t="s">
        <v>104</v>
      </c>
      <c r="E36" s="5" t="str">
        <f>_xll.AtlasFormulas.AtlasFunctions.AtlasTable("UAT",DataAreaId,"T.InventTable","%ItemName","","","","","","","ItemId",$D36)</f>
        <v/>
      </c>
      <c r="F36" s="18" t="str">
        <f>_xll.AtlasFormulas.AtlasFunctions.AtlasTable("UAT","UNI","T.InventTable","%ItemName","","","","","","","ItemId",$D36)</f>
        <v>Strapping &amp; clips</v>
      </c>
      <c r="G36" s="19" t="s">
        <v>56</v>
      </c>
      <c r="H36" s="5"/>
      <c r="I36" s="5"/>
      <c r="J36" s="19">
        <v>507000</v>
      </c>
      <c r="K36" s="18" t="str">
        <f>_xll.AtlasFormulas.AtlasFunctions.AtlasTable("UAT",DataAreaId,"T.LedgerTable","%AccountName","","","","","","","AccountNum",$J36)</f>
        <v>Strapping &amp; clips</v>
      </c>
      <c r="L36" s="5"/>
      <c r="M36" s="5"/>
      <c r="N36" s="5" t="str">
        <f>_xll.AtlasFormulas.AtlasFunctions.AtlasTable("UAT",DataAreaId,"T.LedgerTable","%BlockedInJournal","","","","","","","AccountNum",$J36)</f>
        <v>No</v>
      </c>
    </row>
    <row r="37" spans="1:14">
      <c r="A37" s="5" t="s">
        <v>110</v>
      </c>
      <c r="B37" s="19" t="s">
        <v>102</v>
      </c>
      <c r="C37" s="19" t="s">
        <v>54</v>
      </c>
      <c r="D37" s="19" t="s">
        <v>791</v>
      </c>
      <c r="E37" s="5" t="str">
        <f>_xll.AtlasFormulas.AtlasFunctions.AtlasTable("UAT",DataAreaId,"T.InventTable","%ItemName","","","","","","","ItemId",$D37)</f>
        <v/>
      </c>
      <c r="F37" s="18" t="str">
        <f>_xll.AtlasFormulas.AtlasFunctions.AtlasTable("UAT","UNI","T.InventTable","%ItemName","","","","","","","ItemId",$D37)</f>
        <v/>
      </c>
      <c r="G37" s="19" t="s">
        <v>56</v>
      </c>
      <c r="H37" s="5"/>
      <c r="I37" s="5"/>
      <c r="J37" s="19">
        <v>754000</v>
      </c>
      <c r="K37" s="18" t="str">
        <f>_xll.AtlasFormulas.AtlasFunctions.AtlasTable("UAT",DataAreaId,"T.LedgerTable","%AccountName","","","","","","","AccountNum",$J37)</f>
        <v>Services - uniforms, mats, etc.</v>
      </c>
      <c r="L37" s="5"/>
      <c r="M37" s="5"/>
      <c r="N37" s="5" t="str">
        <f>_xll.AtlasFormulas.AtlasFunctions.AtlasTable("UAT",DataAreaId,"T.LedgerTable","%BlockedInJournal","","","","","","","AccountNum",$J37)</f>
        <v>No</v>
      </c>
    </row>
    <row r="38" spans="1:14">
      <c r="A38" s="5" t="s">
        <v>110</v>
      </c>
      <c r="B38" s="19" t="s">
        <v>102</v>
      </c>
      <c r="C38" s="19" t="s">
        <v>54</v>
      </c>
      <c r="D38" s="19" t="s">
        <v>809</v>
      </c>
      <c r="E38" s="5" t="str">
        <f>_xll.AtlasFormulas.AtlasFunctions.AtlasTable("UAT",DataAreaId,"T.InventTable","%ItemName","","","","","","","ItemId",$D38)</f>
        <v/>
      </c>
      <c r="F38" s="18" t="str">
        <f>_xll.AtlasFormulas.AtlasFunctions.AtlasTable("UAT","UNI","T.InventTable","%ItemName","","","","","","","ItemId",$D38)</f>
        <v>Truck-Forklifts</v>
      </c>
      <c r="G38" s="19" t="s">
        <v>56</v>
      </c>
      <c r="H38" s="5"/>
      <c r="I38" s="5"/>
      <c r="J38" s="19">
        <v>172200</v>
      </c>
      <c r="K38" s="18" t="str">
        <f>_xll.AtlasFormulas.AtlasFunctions.AtlasTable("UAT",DataAreaId,"T.LedgerTable","%AccountName","","","","","","","AccountNum",$J38)</f>
        <v>Trucks, trailers, forklifts</v>
      </c>
      <c r="L38" s="5"/>
      <c r="M38" s="5"/>
      <c r="N38" s="5" t="str">
        <f>_xll.AtlasFormulas.AtlasFunctions.AtlasTable("UAT",DataAreaId,"T.LedgerTable","%BlockedInJournal","","","","","","","AccountNum",$J38)</f>
        <v>No</v>
      </c>
    </row>
    <row r="39" spans="1:14">
      <c r="A39" s="5" t="s">
        <v>110</v>
      </c>
      <c r="B39" s="19" t="s">
        <v>102</v>
      </c>
      <c r="C39" s="19" t="s">
        <v>55</v>
      </c>
      <c r="D39" s="19" t="s">
        <v>792</v>
      </c>
      <c r="E39" s="5" t="str">
        <f>_xll.AtlasFormulas.AtlasFunctions.AtlasTable("UAT",DataAreaId,"T.InventTable","%ItemName","","","","","","","ItemId",$D39)</f>
        <v/>
      </c>
      <c r="F39" s="18" t="str">
        <f>_xll.AtlasFormulas.AtlasFunctions.AtlasTable("UAT","UNI","T.InventTable","%ItemName","","","","","","","ItemId",$D39)</f>
        <v/>
      </c>
      <c r="G39" s="19" t="s">
        <v>56</v>
      </c>
      <c r="H39" s="5"/>
      <c r="I39" s="5"/>
      <c r="J39" s="19">
        <v>131000</v>
      </c>
      <c r="K39" s="18" t="str">
        <f>_xll.AtlasFormulas.AtlasFunctions.AtlasTable("UAT",DataAreaId,"T.LedgerTable","%AccountName","","","","","","","AccountNum",$J39)</f>
        <v>Components</v>
      </c>
      <c r="L39" s="5"/>
      <c r="M39" s="5"/>
      <c r="N39" s="5" t="str">
        <f>_xll.AtlasFormulas.AtlasFunctions.AtlasTable("UAT",DataAreaId,"T.LedgerTable","%BlockedInJournal","","","","","","","AccountNum",$J39)</f>
        <v>Yes</v>
      </c>
    </row>
    <row r="40" spans="1:14">
      <c r="A40" s="5" t="s">
        <v>110</v>
      </c>
      <c r="B40" s="19" t="s">
        <v>102</v>
      </c>
      <c r="C40" s="19" t="s">
        <v>55</v>
      </c>
      <c r="D40" s="19" t="s">
        <v>793</v>
      </c>
      <c r="E40" s="5" t="str">
        <f>_xll.AtlasFormulas.AtlasFunctions.AtlasTable("UAT",DataAreaId,"T.InventTable","%ItemName","","","","","","","ItemId",$D40)</f>
        <v/>
      </c>
      <c r="F40" s="18" t="str">
        <f>_xll.AtlasFormulas.AtlasFunctions.AtlasTable("UAT","UNI","T.InventTable","%ItemName","","","","","","","ItemId",$D40)</f>
        <v/>
      </c>
      <c r="G40" s="19" t="s">
        <v>56</v>
      </c>
      <c r="H40" s="5"/>
      <c r="I40" s="5"/>
      <c r="J40" s="19">
        <v>130000</v>
      </c>
      <c r="K40" s="18" t="str">
        <f>_xll.AtlasFormulas.AtlasFunctions.AtlasTable("UAT",DataAreaId,"T.LedgerTable","%AccountName","","","","","","","AccountNum",$J40)</f>
        <v>Raw materials</v>
      </c>
      <c r="L40" s="5"/>
      <c r="M40" s="5"/>
      <c r="N40" s="5" t="str">
        <f>_xll.AtlasFormulas.AtlasFunctions.AtlasTable("UAT",DataAreaId,"T.LedgerTable","%BlockedInJournal","","","","","","","AccountNum",$J40)</f>
        <v>Yes</v>
      </c>
    </row>
    <row r="41" spans="1:14">
      <c r="A41" s="5" t="s">
        <v>110</v>
      </c>
      <c r="B41" s="19" t="s">
        <v>102</v>
      </c>
      <c r="C41" s="19" t="s">
        <v>55</v>
      </c>
      <c r="D41" s="19" t="s">
        <v>794</v>
      </c>
      <c r="E41" s="5" t="str">
        <f>_xll.AtlasFormulas.AtlasFunctions.AtlasTable("UAT",DataAreaId,"T.InventTable","%ItemName","","","","","","","ItemId",$D41)</f>
        <v/>
      </c>
      <c r="F41" s="18" t="str">
        <f>_xll.AtlasFormulas.AtlasFunctions.AtlasTable("UAT","UNI","T.InventTable","%ItemName","","","","","","","ItemId",$D41)</f>
        <v/>
      </c>
      <c r="G41" s="19" t="s">
        <v>56</v>
      </c>
      <c r="H41" s="5"/>
      <c r="I41" s="5"/>
      <c r="J41" s="19">
        <v>132000</v>
      </c>
      <c r="K41" s="18" t="str">
        <f>_xll.AtlasFormulas.AtlasFunctions.AtlasTable("UAT",DataAreaId,"T.LedgerTable","%AccountName","","","","","","","AccountNum",$J41)</f>
        <v>Finished goods</v>
      </c>
      <c r="L41" s="5"/>
      <c r="M41" s="5"/>
      <c r="N41" s="5" t="str">
        <f>_xll.AtlasFormulas.AtlasFunctions.AtlasTable("UAT",DataAreaId,"T.LedgerTable","%BlockedInJournal","","","","","","","AccountNum",$J41)</f>
        <v>Yes</v>
      </c>
    </row>
    <row r="42" spans="1:14">
      <c r="A42" s="5" t="s">
        <v>110</v>
      </c>
      <c r="B42" s="19" t="s">
        <v>102</v>
      </c>
      <c r="C42" s="19" t="s">
        <v>55</v>
      </c>
      <c r="D42" s="19" t="s">
        <v>796</v>
      </c>
      <c r="E42" s="5" t="str">
        <f>_xll.AtlasFormulas.AtlasFunctions.AtlasTable("UAT",DataAreaId,"T.InventTable","%ItemName","","","","","","","ItemId",$D42)</f>
        <v/>
      </c>
      <c r="F42" s="18" t="str">
        <f>_xll.AtlasFormulas.AtlasFunctions.AtlasTable("UAT","UNI","T.InventTable","%ItemName","","","","","","","ItemId",$D42)</f>
        <v/>
      </c>
      <c r="G42" s="19" t="s">
        <v>56</v>
      </c>
      <c r="H42" s="5"/>
      <c r="I42" s="5"/>
      <c r="J42" s="19">
        <v>779000</v>
      </c>
      <c r="K42" s="18" t="str">
        <f>_xll.AtlasFormulas.AtlasFunctions.AtlasTable("UAT",DataAreaId,"T.LedgerTable","%AccountName","","","","","","","AccountNum",$J42)</f>
        <v>Supplies - other</v>
      </c>
      <c r="L42" s="5"/>
      <c r="M42" s="5"/>
      <c r="N42" s="5" t="str">
        <f>_xll.AtlasFormulas.AtlasFunctions.AtlasTable("UAT",DataAreaId,"T.LedgerTable","%BlockedInJournal","","","","","","","AccountNum",$J42)</f>
        <v>No</v>
      </c>
    </row>
    <row r="43" spans="1:14">
      <c r="A43" s="5" t="s">
        <v>110</v>
      </c>
      <c r="B43" s="19" t="s">
        <v>810</v>
      </c>
      <c r="C43" s="19" t="s">
        <v>54</v>
      </c>
      <c r="D43" s="19" t="s">
        <v>798</v>
      </c>
      <c r="E43" s="5" t="str">
        <f>_xll.AtlasFormulas.AtlasFunctions.AtlasTable("UAT",DataAreaId,"T.InventTable","%ItemName","","","","","","","ItemId",$D43)</f>
        <v/>
      </c>
      <c r="F43" s="18" t="str">
        <f>_xll.AtlasFormulas.AtlasFunctions.AtlasTable("UAT","UNI","T.InventTable","%ItemName","","","","","","","ItemId",$D43)</f>
        <v>Adv - cat</v>
      </c>
      <c r="G43" s="19" t="s">
        <v>56</v>
      </c>
      <c r="H43" s="5"/>
      <c r="I43" s="5"/>
      <c r="J43" s="19">
        <v>511000</v>
      </c>
      <c r="K43" s="18" t="str">
        <f>_xll.AtlasFormulas.AtlasFunctions.AtlasTable("UAT",DataAreaId,"T.LedgerTable","%AccountName","","","","","","","AccountNum",$J43)</f>
        <v>Adv - catalogs &amp; price lists</v>
      </c>
      <c r="L43" s="5"/>
      <c r="M43" s="5"/>
      <c r="N43" s="5" t="str">
        <f>_xll.AtlasFormulas.AtlasFunctions.AtlasTable("UAT",DataAreaId,"T.LedgerTable","%BlockedInJournal","","","","","","","AccountNum",$J43)</f>
        <v>No</v>
      </c>
    </row>
    <row r="44" spans="1:14">
      <c r="A44" s="5" t="s">
        <v>110</v>
      </c>
      <c r="B44" s="19" t="s">
        <v>810</v>
      </c>
      <c r="C44" s="19" t="s">
        <v>54</v>
      </c>
      <c r="D44" s="19" t="s">
        <v>799</v>
      </c>
      <c r="E44" s="5" t="str">
        <f>_xll.AtlasFormulas.AtlasFunctions.AtlasTable("UAT",DataAreaId,"T.InventTable","%ItemName","","","","","","","ItemId",$D44)</f>
        <v/>
      </c>
      <c r="F44" s="18" t="str">
        <f>_xll.AtlasFormulas.AtlasFunctions.AtlasTable("UAT","UNI","T.InventTable","%ItemName","","","","","","","ItemId",$D44)</f>
        <v>Adv - lit</v>
      </c>
      <c r="G44" s="19" t="s">
        <v>56</v>
      </c>
      <c r="H44" s="5"/>
      <c r="I44" s="5"/>
      <c r="J44" s="19">
        <v>511200</v>
      </c>
      <c r="K44" s="18" t="str">
        <f>_xll.AtlasFormulas.AtlasFunctions.AtlasTable("UAT",DataAreaId,"T.LedgerTable","%AccountName","","","","","","","AccountNum",$J44)</f>
        <v>Adv - consumer literature</v>
      </c>
      <c r="L44" s="5"/>
      <c r="M44" s="5"/>
      <c r="N44" s="5" t="str">
        <f>_xll.AtlasFormulas.AtlasFunctions.AtlasTable("UAT",DataAreaId,"T.LedgerTable","%BlockedInJournal","","","","","","","AccountNum",$J44)</f>
        <v>No</v>
      </c>
    </row>
    <row r="45" spans="1:14">
      <c r="A45" s="5" t="s">
        <v>110</v>
      </c>
      <c r="B45" s="19" t="s">
        <v>810</v>
      </c>
      <c r="C45" s="19" t="s">
        <v>54</v>
      </c>
      <c r="D45" s="19" t="s">
        <v>800</v>
      </c>
      <c r="E45" s="5" t="str">
        <f>_xll.AtlasFormulas.AtlasFunctions.AtlasTable("UAT",DataAreaId,"T.InventTable","%ItemName","","","","","","","ItemId",$D45)</f>
        <v/>
      </c>
      <c r="F45" s="18" t="str">
        <f>_xll.AtlasFormulas.AtlasFunctions.AtlasTable("UAT","UNI","T.InventTable","%ItemName","","","","","","","ItemId",$D45)</f>
        <v>Adv - sls prom</v>
      </c>
      <c r="G45" s="19" t="s">
        <v>56</v>
      </c>
      <c r="H45" s="5"/>
      <c r="I45" s="5"/>
      <c r="J45" s="19">
        <v>511700</v>
      </c>
      <c r="K45" s="18" t="str">
        <f>_xll.AtlasFormulas.AtlasFunctions.AtlasTable("UAT",DataAreaId,"T.LedgerTable","%AccountName","","","","","","","AccountNum",$J45)</f>
        <v>Adv - sales promotions</v>
      </c>
      <c r="L45" s="5"/>
      <c r="M45" s="5"/>
      <c r="N45" s="5" t="str">
        <f>_xll.AtlasFormulas.AtlasFunctions.AtlasTable("UAT",DataAreaId,"T.LedgerTable","%BlockedInJournal","","","","","","","AccountNum",$J45)</f>
        <v>No</v>
      </c>
    </row>
    <row r="46" spans="1:14">
      <c r="A46" s="5" t="s">
        <v>110</v>
      </c>
      <c r="B46" s="19" t="s">
        <v>810</v>
      </c>
      <c r="C46" s="19" t="s">
        <v>54</v>
      </c>
      <c r="D46" s="19" t="s">
        <v>9</v>
      </c>
      <c r="E46" s="5" t="str">
        <f>_xll.AtlasFormulas.AtlasFunctions.AtlasTable("UAT",DataAreaId,"T.InventTable","%ItemName","","","","","","","ItemId",$D46)</f>
        <v/>
      </c>
      <c r="F46" s="18" t="str">
        <f>_xll.AtlasFormulas.AtlasFunctions.AtlasTable("UAT","UNI","T.InventTable","%ItemName","","","","","","","ItemId",$D46)</f>
        <v>Automobiles</v>
      </c>
      <c r="G46" s="19" t="s">
        <v>56</v>
      </c>
      <c r="H46" s="5"/>
      <c r="I46" s="5"/>
      <c r="J46" s="19">
        <v>172300</v>
      </c>
      <c r="K46" s="18" t="str">
        <f>_xll.AtlasFormulas.AtlasFunctions.AtlasTable("UAT",DataAreaId,"T.LedgerTable","%AccountName","","","","","","","AccountNum",$J46)</f>
        <v>Automobiles</v>
      </c>
      <c r="L46" s="5"/>
      <c r="M46" s="5"/>
      <c r="N46" s="5" t="str">
        <f>_xll.AtlasFormulas.AtlasFunctions.AtlasTable("UAT",DataAreaId,"T.LedgerTable","%BlockedInJournal","","","","","","","AccountNum",$J46)</f>
        <v>No</v>
      </c>
    </row>
    <row r="47" spans="1:14">
      <c r="A47" s="5" t="s">
        <v>110</v>
      </c>
      <c r="B47" s="19" t="s">
        <v>810</v>
      </c>
      <c r="C47" s="19" t="s">
        <v>54</v>
      </c>
      <c r="D47" s="19" t="s">
        <v>95</v>
      </c>
      <c r="E47" s="5" t="str">
        <f>_xll.AtlasFormulas.AtlasFunctions.AtlasTable("UAT",DataAreaId,"T.InventTable","%ItemName","","","","","","","ItemId",$D47)</f>
        <v/>
      </c>
      <c r="F47" s="18" t="str">
        <f>_xll.AtlasFormulas.AtlasFunctions.AtlasTable("UAT","UNI","T.InventTable","%ItemName","","","","","","","ItemId",$D47)</f>
        <v>Code approvals</v>
      </c>
      <c r="G47" s="19" t="s">
        <v>56</v>
      </c>
      <c r="H47" s="5"/>
      <c r="I47" s="5"/>
      <c r="J47" s="19">
        <v>811000</v>
      </c>
      <c r="K47" s="18" t="str">
        <f>_xll.AtlasFormulas.AtlasFunctions.AtlasTable("UAT",DataAreaId,"T.LedgerTable","%AccountName","","","","","","","AccountNum",$J47)</f>
        <v>Code approvals</v>
      </c>
      <c r="L47" s="5"/>
      <c r="M47" s="5"/>
      <c r="N47" s="5" t="str">
        <f>_xll.AtlasFormulas.AtlasFunctions.AtlasTable("UAT",DataAreaId,"T.LedgerTable","%BlockedInJournal","","","","","","","AccountNum",$J47)</f>
        <v>No</v>
      </c>
    </row>
    <row r="48" spans="1:14">
      <c r="A48" s="5" t="s">
        <v>110</v>
      </c>
      <c r="B48" s="19" t="s">
        <v>810</v>
      </c>
      <c r="C48" s="19" t="s">
        <v>54</v>
      </c>
      <c r="D48" s="19" t="s">
        <v>801</v>
      </c>
      <c r="E48" s="5" t="str">
        <f>_xll.AtlasFormulas.AtlasFunctions.AtlasTable("UAT",DataAreaId,"T.InventTable","%ItemName","","","","","","","ItemId",$D48)</f>
        <v/>
      </c>
      <c r="F48" s="18" t="str">
        <f>_xll.AtlasFormulas.AtlasFunctions.AtlasTable("UAT","UNI","T.InventTable","%ItemName","","","","","","","ItemId",$D48)</f>
        <v>Comp - hardware</v>
      </c>
      <c r="G48" s="19" t="s">
        <v>56</v>
      </c>
      <c r="H48" s="5"/>
      <c r="I48" s="5"/>
      <c r="J48" s="19">
        <v>581000</v>
      </c>
      <c r="K48" s="18" t="str">
        <f>_xll.AtlasFormulas.AtlasFunctions.AtlasTable("UAT",DataAreaId,"T.LedgerTable","%AccountName","","","","","","","AccountNum",$J48)</f>
        <v>Computers - hardware</v>
      </c>
      <c r="L48" s="5"/>
      <c r="M48" s="5"/>
      <c r="N48" s="5" t="str">
        <f>_xll.AtlasFormulas.AtlasFunctions.AtlasTable("UAT",DataAreaId,"T.LedgerTable","%BlockedInJournal","","","","","","","AccountNum",$J48)</f>
        <v>No</v>
      </c>
    </row>
    <row r="49" spans="1:14">
      <c r="A49" s="5" t="s">
        <v>110</v>
      </c>
      <c r="B49" s="19" t="s">
        <v>810</v>
      </c>
      <c r="C49" s="19" t="s">
        <v>54</v>
      </c>
      <c r="D49" s="19" t="s">
        <v>802</v>
      </c>
      <c r="E49" s="5" t="str">
        <f>_xll.AtlasFormulas.AtlasFunctions.AtlasTable("UAT",DataAreaId,"T.InventTable","%ItemName","","","","","","","ItemId",$D49)</f>
        <v/>
      </c>
      <c r="F49" s="18" t="str">
        <f>_xll.AtlasFormulas.AtlasFunctions.AtlasTable("UAT","UNI","T.InventTable","%ItemName","","","","","","","ItemId",$D49)</f>
        <v>Comp - other</v>
      </c>
      <c r="G49" s="19" t="s">
        <v>56</v>
      </c>
      <c r="H49" s="5"/>
      <c r="I49" s="5"/>
      <c r="J49" s="19">
        <v>589000</v>
      </c>
      <c r="K49" s="18" t="str">
        <f>_xll.AtlasFormulas.AtlasFunctions.AtlasTable("UAT",DataAreaId,"T.LedgerTable","%AccountName","","","","","","","AccountNum",$J49)</f>
        <v>Computers - other</v>
      </c>
      <c r="L49" s="5"/>
      <c r="M49" s="5"/>
      <c r="N49" s="5" t="str">
        <f>_xll.AtlasFormulas.AtlasFunctions.AtlasTable("UAT",DataAreaId,"T.LedgerTable","%BlockedInJournal","","","","","","","AccountNum",$J49)</f>
        <v>No</v>
      </c>
    </row>
    <row r="50" spans="1:14">
      <c r="A50" s="5" t="s">
        <v>110</v>
      </c>
      <c r="B50" s="19" t="s">
        <v>810</v>
      </c>
      <c r="C50" s="19" t="s">
        <v>54</v>
      </c>
      <c r="D50" s="19" t="s">
        <v>803</v>
      </c>
      <c r="E50" s="5" t="str">
        <f>_xll.AtlasFormulas.AtlasFunctions.AtlasTable("UAT",DataAreaId,"T.InventTable","%ItemName","","","","","","","ItemId",$D50)</f>
        <v/>
      </c>
      <c r="F50" s="18" t="str">
        <f>_xll.AtlasFormulas.AtlasFunctions.AtlasTable("UAT","UNI","T.InventTable","%ItemName","","","","","","","ItemId",$D50)</f>
        <v>Comp - software</v>
      </c>
      <c r="G50" s="19" t="s">
        <v>56</v>
      </c>
      <c r="H50" s="5"/>
      <c r="I50" s="5"/>
      <c r="J50" s="19">
        <v>582000</v>
      </c>
      <c r="K50" s="18" t="str">
        <f>_xll.AtlasFormulas.AtlasFunctions.AtlasTable("UAT",DataAreaId,"T.LedgerTable","%AccountName","","","","","","","AccountNum",$J50)</f>
        <v>Computers – Software Subscriptions</v>
      </c>
      <c r="L50" s="5"/>
      <c r="M50" s="5"/>
      <c r="N50" s="5" t="str">
        <f>_xll.AtlasFormulas.AtlasFunctions.AtlasTable("UAT",DataAreaId,"T.LedgerTable","%BlockedInJournal","","","","","","","AccountNum",$J50)</f>
        <v>No</v>
      </c>
    </row>
    <row r="51" spans="1:14">
      <c r="A51" s="5" t="s">
        <v>110</v>
      </c>
      <c r="B51" s="19" t="s">
        <v>810</v>
      </c>
      <c r="C51" s="19" t="s">
        <v>54</v>
      </c>
      <c r="D51" s="19" t="s">
        <v>97</v>
      </c>
      <c r="E51" s="5" t="str">
        <f>_xll.AtlasFormulas.AtlasFunctions.AtlasTable("UAT",DataAreaId,"T.InventTable","%ItemName","","","","","","","ItemId",$D51)</f>
        <v/>
      </c>
      <c r="F51" s="18" t="str">
        <f>_xll.AtlasFormulas.AtlasFunctions.AtlasTable("UAT","UNI","T.InventTable","%ItemName","","","","","","","ItemId",$D51)</f>
        <v>Dues - other</v>
      </c>
      <c r="G51" s="19" t="s">
        <v>56</v>
      </c>
      <c r="H51" s="5"/>
      <c r="I51" s="5"/>
      <c r="J51" s="19">
        <v>619000</v>
      </c>
      <c r="K51" s="18" t="str">
        <f>_xll.AtlasFormulas.AtlasFunctions.AtlasTable("UAT",DataAreaId,"T.LedgerTable","%AccountName","","","","","","","AccountNum",$J51)</f>
        <v>Dues - other</v>
      </c>
      <c r="L51" s="5"/>
      <c r="M51" s="5"/>
      <c r="N51" s="5" t="str">
        <f>_xll.AtlasFormulas.AtlasFunctions.AtlasTable("UAT",DataAreaId,"T.LedgerTable","%BlockedInJournal","","","","","","","AccountNum",$J51)</f>
        <v>No</v>
      </c>
    </row>
    <row r="52" spans="1:14">
      <c r="A52" s="5" t="s">
        <v>110</v>
      </c>
      <c r="B52" s="19" t="s">
        <v>810</v>
      </c>
      <c r="C52" s="19" t="s">
        <v>54</v>
      </c>
      <c r="D52" s="19" t="s">
        <v>787</v>
      </c>
      <c r="E52" s="5" t="str">
        <f>_xll.AtlasFormulas.AtlasFunctions.AtlasTable("UAT",DataAreaId,"T.InventTable","%ItemName","","","","","","","ItemId",$D52)</f>
        <v/>
      </c>
      <c r="F52" s="18" t="str">
        <f>_xll.AtlasFormulas.AtlasFunctions.AtlasTable("UAT","UNI","T.InventTable","%ItemName","","","","","","","ItemId",$D52)</f>
        <v>EE Tuition</v>
      </c>
      <c r="G52" s="19" t="s">
        <v>56</v>
      </c>
      <c r="H52" s="5"/>
      <c r="I52" s="5"/>
      <c r="J52" s="19">
        <v>521000</v>
      </c>
      <c r="K52" s="18" t="str">
        <f>_xll.AtlasFormulas.AtlasFunctions.AtlasTable("UAT",DataAreaId,"T.LedgerTable","%AccountName","","","","","","","AccountNum",$J52)</f>
        <v>EE develop - tuition re-imbursement</v>
      </c>
      <c r="L52" s="5"/>
      <c r="M52" s="5"/>
      <c r="N52" s="5" t="str">
        <f>_xll.AtlasFormulas.AtlasFunctions.AtlasTable("UAT",DataAreaId,"T.LedgerTable","%BlockedInJournal","","","","","","","AccountNum",$J52)</f>
        <v>No</v>
      </c>
    </row>
    <row r="53" spans="1:14">
      <c r="A53" s="5" t="s">
        <v>110</v>
      </c>
      <c r="B53" s="19" t="s">
        <v>810</v>
      </c>
      <c r="C53" s="19" t="s">
        <v>54</v>
      </c>
      <c r="D53" s="19" t="s">
        <v>804</v>
      </c>
      <c r="E53" s="5" t="str">
        <f>_xll.AtlasFormulas.AtlasFunctions.AtlasTable("UAT",DataAreaId,"T.InventTable","%ItemName","","","","","","","ItemId",$D53)</f>
        <v/>
      </c>
      <c r="F53" s="18" t="str">
        <f>_xll.AtlasFormulas.AtlasFunctions.AtlasTable("UAT","UNI","T.InventTable","%ItemName","","","","","","","ItemId",$D53)</f>
        <v>Factory Equipment</v>
      </c>
      <c r="G53" s="19" t="s">
        <v>56</v>
      </c>
      <c r="H53" s="5"/>
      <c r="I53" s="5"/>
      <c r="J53" s="19">
        <v>172000</v>
      </c>
      <c r="K53" s="18" t="str">
        <f>_xll.AtlasFormulas.AtlasFunctions.AtlasTable("UAT",DataAreaId,"T.LedgerTable","%AccountName","","","","","","","AccountNum",$J53)</f>
        <v>Factory equipment</v>
      </c>
      <c r="L53" s="5"/>
      <c r="M53" s="5"/>
      <c r="N53" s="5" t="str">
        <f>_xll.AtlasFormulas.AtlasFunctions.AtlasTable("UAT",DataAreaId,"T.LedgerTable","%BlockedInJournal","","","","","","","AccountNum",$J53)</f>
        <v>No</v>
      </c>
    </row>
    <row r="54" spans="1:14">
      <c r="A54" s="5" t="s">
        <v>110</v>
      </c>
      <c r="B54" s="19" t="s">
        <v>810</v>
      </c>
      <c r="C54" s="19" t="s">
        <v>54</v>
      </c>
      <c r="D54" s="19" t="s">
        <v>788</v>
      </c>
      <c r="E54" s="5" t="str">
        <f>_xll.AtlasFormulas.AtlasFunctions.AtlasTable("UAT",DataAreaId,"T.InventTable","%ItemName","","","","","","","ItemId",$D54)</f>
        <v/>
      </c>
      <c r="F54" s="18" t="str">
        <f>_xll.AtlasFormulas.AtlasFunctions.AtlasTable("UAT","UNI","T.InventTable","%ItemName","","","","","","","ItemId",$D54)</f>
        <v>Fines &amp; Penalties</v>
      </c>
      <c r="G54" s="19" t="s">
        <v>56</v>
      </c>
      <c r="H54" s="5"/>
      <c r="I54" s="5"/>
      <c r="J54" s="19">
        <v>631000</v>
      </c>
      <c r="K54" s="18" t="str">
        <f>_xll.AtlasFormulas.AtlasFunctions.AtlasTable("UAT",DataAreaId,"T.LedgerTable","%AccountName","","","","","","","AccountNum",$J54)</f>
        <v>Fines and penalties</v>
      </c>
      <c r="L54" s="5"/>
      <c r="M54" s="5"/>
      <c r="N54" s="5" t="str">
        <f>_xll.AtlasFormulas.AtlasFunctions.AtlasTable("UAT",DataAreaId,"T.LedgerTable","%BlockedInJournal","","","","","","","AccountNum",$J54)</f>
        <v>No</v>
      </c>
    </row>
    <row r="55" spans="1:14">
      <c r="A55" s="5" t="s">
        <v>110</v>
      </c>
      <c r="B55" s="19" t="s">
        <v>810</v>
      </c>
      <c r="C55" s="19" t="s">
        <v>54</v>
      </c>
      <c r="D55" s="19" t="s">
        <v>789</v>
      </c>
      <c r="E55" s="5" t="str">
        <f>_xll.AtlasFormulas.AtlasFunctions.AtlasTable("UAT",DataAreaId,"T.InventTable","%ItemName","","","","","","","ItemId",$D55)</f>
        <v/>
      </c>
      <c r="F55" s="18" t="str">
        <f>_xll.AtlasFormulas.AtlasFunctions.AtlasTable("UAT","UNI","T.InventTable","%ItemName","","","","","","","ItemId",$D55)</f>
        <v>Hand tools - large</v>
      </c>
      <c r="G55" s="19" t="s">
        <v>56</v>
      </c>
      <c r="H55" s="5"/>
      <c r="I55" s="5"/>
      <c r="J55" s="19">
        <v>792000</v>
      </c>
      <c r="K55" s="18" t="str">
        <f>_xll.AtlasFormulas.AtlasFunctions.AtlasTable("UAT",DataAreaId,"T.LedgerTable","%AccountName","","","","","","","AccountNum",$J55)</f>
        <v>Hand tools - large &gt;$500</v>
      </c>
      <c r="L55" s="5"/>
      <c r="M55" s="5"/>
      <c r="N55" s="5" t="str">
        <f>_xll.AtlasFormulas.AtlasFunctions.AtlasTable("UAT",DataAreaId,"T.LedgerTable","%BlockedInJournal","","","","","","","AccountNum",$J55)</f>
        <v>No</v>
      </c>
    </row>
    <row r="56" spans="1:14">
      <c r="A56" s="5" t="s">
        <v>110</v>
      </c>
      <c r="B56" s="19" t="s">
        <v>810</v>
      </c>
      <c r="C56" s="19" t="s">
        <v>54</v>
      </c>
      <c r="D56" s="19" t="s">
        <v>790</v>
      </c>
      <c r="E56" s="5" t="str">
        <f>_xll.AtlasFormulas.AtlasFunctions.AtlasTable("UAT",DataAreaId,"T.InventTable","%ItemName","","","","","","","ItemId",$D56)</f>
        <v/>
      </c>
      <c r="F56" s="18" t="str">
        <f>_xll.AtlasFormulas.AtlasFunctions.AtlasTable("UAT","UNI","T.InventTable","%ItemName","","","","","","","ItemId",$D56)</f>
        <v>Hand tools - small</v>
      </c>
      <c r="G56" s="19" t="s">
        <v>56</v>
      </c>
      <c r="H56" s="5"/>
      <c r="I56" s="5"/>
      <c r="J56" s="19">
        <v>791000</v>
      </c>
      <c r="K56" s="18" t="str">
        <f>_xll.AtlasFormulas.AtlasFunctions.AtlasTable("UAT",DataAreaId,"T.LedgerTable","%AccountName","","","","","","","AccountNum",$J56)</f>
        <v>Hand tools - small &lt;=$500</v>
      </c>
      <c r="L56" s="5"/>
      <c r="M56" s="5"/>
      <c r="N56" s="5" t="str">
        <f>_xll.AtlasFormulas.AtlasFunctions.AtlasTable("UAT",DataAreaId,"T.LedgerTable","%BlockedInJournal","","","","","","","AccountNum",$J56)</f>
        <v>No</v>
      </c>
    </row>
    <row r="57" spans="1:14">
      <c r="A57" s="5" t="s">
        <v>110</v>
      </c>
      <c r="B57" s="19" t="s">
        <v>810</v>
      </c>
      <c r="C57" s="19" t="s">
        <v>54</v>
      </c>
      <c r="D57" s="19" t="s">
        <v>594</v>
      </c>
      <c r="E57" s="5" t="str">
        <f>_xll.AtlasFormulas.AtlasFunctions.AtlasTable("UAT",DataAreaId,"T.InventTable","%ItemName","","","","","","","ItemId",$D57)</f>
        <v/>
      </c>
      <c r="F57" s="18" t="str">
        <f>_xll.AtlasFormulas.AtlasFunctions.AtlasTable("UAT","UNI","T.InventTable","%ItemName","","","","","","","ItemId",$D57)</f>
        <v/>
      </c>
      <c r="G57" s="19" t="s">
        <v>56</v>
      </c>
      <c r="H57" s="5"/>
      <c r="I57" s="5"/>
      <c r="J57" s="19">
        <v>429200</v>
      </c>
      <c r="K57" s="18" t="str">
        <f>_xll.AtlasFormulas.AtlasFunctions.AtlasTable("UAT",DataAreaId,"T.LedgerTable","%AccountName","","","","","","","AccountNum",$J57)</f>
        <v>Health, welfare</v>
      </c>
      <c r="L57" s="5"/>
      <c r="M57" s="5"/>
      <c r="N57" s="5" t="str">
        <f>_xll.AtlasFormulas.AtlasFunctions.AtlasTable("UAT",DataAreaId,"T.LedgerTable","%BlockedInJournal","","","","","","","AccountNum",$J57)</f>
        <v>No</v>
      </c>
    </row>
    <row r="58" spans="1:14">
      <c r="A58" s="5" t="s">
        <v>110</v>
      </c>
      <c r="B58" s="19" t="s">
        <v>810</v>
      </c>
      <c r="C58" s="19" t="s">
        <v>54</v>
      </c>
      <c r="D58" s="19" t="s">
        <v>805</v>
      </c>
      <c r="E58" s="5" t="str">
        <f>_xll.AtlasFormulas.AtlasFunctions.AtlasTable("UAT",DataAreaId,"T.InventTable","%ItemName","","","","","","","ItemId",$D58)</f>
        <v/>
      </c>
      <c r="F58" s="18" t="str">
        <f>_xll.AtlasFormulas.AtlasFunctions.AtlasTable("UAT","UNI","T.InventTable","%ItemName","","","","","","","ItemId",$D58)</f>
        <v>Leased Equipment</v>
      </c>
      <c r="G58" s="19" t="s">
        <v>56</v>
      </c>
      <c r="H58" s="5"/>
      <c r="I58" s="5"/>
      <c r="J58" s="19">
        <v>172100</v>
      </c>
      <c r="K58" s="18" t="str">
        <f>_xll.AtlasFormulas.AtlasFunctions.AtlasTable("UAT",DataAreaId,"T.LedgerTable","%AccountName","","","","","","","AccountNum",$J58)</f>
        <v>Leased equipment</v>
      </c>
      <c r="L58" s="5"/>
      <c r="M58" s="5"/>
      <c r="N58" s="5" t="str">
        <f>_xll.AtlasFormulas.AtlasFunctions.AtlasTable("UAT",DataAreaId,"T.LedgerTable","%BlockedInJournal","","","","","","","AccountNum",$J58)</f>
        <v>No</v>
      </c>
    </row>
    <row r="59" spans="1:14">
      <c r="A59" s="5" t="s">
        <v>110</v>
      </c>
      <c r="B59" s="19" t="s">
        <v>810</v>
      </c>
      <c r="C59" s="19" t="s">
        <v>54</v>
      </c>
      <c r="D59" s="19" t="s">
        <v>806</v>
      </c>
      <c r="E59" s="5" t="str">
        <f>_xll.AtlasFormulas.AtlasFunctions.AtlasTable("UAT",DataAreaId,"T.InventTable","%ItemName","","","","","","","ItemId",$D59)</f>
        <v/>
      </c>
      <c r="F59" s="18" t="str">
        <f>_xll.AtlasFormulas.AtlasFunctions.AtlasTable("UAT","UNI","T.InventTable","%ItemName","","","","","","","ItemId",$D59)</f>
        <v>Leasehold Imp</v>
      </c>
      <c r="G59" s="19" t="s">
        <v>56</v>
      </c>
      <c r="H59" s="5"/>
      <c r="I59" s="5"/>
      <c r="J59" s="19">
        <v>171200</v>
      </c>
      <c r="K59" s="18" t="str">
        <f>_xll.AtlasFormulas.AtlasFunctions.AtlasTable("UAT",DataAreaId,"T.LedgerTable","%AccountName","","","","","","","AccountNum",$J59)</f>
        <v>Leasehold improvements</v>
      </c>
      <c r="L59" s="5"/>
      <c r="M59" s="5"/>
      <c r="N59" s="5" t="str">
        <f>_xll.AtlasFormulas.AtlasFunctions.AtlasTable("UAT",DataAreaId,"T.LedgerTable","%BlockedInJournal","","","","","","","AccountNum",$J59)</f>
        <v>No</v>
      </c>
    </row>
    <row r="60" spans="1:14">
      <c r="A60" s="5" t="s">
        <v>110</v>
      </c>
      <c r="B60" s="19" t="s">
        <v>810</v>
      </c>
      <c r="C60" s="19" t="s">
        <v>54</v>
      </c>
      <c r="D60" s="19" t="s">
        <v>807</v>
      </c>
      <c r="E60" s="5" t="str">
        <f>_xll.AtlasFormulas.AtlasFunctions.AtlasTable("UAT",DataAreaId,"T.InventTable","%ItemName","","","","","","","ItemId",$D60)</f>
        <v/>
      </c>
      <c r="F60" s="18" t="str">
        <f>_xll.AtlasFormulas.AtlasFunctions.AtlasTable("UAT","UNI","T.InventTable","%ItemName","","","","","","","ItemId",$D60)</f>
        <v>Office Equipment</v>
      </c>
      <c r="G60" s="19" t="s">
        <v>56</v>
      </c>
      <c r="H60" s="5"/>
      <c r="I60" s="5"/>
      <c r="J60" s="19">
        <v>172400</v>
      </c>
      <c r="K60" s="18" t="str">
        <f>_xll.AtlasFormulas.AtlasFunctions.AtlasTable("UAT",DataAreaId,"T.LedgerTable","%AccountName","","","","","","","AccountNum",$J60)</f>
        <v>Office equipment</v>
      </c>
      <c r="L60" s="5"/>
      <c r="M60" s="5"/>
      <c r="N60" s="5" t="str">
        <f>_xll.AtlasFormulas.AtlasFunctions.AtlasTable("UAT",DataAreaId,"T.LedgerTable","%BlockedInJournal","","","","","","","AccountNum",$J60)</f>
        <v>No</v>
      </c>
    </row>
    <row r="61" spans="1:14">
      <c r="A61" s="5" t="s">
        <v>110</v>
      </c>
      <c r="B61" s="19" t="s">
        <v>810</v>
      </c>
      <c r="C61" s="19" t="s">
        <v>54</v>
      </c>
      <c r="D61" s="19" t="s">
        <v>103</v>
      </c>
      <c r="E61" s="5" t="str">
        <f>_xll.AtlasFormulas.AtlasFunctions.AtlasTable("UAT",DataAreaId,"T.InventTable","%ItemName","","","","","","","ItemId",$D61)</f>
        <v/>
      </c>
      <c r="F61" s="18" t="str">
        <f>_xll.AtlasFormulas.AtlasFunctions.AtlasTable("UAT","UNI","T.InventTable","%ItemName","","","","","","","ItemId",$D61)</f>
        <v>Pallets</v>
      </c>
      <c r="G61" s="19" t="s">
        <v>56</v>
      </c>
      <c r="H61" s="5"/>
      <c r="I61" s="5"/>
      <c r="J61" s="19">
        <v>503000</v>
      </c>
      <c r="K61" s="18" t="str">
        <f>_xll.AtlasFormulas.AtlasFunctions.AtlasTable("UAT",DataAreaId,"T.LedgerTable","%AccountName","","","","","","","AccountNum",$J61)</f>
        <v>Pallets</v>
      </c>
      <c r="L61" s="5"/>
      <c r="M61" s="5"/>
      <c r="N61" s="5" t="str">
        <f>_xll.AtlasFormulas.AtlasFunctions.AtlasTable("UAT",DataAreaId,"T.LedgerTable","%BlockedInJournal","","","","","","","AccountNum",$J61)</f>
        <v>No</v>
      </c>
    </row>
    <row r="62" spans="1:14">
      <c r="A62" s="5" t="s">
        <v>110</v>
      </c>
      <c r="B62" s="19" t="s">
        <v>810</v>
      </c>
      <c r="C62" s="19" t="s">
        <v>54</v>
      </c>
      <c r="D62" s="19" t="s">
        <v>808</v>
      </c>
      <c r="E62" s="5" t="str">
        <f>_xll.AtlasFormulas.AtlasFunctions.AtlasTable("UAT",DataAreaId,"T.InventTable","%ItemName","","","","","","","ItemId",$D62)</f>
        <v/>
      </c>
      <c r="F62" s="18" t="str">
        <f>_xll.AtlasFormulas.AtlasFunctions.AtlasTable("UAT","UNI","T.InventTable","%ItemName","","","","","","","ItemId",$D62)</f>
        <v/>
      </c>
      <c r="G62" s="19" t="s">
        <v>56</v>
      </c>
      <c r="H62" s="5"/>
      <c r="I62" s="5"/>
      <c r="J62" s="19">
        <v>501000</v>
      </c>
      <c r="K62" s="18" t="str">
        <f>_xll.AtlasFormulas.AtlasFunctions.AtlasTable("UAT",DataAreaId,"T.LedgerTable","%AccountName","","","","","","","AccountNum",$J62)</f>
        <v>Staples and stitching wire</v>
      </c>
      <c r="L62" s="5"/>
      <c r="M62" s="5"/>
      <c r="N62" s="5" t="str">
        <f>_xll.AtlasFormulas.AtlasFunctions.AtlasTable("UAT",DataAreaId,"T.LedgerTable","%BlockedInJournal","","","","","","","AccountNum",$J62)</f>
        <v>No</v>
      </c>
    </row>
    <row r="63" spans="1:14">
      <c r="A63" s="5" t="s">
        <v>110</v>
      </c>
      <c r="B63" s="19" t="s">
        <v>810</v>
      </c>
      <c r="C63" s="19" t="s">
        <v>54</v>
      </c>
      <c r="D63" s="19" t="s">
        <v>104</v>
      </c>
      <c r="E63" s="5" t="str">
        <f>_xll.AtlasFormulas.AtlasFunctions.AtlasTable("UAT",DataAreaId,"T.InventTable","%ItemName","","","","","","","ItemId",$D63)</f>
        <v/>
      </c>
      <c r="F63" s="18" t="str">
        <f>_xll.AtlasFormulas.AtlasFunctions.AtlasTable("UAT","UNI","T.InventTable","%ItemName","","","","","","","ItemId",$D63)</f>
        <v>Strapping &amp; clips</v>
      </c>
      <c r="G63" s="19" t="s">
        <v>56</v>
      </c>
      <c r="H63" s="5"/>
      <c r="I63" s="5"/>
      <c r="J63" s="19">
        <v>507000</v>
      </c>
      <c r="K63" s="18" t="str">
        <f>_xll.AtlasFormulas.AtlasFunctions.AtlasTable("UAT",DataAreaId,"T.LedgerTable","%AccountName","","","","","","","AccountNum",$J63)</f>
        <v>Strapping &amp; clips</v>
      </c>
      <c r="L63" s="5"/>
      <c r="M63" s="5"/>
      <c r="N63" s="5" t="str">
        <f>_xll.AtlasFormulas.AtlasFunctions.AtlasTable("UAT",DataAreaId,"T.LedgerTable","%BlockedInJournal","","","","","","","AccountNum",$J63)</f>
        <v>No</v>
      </c>
    </row>
    <row r="64" spans="1:14">
      <c r="A64" s="5" t="s">
        <v>110</v>
      </c>
      <c r="B64" s="19" t="s">
        <v>810</v>
      </c>
      <c r="C64" s="19" t="s">
        <v>54</v>
      </c>
      <c r="D64" s="19" t="s">
        <v>791</v>
      </c>
      <c r="E64" s="5" t="str">
        <f>_xll.AtlasFormulas.AtlasFunctions.AtlasTable("UAT",DataAreaId,"T.InventTable","%ItemName","","","","","","","ItemId",$D64)</f>
        <v/>
      </c>
      <c r="F64" s="18" t="str">
        <f>_xll.AtlasFormulas.AtlasFunctions.AtlasTable("UAT","UNI","T.InventTable","%ItemName","","","","","","","ItemId",$D64)</f>
        <v/>
      </c>
      <c r="G64" s="19" t="s">
        <v>56</v>
      </c>
      <c r="H64" s="5"/>
      <c r="I64" s="5"/>
      <c r="J64" s="19">
        <v>754000</v>
      </c>
      <c r="K64" s="18" t="str">
        <f>_xll.AtlasFormulas.AtlasFunctions.AtlasTable("UAT",DataAreaId,"T.LedgerTable","%AccountName","","","","","","","AccountNum",$J64)</f>
        <v>Services - uniforms, mats, etc.</v>
      </c>
      <c r="L64" s="5"/>
      <c r="M64" s="5"/>
      <c r="N64" s="5" t="str">
        <f>_xll.AtlasFormulas.AtlasFunctions.AtlasTable("UAT",DataAreaId,"T.LedgerTable","%BlockedInJournal","","","","","","","AccountNum",$J64)</f>
        <v>No</v>
      </c>
    </row>
    <row r="65" spans="1:14">
      <c r="A65" s="5" t="s">
        <v>110</v>
      </c>
      <c r="B65" s="19" t="s">
        <v>810</v>
      </c>
      <c r="C65" s="19" t="s">
        <v>54</v>
      </c>
      <c r="D65" s="19" t="s">
        <v>809</v>
      </c>
      <c r="E65" s="5" t="str">
        <f>_xll.AtlasFormulas.AtlasFunctions.AtlasTable("UAT",DataAreaId,"T.InventTable","%ItemName","","","","","","","ItemId",$D65)</f>
        <v/>
      </c>
      <c r="F65" s="18" t="str">
        <f>_xll.AtlasFormulas.AtlasFunctions.AtlasTable("UAT","UNI","T.InventTable","%ItemName","","","","","","","ItemId",$D65)</f>
        <v>Truck-Forklifts</v>
      </c>
      <c r="G65" s="19" t="s">
        <v>56</v>
      </c>
      <c r="H65" s="5"/>
      <c r="I65" s="5"/>
      <c r="J65" s="19">
        <v>172200</v>
      </c>
      <c r="K65" s="18" t="str">
        <f>_xll.AtlasFormulas.AtlasFunctions.AtlasTable("UAT",DataAreaId,"T.LedgerTable","%AccountName","","","","","","","AccountNum",$J65)</f>
        <v>Trucks, trailers, forklifts</v>
      </c>
      <c r="L65" s="5"/>
      <c r="M65" s="5"/>
      <c r="N65" s="5" t="str">
        <f>_xll.AtlasFormulas.AtlasFunctions.AtlasTable("UAT",DataAreaId,"T.LedgerTable","%BlockedInJournal","","","","","","","AccountNum",$J65)</f>
        <v>No</v>
      </c>
    </row>
    <row r="66" spans="1:14">
      <c r="A66" s="5" t="s">
        <v>110</v>
      </c>
      <c r="B66" s="19" t="s">
        <v>810</v>
      </c>
      <c r="C66" s="19" t="s">
        <v>55</v>
      </c>
      <c r="D66" s="19" t="s">
        <v>792</v>
      </c>
      <c r="E66" s="5" t="str">
        <f>_xll.AtlasFormulas.AtlasFunctions.AtlasTable("UAT",DataAreaId,"T.InventTable","%ItemName","","","","","","","ItemId",$D66)</f>
        <v/>
      </c>
      <c r="F66" s="18" t="str">
        <f>_xll.AtlasFormulas.AtlasFunctions.AtlasTable("UAT","UNI","T.InventTable","%ItemName","","","","","","","ItemId",$D66)</f>
        <v/>
      </c>
      <c r="G66" s="19" t="s">
        <v>56</v>
      </c>
      <c r="H66" s="5"/>
      <c r="I66" s="5"/>
      <c r="J66" s="19">
        <v>495035</v>
      </c>
      <c r="K66" s="18" t="str">
        <f>_xll.AtlasFormulas.AtlasFunctions.AtlasTable("UAT",DataAreaId,"T.LedgerTable","%AccountName","","","","","","","AccountNum",$J66)</f>
        <v>PO Credit Differences</v>
      </c>
      <c r="L66" s="5"/>
      <c r="M66" s="5"/>
      <c r="N66" s="5" t="str">
        <f>_xll.AtlasFormulas.AtlasFunctions.AtlasTable("UAT",DataAreaId,"T.LedgerTable","%BlockedInJournal","","","","","","","AccountNum",$J66)</f>
        <v>No</v>
      </c>
    </row>
    <row r="67" spans="1:14">
      <c r="A67" s="5" t="s">
        <v>110</v>
      </c>
      <c r="B67" s="19" t="s">
        <v>810</v>
      </c>
      <c r="C67" s="19" t="s">
        <v>55</v>
      </c>
      <c r="D67" s="19" t="s">
        <v>793</v>
      </c>
      <c r="E67" s="5" t="str">
        <f>_xll.AtlasFormulas.AtlasFunctions.AtlasTable("UAT",DataAreaId,"T.InventTable","%ItemName","","","","","","","ItemId",$D67)</f>
        <v/>
      </c>
      <c r="F67" s="18" t="str">
        <f>_xll.AtlasFormulas.AtlasFunctions.AtlasTable("UAT","UNI","T.InventTable","%ItemName","","","","","","","ItemId",$D67)</f>
        <v/>
      </c>
      <c r="G67" s="19" t="s">
        <v>56</v>
      </c>
      <c r="H67" s="5"/>
      <c r="I67" s="5"/>
      <c r="J67" s="19">
        <v>495010</v>
      </c>
      <c r="K67" s="18" t="str">
        <f>_xll.AtlasFormulas.AtlasFunctions.AtlasTable("UAT",DataAreaId,"T.LedgerTable","%AccountName","","","","","","","AccountNum",$J67)</f>
        <v>Inventory change - materials</v>
      </c>
      <c r="L67" s="5"/>
      <c r="M67" s="5"/>
      <c r="N67" s="5" t="str">
        <f>_xll.AtlasFormulas.AtlasFunctions.AtlasTable("UAT",DataAreaId,"T.LedgerTable","%BlockedInJournal","","","","","","","AccountNum",$J67)</f>
        <v>No</v>
      </c>
    </row>
    <row r="68" spans="1:14">
      <c r="A68" s="5" t="s">
        <v>110</v>
      </c>
      <c r="B68" s="19" t="s">
        <v>810</v>
      </c>
      <c r="C68" s="19" t="s">
        <v>55</v>
      </c>
      <c r="D68" s="19" t="s">
        <v>794</v>
      </c>
      <c r="E68" s="5" t="str">
        <f>_xll.AtlasFormulas.AtlasFunctions.AtlasTable("UAT",DataAreaId,"T.InventTable","%ItemName","","","","","","","ItemId",$D68)</f>
        <v/>
      </c>
      <c r="F68" s="18" t="str">
        <f>_xll.AtlasFormulas.AtlasFunctions.AtlasTable("UAT","UNI","T.InventTable","%ItemName","","","","","","","ItemId",$D68)</f>
        <v/>
      </c>
      <c r="G68" s="19" t="s">
        <v>56</v>
      </c>
      <c r="H68" s="5"/>
      <c r="I68" s="5"/>
      <c r="J68" s="19">
        <v>495035</v>
      </c>
      <c r="K68" s="18" t="str">
        <f>_xll.AtlasFormulas.AtlasFunctions.AtlasTable("UAT",DataAreaId,"T.LedgerTable","%AccountName","","","","","","","AccountNum",$J68)</f>
        <v>PO Credit Differences</v>
      </c>
      <c r="L68" s="5"/>
      <c r="M68" s="5"/>
      <c r="N68" s="5" t="str">
        <f>_xll.AtlasFormulas.AtlasFunctions.AtlasTable("UAT",DataAreaId,"T.LedgerTable","%BlockedInJournal","","","","","","","AccountNum",$J68)</f>
        <v>No</v>
      </c>
    </row>
    <row r="69" spans="1:14">
      <c r="A69" s="5" t="s">
        <v>110</v>
      </c>
      <c r="B69" s="19" t="s">
        <v>810</v>
      </c>
      <c r="C69" s="19" t="s">
        <v>55</v>
      </c>
      <c r="D69" s="19" t="s">
        <v>795</v>
      </c>
      <c r="E69" s="5" t="str">
        <f>_xll.AtlasFormulas.AtlasFunctions.AtlasTable("UAT",DataAreaId,"T.InventTable","%ItemName","","","","","","","ItemId",$D69)</f>
        <v/>
      </c>
      <c r="F69" s="18" t="str">
        <f>_xll.AtlasFormulas.AtlasFunctions.AtlasTable("UAT","UNI","T.InventTable","%ItemName","","","","","","","ItemId",$D69)</f>
        <v/>
      </c>
      <c r="G69" s="19" t="s">
        <v>56</v>
      </c>
      <c r="H69" s="5"/>
      <c r="I69" s="5"/>
      <c r="J69" s="19">
        <v>759000</v>
      </c>
      <c r="K69" s="18" t="str">
        <f>_xll.AtlasFormulas.AtlasFunctions.AtlasTable("UAT",DataAreaId,"T.LedgerTable","%AccountName","","","","","","","AccountNum",$J69)</f>
        <v>Services - other</v>
      </c>
      <c r="L69" s="5"/>
      <c r="M69" s="5"/>
      <c r="N69" s="5" t="str">
        <f>_xll.AtlasFormulas.AtlasFunctions.AtlasTable("UAT",DataAreaId,"T.LedgerTable","%BlockedInJournal","","","","","","","AccountNum",$J69)</f>
        <v>No</v>
      </c>
    </row>
    <row r="70" spans="1:14">
      <c r="A70" s="5" t="s">
        <v>111</v>
      </c>
      <c r="B70" s="19" t="s">
        <v>810</v>
      </c>
      <c r="C70" s="19" t="s">
        <v>55</v>
      </c>
      <c r="D70" s="19" t="s">
        <v>796</v>
      </c>
      <c r="E70" s="5" t="str">
        <f>_xll.AtlasFormulas.AtlasFunctions.AtlasTable("UAT",DataAreaId,"T.InventTable","%ItemName","","","","","","","ItemId",$D70)</f>
        <v/>
      </c>
      <c r="F70" s="18" t="str">
        <f>_xll.AtlasFormulas.AtlasFunctions.AtlasTable("UAT","UNI","T.InventTable","%ItemName","","","","","","","ItemId",$D70)</f>
        <v/>
      </c>
      <c r="G70" s="19" t="s">
        <v>56</v>
      </c>
      <c r="H70" s="5"/>
      <c r="I70" s="5"/>
      <c r="J70" s="19">
        <v>779000</v>
      </c>
      <c r="K70" s="18" t="str">
        <f>_xll.AtlasFormulas.AtlasFunctions.AtlasTable("UAT",DataAreaId,"T.LedgerTable","%AccountName","","","","","","","AccountNum",$J70)</f>
        <v>Supplies - other</v>
      </c>
      <c r="L70" s="5"/>
      <c r="M70" s="5"/>
      <c r="N70" s="5" t="str">
        <f>_xll.AtlasFormulas.AtlasFunctions.AtlasTable("UAT",DataAreaId,"T.LedgerTable","%BlockedInJournal","","","","","","","AccountNum",$J70)</f>
        <v>No</v>
      </c>
    </row>
    <row r="71" spans="1:14">
      <c r="A71" s="5" t="s">
        <v>111</v>
      </c>
      <c r="B71" s="19" t="s">
        <v>811</v>
      </c>
      <c r="C71" s="19" t="s">
        <v>55</v>
      </c>
      <c r="D71" s="19" t="s">
        <v>792</v>
      </c>
      <c r="E71" s="5" t="str">
        <f>_xll.AtlasFormulas.AtlasFunctions.AtlasTable("UAT",DataAreaId,"T.InventTable","%ItemName","","","","","","","ItemId",$D71)</f>
        <v/>
      </c>
      <c r="F71" s="18" t="str">
        <f>_xll.AtlasFormulas.AtlasFunctions.AtlasTable("UAT","UNI","T.InventTable","%ItemName","","","","","","","ItemId",$D71)</f>
        <v/>
      </c>
      <c r="G71" s="19" t="s">
        <v>56</v>
      </c>
      <c r="H71" s="5"/>
      <c r="I71" s="5"/>
      <c r="J71" s="19">
        <v>131000</v>
      </c>
      <c r="K71" s="18" t="str">
        <f>_xll.AtlasFormulas.AtlasFunctions.AtlasTable("UAT",DataAreaId,"T.LedgerTable","%AccountName","","","","","","","AccountNum",$J71)</f>
        <v>Components</v>
      </c>
      <c r="L71" s="5"/>
      <c r="M71" s="5"/>
      <c r="N71" s="5" t="str">
        <f>_xll.AtlasFormulas.AtlasFunctions.AtlasTable("UAT",DataAreaId,"T.LedgerTable","%BlockedInJournal","","","","","","","AccountNum",$J71)</f>
        <v>Yes</v>
      </c>
    </row>
    <row r="72" spans="1:14">
      <c r="A72" s="5" t="s">
        <v>111</v>
      </c>
      <c r="B72" s="19" t="s">
        <v>811</v>
      </c>
      <c r="C72" s="19" t="s">
        <v>55</v>
      </c>
      <c r="D72" s="19" t="s">
        <v>793</v>
      </c>
      <c r="E72" s="5" t="str">
        <f>_xll.AtlasFormulas.AtlasFunctions.AtlasTable("UAT",DataAreaId,"T.InventTable","%ItemName","","","","","","","ItemId",$D72)</f>
        <v/>
      </c>
      <c r="F72" s="18" t="str">
        <f>_xll.AtlasFormulas.AtlasFunctions.AtlasTable("UAT","UNI","T.InventTable","%ItemName","","","","","","","ItemId",$D72)</f>
        <v/>
      </c>
      <c r="G72" s="19" t="s">
        <v>56</v>
      </c>
      <c r="H72" s="5"/>
      <c r="I72" s="5"/>
      <c r="J72" s="19">
        <v>130000</v>
      </c>
      <c r="K72" s="18" t="str">
        <f>_xll.AtlasFormulas.AtlasFunctions.AtlasTable("UAT",DataAreaId,"T.LedgerTable","%AccountName","","","","","","","AccountNum",$J72)</f>
        <v>Raw materials</v>
      </c>
      <c r="L72" s="5"/>
      <c r="M72" s="5"/>
      <c r="N72" s="5" t="str">
        <f>_xll.AtlasFormulas.AtlasFunctions.AtlasTable("UAT",DataAreaId,"T.LedgerTable","%BlockedInJournal","","","","","","","AccountNum",$J72)</f>
        <v>Yes</v>
      </c>
    </row>
    <row r="73" spans="1:14">
      <c r="A73" s="5" t="s">
        <v>111</v>
      </c>
      <c r="B73" s="19" t="s">
        <v>811</v>
      </c>
      <c r="C73" s="19" t="s">
        <v>55</v>
      </c>
      <c r="D73" s="19" t="s">
        <v>794</v>
      </c>
      <c r="E73" s="5" t="str">
        <f>_xll.AtlasFormulas.AtlasFunctions.AtlasTable("UAT",DataAreaId,"T.InventTable","%ItemName","","","","","","","ItemId",$D73)</f>
        <v/>
      </c>
      <c r="F73" s="18" t="str">
        <f>_xll.AtlasFormulas.AtlasFunctions.AtlasTable("UAT","UNI","T.InventTable","%ItemName","","","","","","","ItemId",$D73)</f>
        <v/>
      </c>
      <c r="G73" s="19" t="s">
        <v>56</v>
      </c>
      <c r="H73" s="5"/>
      <c r="I73" s="5"/>
      <c r="J73" s="19">
        <v>132000</v>
      </c>
      <c r="K73" s="18" t="str">
        <f>_xll.AtlasFormulas.AtlasFunctions.AtlasTable("UAT",DataAreaId,"T.LedgerTable","%AccountName","","","","","","","AccountNum",$J73)</f>
        <v>Finished goods</v>
      </c>
      <c r="L73" s="5"/>
      <c r="M73" s="5"/>
      <c r="N73" s="5" t="str">
        <f>_xll.AtlasFormulas.AtlasFunctions.AtlasTable("UAT",DataAreaId,"T.LedgerTable","%BlockedInJournal","","","","","","","AccountNum",$J73)</f>
        <v>Yes</v>
      </c>
    </row>
    <row r="74" spans="1:14">
      <c r="A74" s="5" t="s">
        <v>111</v>
      </c>
      <c r="B74" s="19" t="s">
        <v>811</v>
      </c>
      <c r="C74" s="19" t="s">
        <v>55</v>
      </c>
      <c r="D74" s="19" t="s">
        <v>796</v>
      </c>
      <c r="E74" s="5" t="str">
        <f>_xll.AtlasFormulas.AtlasFunctions.AtlasTable("UAT",DataAreaId,"T.InventTable","%ItemName","","","","","","","ItemId",$D74)</f>
        <v/>
      </c>
      <c r="F74" s="18" t="str">
        <f>_xll.AtlasFormulas.AtlasFunctions.AtlasTable("UAT","UNI","T.InventTable","%ItemName","","","","","","","ItemId",$D74)</f>
        <v/>
      </c>
      <c r="G74" s="19" t="s">
        <v>56</v>
      </c>
      <c r="H74" s="5"/>
      <c r="I74" s="5"/>
      <c r="J74" s="19">
        <v>779000</v>
      </c>
      <c r="K74" s="18" t="str">
        <f>_xll.AtlasFormulas.AtlasFunctions.AtlasTable("UAT",DataAreaId,"T.LedgerTable","%AccountName","","","","","","","AccountNum",$J74)</f>
        <v>Supplies - other</v>
      </c>
      <c r="L74" s="5"/>
      <c r="M74" s="5"/>
      <c r="N74" s="5" t="str">
        <f>_xll.AtlasFormulas.AtlasFunctions.AtlasTable("UAT",DataAreaId,"T.LedgerTable","%BlockedInJournal","","","","","","","AccountNum",$J74)</f>
        <v>No</v>
      </c>
    </row>
    <row r="75" spans="1:14">
      <c r="A75" s="5" t="s">
        <v>111</v>
      </c>
      <c r="B75" s="19" t="s">
        <v>812</v>
      </c>
      <c r="C75" s="19" t="s">
        <v>55</v>
      </c>
      <c r="D75" s="19" t="s">
        <v>792</v>
      </c>
      <c r="E75" s="5" t="str">
        <f>_xll.AtlasFormulas.AtlasFunctions.AtlasTable("UAT",DataAreaId,"T.InventTable","%ItemName","","","","","","","ItemId",$D75)</f>
        <v/>
      </c>
      <c r="F75" s="18" t="str">
        <f>_xll.AtlasFormulas.AtlasFunctions.AtlasTable("UAT","UNI","T.InventTable","%ItemName","","","","","","","ItemId",$D75)</f>
        <v/>
      </c>
      <c r="G75" s="19" t="s">
        <v>56</v>
      </c>
      <c r="H75" s="5"/>
      <c r="I75" s="5"/>
      <c r="J75" s="19">
        <v>494020</v>
      </c>
      <c r="K75" s="18" t="str">
        <f>_xll.AtlasFormulas.AtlasFunctions.AtlasTable("UAT",DataAreaId,"T.LedgerTable","%AccountName","","","","","","","AccountNum",$J75)</f>
        <v>Book-to-physical adj - components</v>
      </c>
      <c r="L75" s="5"/>
      <c r="M75" s="5"/>
      <c r="N75" s="5" t="str">
        <f>_xll.AtlasFormulas.AtlasFunctions.AtlasTable("UAT",DataAreaId,"T.LedgerTable","%BlockedInJournal","","","","","","","AccountNum",$J75)</f>
        <v>No</v>
      </c>
    </row>
    <row r="76" spans="1:14">
      <c r="A76" s="5" t="s">
        <v>111</v>
      </c>
      <c r="B76" s="19" t="s">
        <v>812</v>
      </c>
      <c r="C76" s="19" t="s">
        <v>55</v>
      </c>
      <c r="D76" s="19" t="s">
        <v>793</v>
      </c>
      <c r="E76" s="5" t="str">
        <f>_xll.AtlasFormulas.AtlasFunctions.AtlasTable("UAT",DataAreaId,"T.InventTable","%ItemName","","","","","","","ItemId",$D76)</f>
        <v/>
      </c>
      <c r="F76" s="18" t="str">
        <f>_xll.AtlasFormulas.AtlasFunctions.AtlasTable("UAT","UNI","T.InventTable","%ItemName","","","","","","","ItemId",$D76)</f>
        <v/>
      </c>
      <c r="G76" s="19" t="s">
        <v>56</v>
      </c>
      <c r="H76" s="5"/>
      <c r="I76" s="5"/>
      <c r="J76" s="19">
        <v>494010</v>
      </c>
      <c r="K76" s="18" t="str">
        <f>_xll.AtlasFormulas.AtlasFunctions.AtlasTable("UAT",DataAreaId,"T.LedgerTable","%AccountName","","","","","","","AccountNum",$J76)</f>
        <v>Book-to-physical adj - materials</v>
      </c>
      <c r="L76" s="5"/>
      <c r="M76" s="5"/>
      <c r="N76" s="5" t="str">
        <f>_xll.AtlasFormulas.AtlasFunctions.AtlasTable("UAT",DataAreaId,"T.LedgerTable","%BlockedInJournal","","","","","","","AccountNum",$J76)</f>
        <v>No</v>
      </c>
    </row>
    <row r="77" spans="1:14">
      <c r="A77" s="5" t="s">
        <v>111</v>
      </c>
      <c r="B77" s="19" t="s">
        <v>812</v>
      </c>
      <c r="C77" s="19" t="s">
        <v>55</v>
      </c>
      <c r="D77" s="19" t="s">
        <v>794</v>
      </c>
      <c r="E77" s="5" t="str">
        <f>_xll.AtlasFormulas.AtlasFunctions.AtlasTable("UAT",DataAreaId,"T.InventTable","%ItemName","","","","","","","ItemId",$D77)</f>
        <v/>
      </c>
      <c r="F77" s="18" t="str">
        <f>_xll.AtlasFormulas.AtlasFunctions.AtlasTable("UAT","UNI","T.InventTable","%ItemName","","","","","","","ItemId",$D77)</f>
        <v/>
      </c>
      <c r="G77" s="19" t="s">
        <v>56</v>
      </c>
      <c r="H77" s="5"/>
      <c r="I77" s="5"/>
      <c r="J77" s="19">
        <v>494030</v>
      </c>
      <c r="K77" s="18" t="str">
        <f>_xll.AtlasFormulas.AtlasFunctions.AtlasTable("UAT",DataAreaId,"T.LedgerTable","%AccountName","","","","","","","AccountNum",$J77)</f>
        <v>Book-to-physical adj - finished goods</v>
      </c>
      <c r="L77" s="5"/>
      <c r="M77" s="5"/>
      <c r="N77" s="5" t="str">
        <f>_xll.AtlasFormulas.AtlasFunctions.AtlasTable("UAT",DataAreaId,"T.LedgerTable","%BlockedInJournal","","","","","","","AccountNum",$J77)</f>
        <v>No</v>
      </c>
    </row>
    <row r="78" spans="1:14">
      <c r="A78" s="5" t="s">
        <v>111</v>
      </c>
      <c r="B78" s="19" t="s">
        <v>813</v>
      </c>
      <c r="C78" s="19" t="s">
        <v>55</v>
      </c>
      <c r="D78" s="19" t="s">
        <v>792</v>
      </c>
      <c r="E78" s="5" t="str">
        <f>_xll.AtlasFormulas.AtlasFunctions.AtlasTable("UAT",DataAreaId,"T.InventTable","%ItemName","","","","","","","ItemId",$D78)</f>
        <v/>
      </c>
      <c r="F78" s="18" t="str">
        <f>_xll.AtlasFormulas.AtlasFunctions.AtlasTable("UAT","UNI","T.InventTable","%ItemName","","","","","","","ItemId",$D78)</f>
        <v/>
      </c>
      <c r="G78" s="19" t="s">
        <v>56</v>
      </c>
      <c r="H78" s="5"/>
      <c r="I78" s="5"/>
      <c r="J78" s="19">
        <v>131000</v>
      </c>
      <c r="K78" s="18" t="str">
        <f>_xll.AtlasFormulas.AtlasFunctions.AtlasTable("UAT",DataAreaId,"T.LedgerTable","%AccountName","","","","","","","AccountNum",$J78)</f>
        <v>Components</v>
      </c>
      <c r="L78" s="5"/>
      <c r="M78" s="5"/>
      <c r="N78" s="5" t="str">
        <f>_xll.AtlasFormulas.AtlasFunctions.AtlasTable("UAT",DataAreaId,"T.LedgerTable","%BlockedInJournal","","","","","","","AccountNum",$J78)</f>
        <v>Yes</v>
      </c>
    </row>
    <row r="79" spans="1:14">
      <c r="A79" s="5" t="s">
        <v>111</v>
      </c>
      <c r="B79" s="19" t="s">
        <v>813</v>
      </c>
      <c r="C79" s="19" t="s">
        <v>55</v>
      </c>
      <c r="D79" s="19" t="s">
        <v>793</v>
      </c>
      <c r="E79" s="5" t="str">
        <f>_xll.AtlasFormulas.AtlasFunctions.AtlasTable("UAT",DataAreaId,"T.InventTable","%ItemName","","","","","","","ItemId",$D79)</f>
        <v/>
      </c>
      <c r="F79" s="18" t="str">
        <f>_xll.AtlasFormulas.AtlasFunctions.AtlasTable("UAT","UNI","T.InventTable","%ItemName","","","","","","","ItemId",$D79)</f>
        <v/>
      </c>
      <c r="G79" s="19" t="s">
        <v>56</v>
      </c>
      <c r="H79" s="5"/>
      <c r="I79" s="5"/>
      <c r="J79" s="19">
        <v>130000</v>
      </c>
      <c r="K79" s="18" t="str">
        <f>_xll.AtlasFormulas.AtlasFunctions.AtlasTable("UAT",DataAreaId,"T.LedgerTable","%AccountName","","","","","","","AccountNum",$J79)</f>
        <v>Raw materials</v>
      </c>
      <c r="L79" s="5"/>
      <c r="M79" s="5"/>
      <c r="N79" s="5" t="str">
        <f>_xll.AtlasFormulas.AtlasFunctions.AtlasTable("UAT",DataAreaId,"T.LedgerTable","%BlockedInJournal","","","","","","","AccountNum",$J79)</f>
        <v>Yes</v>
      </c>
    </row>
    <row r="80" spans="1:14">
      <c r="A80" s="5" t="s">
        <v>111</v>
      </c>
      <c r="B80" s="19" t="s">
        <v>813</v>
      </c>
      <c r="C80" s="19" t="s">
        <v>55</v>
      </c>
      <c r="D80" s="19" t="s">
        <v>794</v>
      </c>
      <c r="E80" s="5" t="str">
        <f>_xll.AtlasFormulas.AtlasFunctions.AtlasTable("UAT",DataAreaId,"T.InventTable","%ItemName","","","","","","","ItemId",$D80)</f>
        <v/>
      </c>
      <c r="F80" s="18" t="str">
        <f>_xll.AtlasFormulas.AtlasFunctions.AtlasTable("UAT","UNI","T.InventTable","%ItemName","","","","","","","ItemId",$D80)</f>
        <v/>
      </c>
      <c r="G80" s="19" t="s">
        <v>56</v>
      </c>
      <c r="H80" s="5"/>
      <c r="I80" s="5"/>
      <c r="J80" s="19">
        <v>132000</v>
      </c>
      <c r="K80" s="18" t="str">
        <f>_xll.AtlasFormulas.AtlasFunctions.AtlasTable("UAT",DataAreaId,"T.LedgerTable","%AccountName","","","","","","","AccountNum",$J80)</f>
        <v>Finished goods</v>
      </c>
      <c r="L80" s="5"/>
      <c r="M80" s="5"/>
      <c r="N80" s="5" t="str">
        <f>_xll.AtlasFormulas.AtlasFunctions.AtlasTable("UAT",DataAreaId,"T.LedgerTable","%BlockedInJournal","","","","","","","AccountNum",$J80)</f>
        <v>Yes</v>
      </c>
    </row>
    <row r="81" spans="1:14">
      <c r="A81" s="5" t="s">
        <v>111</v>
      </c>
      <c r="B81" s="19" t="s">
        <v>813</v>
      </c>
      <c r="C81" s="19" t="s">
        <v>55</v>
      </c>
      <c r="D81" s="19" t="s">
        <v>796</v>
      </c>
      <c r="E81" s="5" t="str">
        <f>_xll.AtlasFormulas.AtlasFunctions.AtlasTable("UAT",DataAreaId,"T.InventTable","%ItemName","","","","","","","ItemId",$D81)</f>
        <v/>
      </c>
      <c r="F81" s="18" t="str">
        <f>_xll.AtlasFormulas.AtlasFunctions.AtlasTable("UAT","UNI","T.InventTable","%ItemName","","","","","","","ItemId",$D81)</f>
        <v/>
      </c>
      <c r="G81" s="19" t="s">
        <v>56</v>
      </c>
      <c r="H81" s="5"/>
      <c r="I81" s="5"/>
      <c r="J81" s="19">
        <v>779000</v>
      </c>
      <c r="K81" s="18" t="str">
        <f>_xll.AtlasFormulas.AtlasFunctions.AtlasTable("UAT",DataAreaId,"T.LedgerTable","%AccountName","","","","","","","AccountNum",$J81)</f>
        <v>Supplies - other</v>
      </c>
      <c r="L81" s="5"/>
      <c r="M81" s="5"/>
      <c r="N81" s="5" t="str">
        <f>_xll.AtlasFormulas.AtlasFunctions.AtlasTable("UAT",DataAreaId,"T.LedgerTable","%BlockedInJournal","","","","","","","AccountNum",$J81)</f>
        <v>No</v>
      </c>
    </row>
    <row r="82" spans="1:14">
      <c r="A82" s="5" t="s">
        <v>111</v>
      </c>
      <c r="B82" s="19" t="s">
        <v>814</v>
      </c>
      <c r="C82" s="19" t="s">
        <v>55</v>
      </c>
      <c r="D82" s="19" t="s">
        <v>792</v>
      </c>
      <c r="E82" s="5" t="str">
        <f>_xll.AtlasFormulas.AtlasFunctions.AtlasTable("UAT",DataAreaId,"T.InventTable","%ItemName","","","","","","","ItemId",$D82)</f>
        <v/>
      </c>
      <c r="F82" s="18" t="str">
        <f>_xll.AtlasFormulas.AtlasFunctions.AtlasTable("UAT","UNI","T.InventTable","%ItemName","","","","","","","ItemId",$D82)</f>
        <v/>
      </c>
      <c r="G82" s="19" t="s">
        <v>56</v>
      </c>
      <c r="H82" s="5"/>
      <c r="I82" s="5"/>
      <c r="J82" s="19">
        <v>494020</v>
      </c>
      <c r="K82" s="18" t="str">
        <f>_xll.AtlasFormulas.AtlasFunctions.AtlasTable("UAT",DataAreaId,"T.LedgerTable","%AccountName","","","","","","","AccountNum",$J82)</f>
        <v>Book-to-physical adj - components</v>
      </c>
      <c r="L82" s="5"/>
      <c r="M82" s="5"/>
      <c r="N82" s="5" t="str">
        <f>_xll.AtlasFormulas.AtlasFunctions.AtlasTable("UAT",DataAreaId,"T.LedgerTable","%BlockedInJournal","","","","","","","AccountNum",$J82)</f>
        <v>No</v>
      </c>
    </row>
    <row r="83" spans="1:14">
      <c r="A83" s="5" t="s">
        <v>111</v>
      </c>
      <c r="B83" s="19" t="s">
        <v>814</v>
      </c>
      <c r="C83" s="19" t="s">
        <v>55</v>
      </c>
      <c r="D83" s="19" t="s">
        <v>793</v>
      </c>
      <c r="E83" s="5" t="str">
        <f>_xll.AtlasFormulas.AtlasFunctions.AtlasTable("UAT",DataAreaId,"T.InventTable","%ItemName","","","","","","","ItemId",$D83)</f>
        <v/>
      </c>
      <c r="F83" s="18" t="str">
        <f>_xll.AtlasFormulas.AtlasFunctions.AtlasTable("UAT","UNI","T.InventTable","%ItemName","","","","","","","ItemId",$D83)</f>
        <v/>
      </c>
      <c r="G83" s="19" t="s">
        <v>56</v>
      </c>
      <c r="H83" s="5"/>
      <c r="I83" s="5"/>
      <c r="J83" s="19">
        <v>494010</v>
      </c>
      <c r="K83" s="18" t="str">
        <f>_xll.AtlasFormulas.AtlasFunctions.AtlasTable("UAT",DataAreaId,"T.LedgerTable","%AccountName","","","","","","","AccountNum",$J83)</f>
        <v>Book-to-physical adj - materials</v>
      </c>
      <c r="L83" s="5"/>
      <c r="M83" s="5"/>
      <c r="N83" s="5" t="str">
        <f>_xll.AtlasFormulas.AtlasFunctions.AtlasTable("UAT",DataAreaId,"T.LedgerTable","%BlockedInJournal","","","","","","","AccountNum",$J83)</f>
        <v>No</v>
      </c>
    </row>
    <row r="84" spans="1:14">
      <c r="A84" s="5" t="s">
        <v>111</v>
      </c>
      <c r="B84" s="19" t="s">
        <v>814</v>
      </c>
      <c r="C84" s="19" t="s">
        <v>55</v>
      </c>
      <c r="D84" s="19" t="s">
        <v>794</v>
      </c>
      <c r="E84" s="5" t="str">
        <f>_xll.AtlasFormulas.AtlasFunctions.AtlasTable("UAT",DataAreaId,"T.InventTable","%ItemName","","","","","","","ItemId",$D84)</f>
        <v/>
      </c>
      <c r="F84" s="18" t="str">
        <f>_xll.AtlasFormulas.AtlasFunctions.AtlasTable("UAT","UNI","T.InventTable","%ItemName","","","","","","","ItemId",$D84)</f>
        <v/>
      </c>
      <c r="G84" s="19" t="s">
        <v>56</v>
      </c>
      <c r="H84" s="5"/>
      <c r="I84" s="5"/>
      <c r="J84" s="19">
        <v>494030</v>
      </c>
      <c r="K84" s="18" t="str">
        <f>_xll.AtlasFormulas.AtlasFunctions.AtlasTable("UAT",DataAreaId,"T.LedgerTable","%AccountName","","","","","","","AccountNum",$J84)</f>
        <v>Book-to-physical adj - finished goods</v>
      </c>
      <c r="L84" s="5"/>
      <c r="M84" s="5"/>
      <c r="N84" s="5" t="str">
        <f>_xll.AtlasFormulas.AtlasFunctions.AtlasTable("UAT",DataAreaId,"T.LedgerTable","%BlockedInJournal","","","","","","","AccountNum",$J84)</f>
        <v>No</v>
      </c>
    </row>
    <row r="85" spans="1:14">
      <c r="A85" s="5" t="s">
        <v>841</v>
      </c>
      <c r="B85" s="19" t="s">
        <v>814</v>
      </c>
      <c r="C85" s="19" t="s">
        <v>55</v>
      </c>
      <c r="D85" s="19" t="s">
        <v>796</v>
      </c>
      <c r="E85" s="5" t="str">
        <f>_xll.AtlasFormulas.AtlasFunctions.AtlasTable("UAT",DataAreaId,"T.InventTable","%ItemName","","","","","","","ItemId",$D85)</f>
        <v/>
      </c>
      <c r="F85" s="18" t="str">
        <f>_xll.AtlasFormulas.AtlasFunctions.AtlasTable("UAT","UNI","T.InventTable","%ItemName","","","","","","","ItemId",$D85)</f>
        <v/>
      </c>
      <c r="G85" s="19" t="s">
        <v>56</v>
      </c>
      <c r="H85" s="5"/>
      <c r="I85" s="5"/>
      <c r="J85" s="19">
        <v>779000</v>
      </c>
      <c r="K85" s="18" t="str">
        <f>_xll.AtlasFormulas.AtlasFunctions.AtlasTable("UAT",DataAreaId,"T.LedgerTable","%AccountName","","","","","","","AccountNum",$J85)</f>
        <v>Supplies - other</v>
      </c>
      <c r="L85" s="5"/>
      <c r="M85" s="5"/>
      <c r="N85" s="5" t="str">
        <f>_xll.AtlasFormulas.AtlasFunctions.AtlasTable("UAT",DataAreaId,"T.LedgerTable","%BlockedInJournal","","","","","","","AccountNum",$J85)</f>
        <v>No</v>
      </c>
    </row>
    <row r="86" spans="1:14">
      <c r="A86" s="5" t="s">
        <v>841</v>
      </c>
      <c r="B86" s="19" t="s">
        <v>815</v>
      </c>
      <c r="C86" s="19" t="s">
        <v>55</v>
      </c>
      <c r="D86" s="19" t="s">
        <v>792</v>
      </c>
      <c r="E86" s="5" t="str">
        <f>_xll.AtlasFormulas.AtlasFunctions.AtlasTable("UAT",DataAreaId,"T.InventTable","%ItemName","","","","","","","ItemId",$D86)</f>
        <v/>
      </c>
      <c r="F86" s="18" t="str">
        <f>_xll.AtlasFormulas.AtlasFunctions.AtlasTable("UAT","UNI","T.InventTable","%ItemName","","","","","","","ItemId",$D86)</f>
        <v/>
      </c>
      <c r="G86" s="19" t="s">
        <v>56</v>
      </c>
      <c r="H86" s="5"/>
      <c r="I86" s="5"/>
      <c r="J86" s="19">
        <v>131000</v>
      </c>
      <c r="K86" s="18" t="str">
        <f>_xll.AtlasFormulas.AtlasFunctions.AtlasTable("UAT",DataAreaId,"T.LedgerTable","%AccountName","","","","","","","AccountNum",$J86)</f>
        <v>Components</v>
      </c>
      <c r="L86" s="5"/>
      <c r="M86" s="5"/>
      <c r="N86" s="5" t="str">
        <f>_xll.AtlasFormulas.AtlasFunctions.AtlasTable("UAT",DataAreaId,"T.LedgerTable","%BlockedInJournal","","","","","","","AccountNum",$J86)</f>
        <v>Yes</v>
      </c>
    </row>
    <row r="87" spans="1:14">
      <c r="A87" s="5" t="s">
        <v>841</v>
      </c>
      <c r="B87" s="19" t="s">
        <v>815</v>
      </c>
      <c r="C87" s="19" t="s">
        <v>55</v>
      </c>
      <c r="D87" s="19" t="s">
        <v>793</v>
      </c>
      <c r="E87" s="5" t="str">
        <f>_xll.AtlasFormulas.AtlasFunctions.AtlasTable("UAT",DataAreaId,"T.InventTable","%ItemName","","","","","","","ItemId",$D87)</f>
        <v/>
      </c>
      <c r="F87" s="18" t="str">
        <f>_xll.AtlasFormulas.AtlasFunctions.AtlasTable("UAT","UNI","T.InventTable","%ItemName","","","","","","","ItemId",$D87)</f>
        <v/>
      </c>
      <c r="G87" s="19" t="s">
        <v>56</v>
      </c>
      <c r="H87" s="5"/>
      <c r="I87" s="5"/>
      <c r="J87" s="19">
        <v>130000</v>
      </c>
      <c r="K87" s="18" t="str">
        <f>_xll.AtlasFormulas.AtlasFunctions.AtlasTable("UAT",DataAreaId,"T.LedgerTable","%AccountName","","","","","","","AccountNum",$J87)</f>
        <v>Raw materials</v>
      </c>
      <c r="L87" s="5"/>
      <c r="M87" s="5"/>
      <c r="N87" s="5" t="str">
        <f>_xll.AtlasFormulas.AtlasFunctions.AtlasTable("UAT",DataAreaId,"T.LedgerTable","%BlockedInJournal","","","","","","","AccountNum",$J87)</f>
        <v>Yes</v>
      </c>
    </row>
    <row r="88" spans="1:14">
      <c r="A88" s="5" t="s">
        <v>841</v>
      </c>
      <c r="B88" s="19" t="s">
        <v>815</v>
      </c>
      <c r="C88" s="19" t="s">
        <v>55</v>
      </c>
      <c r="D88" s="19" t="s">
        <v>794</v>
      </c>
      <c r="E88" s="5" t="str">
        <f>_xll.AtlasFormulas.AtlasFunctions.AtlasTable("UAT",DataAreaId,"T.InventTable","%ItemName","","","","","","","ItemId",$D88)</f>
        <v/>
      </c>
      <c r="F88" s="18" t="str">
        <f>_xll.AtlasFormulas.AtlasFunctions.AtlasTable("UAT","UNI","T.InventTable","%ItemName","","","","","","","ItemId",$D88)</f>
        <v/>
      </c>
      <c r="G88" s="19" t="s">
        <v>56</v>
      </c>
      <c r="H88" s="5"/>
      <c r="I88" s="5"/>
      <c r="J88" s="19">
        <v>132000</v>
      </c>
      <c r="K88" s="18" t="str">
        <f>_xll.AtlasFormulas.AtlasFunctions.AtlasTable("UAT",DataAreaId,"T.LedgerTable","%AccountName","","","","","","","AccountNum",$J88)</f>
        <v>Finished goods</v>
      </c>
      <c r="L88" s="5"/>
      <c r="M88" s="5"/>
      <c r="N88" s="5" t="str">
        <f>_xll.AtlasFormulas.AtlasFunctions.AtlasTable("UAT",DataAreaId,"T.LedgerTable","%BlockedInJournal","","","","","","","AccountNum",$J88)</f>
        <v>Yes</v>
      </c>
    </row>
    <row r="89" spans="1:14">
      <c r="A89" s="5" t="s">
        <v>841</v>
      </c>
      <c r="B89" s="19" t="s">
        <v>815</v>
      </c>
      <c r="C89" s="19" t="s">
        <v>55</v>
      </c>
      <c r="D89" s="19" t="s">
        <v>795</v>
      </c>
      <c r="E89" s="5" t="str">
        <f>_xll.AtlasFormulas.AtlasFunctions.AtlasTable("UAT",DataAreaId,"T.InventTable","%ItemName","","","","","","","ItemId",$D89)</f>
        <v/>
      </c>
      <c r="F89" s="18" t="str">
        <f>_xll.AtlasFormulas.AtlasFunctions.AtlasTable("UAT","UNI","T.InventTable","%ItemName","","","","","","","ItemId",$D89)</f>
        <v/>
      </c>
      <c r="G89" s="19" t="s">
        <v>56</v>
      </c>
      <c r="H89" s="5"/>
      <c r="I89" s="5"/>
      <c r="J89" s="19">
        <v>410030</v>
      </c>
      <c r="K89" s="18" t="str">
        <f>_xll.AtlasFormulas.AtlasFunctions.AtlasTable("UAT",DataAreaId,"T.LedgerTable","%AccountName","","","","","","","AccountNum",$J89)</f>
        <v>Inventory change - labor</v>
      </c>
      <c r="L89" s="5"/>
      <c r="M89" s="5"/>
      <c r="N89" s="5" t="str">
        <f>_xll.AtlasFormulas.AtlasFunctions.AtlasTable("UAT",DataAreaId,"T.LedgerTable","%BlockedInJournal","","","","","","","AccountNum",$J89)</f>
        <v>No</v>
      </c>
    </row>
    <row r="90" spans="1:14">
      <c r="A90" s="5" t="s">
        <v>841</v>
      </c>
      <c r="B90" s="19" t="s">
        <v>816</v>
      </c>
      <c r="C90" s="19" t="s">
        <v>55</v>
      </c>
      <c r="D90" s="19" t="s">
        <v>792</v>
      </c>
      <c r="E90" s="5" t="str">
        <f>_xll.AtlasFormulas.AtlasFunctions.AtlasTable("UAT",DataAreaId,"T.InventTable","%ItemName","","","","","","","ItemId",$D90)</f>
        <v/>
      </c>
      <c r="F90" s="18" t="str">
        <f>_xll.AtlasFormulas.AtlasFunctions.AtlasTable("UAT","UNI","T.InventTable","%ItemName","","","","","","","ItemId",$D90)</f>
        <v/>
      </c>
      <c r="G90" s="19" t="s">
        <v>56</v>
      </c>
      <c r="H90" s="5"/>
      <c r="I90" s="5"/>
      <c r="J90" s="19">
        <v>131100</v>
      </c>
      <c r="K90" s="18" t="str">
        <f>_xll.AtlasFormulas.AtlasFunctions.AtlasTable("UAT",DataAreaId,"T.LedgerTable","%AccountName","","","","","","","AccountNum",$J90)</f>
        <v>Work in process</v>
      </c>
      <c r="L90" s="5"/>
      <c r="M90" s="5"/>
      <c r="N90" s="5" t="str">
        <f>_xll.AtlasFormulas.AtlasFunctions.AtlasTable("UAT",DataAreaId,"T.LedgerTable","%BlockedInJournal","","","","","","","AccountNum",$J90)</f>
        <v>Yes</v>
      </c>
    </row>
    <row r="91" spans="1:14">
      <c r="A91" s="5" t="s">
        <v>841</v>
      </c>
      <c r="B91" s="19" t="s">
        <v>816</v>
      </c>
      <c r="C91" s="19" t="s">
        <v>55</v>
      </c>
      <c r="D91" s="19" t="s">
        <v>793</v>
      </c>
      <c r="E91" s="5" t="str">
        <f>_xll.AtlasFormulas.AtlasFunctions.AtlasTable("UAT",DataAreaId,"T.InventTable","%ItemName","","","","","","","ItemId",$D91)</f>
        <v/>
      </c>
      <c r="F91" s="18" t="str">
        <f>_xll.AtlasFormulas.AtlasFunctions.AtlasTable("UAT","UNI","T.InventTable","%ItemName","","","","","","","ItemId",$D91)</f>
        <v/>
      </c>
      <c r="G91" s="19" t="s">
        <v>56</v>
      </c>
      <c r="H91" s="5"/>
      <c r="I91" s="5"/>
      <c r="J91" s="19">
        <v>131100</v>
      </c>
      <c r="K91" s="18" t="str">
        <f>_xll.AtlasFormulas.AtlasFunctions.AtlasTable("UAT",DataAreaId,"T.LedgerTable","%AccountName","","","","","","","AccountNum",$J91)</f>
        <v>Work in process</v>
      </c>
      <c r="L91" s="5"/>
      <c r="M91" s="5"/>
      <c r="N91" s="5" t="str">
        <f>_xll.AtlasFormulas.AtlasFunctions.AtlasTable("UAT",DataAreaId,"T.LedgerTable","%BlockedInJournal","","","","","","","AccountNum",$J91)</f>
        <v>Yes</v>
      </c>
    </row>
    <row r="92" spans="1:14">
      <c r="A92" s="5" t="s">
        <v>841</v>
      </c>
      <c r="B92" s="19" t="s">
        <v>816</v>
      </c>
      <c r="C92" s="19" t="s">
        <v>55</v>
      </c>
      <c r="D92" s="19" t="s">
        <v>794</v>
      </c>
      <c r="E92" s="5" t="str">
        <f>_xll.AtlasFormulas.AtlasFunctions.AtlasTable("UAT",DataAreaId,"T.InventTable","%ItemName","","","","","","","ItemId",$D92)</f>
        <v/>
      </c>
      <c r="F92" s="18" t="str">
        <f>_xll.AtlasFormulas.AtlasFunctions.AtlasTable("UAT","UNI","T.InventTable","%ItemName","","","","","","","ItemId",$D92)</f>
        <v/>
      </c>
      <c r="G92" s="19" t="s">
        <v>56</v>
      </c>
      <c r="H92" s="5"/>
      <c r="I92" s="5"/>
      <c r="J92" s="19">
        <v>131100</v>
      </c>
      <c r="K92" s="18" t="str">
        <f>_xll.AtlasFormulas.AtlasFunctions.AtlasTable("UAT",DataAreaId,"T.LedgerTable","%AccountName","","","","","","","AccountNum",$J92)</f>
        <v>Work in process</v>
      </c>
      <c r="L92" s="5"/>
      <c r="M92" s="5"/>
      <c r="N92" s="5" t="str">
        <f>_xll.AtlasFormulas.AtlasFunctions.AtlasTable("UAT",DataAreaId,"T.LedgerTable","%BlockedInJournal","","","","","","","AccountNum",$J92)</f>
        <v>Yes</v>
      </c>
    </row>
    <row r="93" spans="1:14">
      <c r="A93" s="5" t="s">
        <v>841</v>
      </c>
      <c r="B93" s="19" t="s">
        <v>816</v>
      </c>
      <c r="C93" s="19" t="s">
        <v>55</v>
      </c>
      <c r="D93" s="19" t="s">
        <v>795</v>
      </c>
      <c r="E93" s="5" t="str">
        <f>_xll.AtlasFormulas.AtlasFunctions.AtlasTable("UAT",DataAreaId,"T.InventTable","%ItemName","","","","","","","ItemId",$D93)</f>
        <v/>
      </c>
      <c r="F93" s="18" t="str">
        <f>_xll.AtlasFormulas.AtlasFunctions.AtlasTable("UAT","UNI","T.InventTable","%ItemName","","","","","","","ItemId",$D93)</f>
        <v/>
      </c>
      <c r="G93" s="19" t="s">
        <v>56</v>
      </c>
      <c r="H93" s="5"/>
      <c r="I93" s="5"/>
      <c r="J93" s="19">
        <v>131100</v>
      </c>
      <c r="K93" s="18" t="str">
        <f>_xll.AtlasFormulas.AtlasFunctions.AtlasTable("UAT",DataAreaId,"T.LedgerTable","%AccountName","","","","","","","AccountNum",$J93)</f>
        <v>Work in process</v>
      </c>
      <c r="L93" s="5"/>
      <c r="M93" s="5"/>
      <c r="N93" s="5" t="str">
        <f>_xll.AtlasFormulas.AtlasFunctions.AtlasTable("UAT",DataAreaId,"T.LedgerTable","%BlockedInJournal","","","","","","","AccountNum",$J93)</f>
        <v>Yes</v>
      </c>
    </row>
    <row r="94" spans="1:14">
      <c r="A94" s="5" t="s">
        <v>841</v>
      </c>
      <c r="B94" s="19" t="s">
        <v>817</v>
      </c>
      <c r="C94" s="19" t="s">
        <v>55</v>
      </c>
      <c r="D94" s="19" t="s">
        <v>792</v>
      </c>
      <c r="E94" s="5" t="str">
        <f>_xll.AtlasFormulas.AtlasFunctions.AtlasTable("UAT",DataAreaId,"T.InventTable","%ItemName","","","","","","","ItemId",$D94)</f>
        <v/>
      </c>
      <c r="F94" s="18" t="str">
        <f>_xll.AtlasFormulas.AtlasFunctions.AtlasTable("UAT","UNI","T.InventTable","%ItemName","","","","","","","ItemId",$D94)</f>
        <v/>
      </c>
      <c r="G94" s="19" t="s">
        <v>56</v>
      </c>
      <c r="H94" s="5"/>
      <c r="I94" s="5"/>
      <c r="J94" s="19">
        <v>131200</v>
      </c>
      <c r="K94" s="18" t="str">
        <f>_xll.AtlasFormulas.AtlasFunctions.AtlasTable("UAT",DataAreaId,"T.LedgerTable","%AccountName","","","","","","","AccountNum",$J94)</f>
        <v>WIP not costed (System)</v>
      </c>
      <c r="L94" s="5"/>
      <c r="M94" s="5"/>
      <c r="N94" s="5" t="str">
        <f>_xll.AtlasFormulas.AtlasFunctions.AtlasTable("UAT",DataAreaId,"T.LedgerTable","%BlockedInJournal","","","","","","","AccountNum",$J94)</f>
        <v>Yes</v>
      </c>
    </row>
    <row r="95" spans="1:14">
      <c r="A95" s="5" t="s">
        <v>841</v>
      </c>
      <c r="B95" s="19" t="s">
        <v>817</v>
      </c>
      <c r="C95" s="19" t="s">
        <v>55</v>
      </c>
      <c r="D95" s="19" t="s">
        <v>793</v>
      </c>
      <c r="E95" s="5" t="str">
        <f>_xll.AtlasFormulas.AtlasFunctions.AtlasTable("UAT",DataAreaId,"T.InventTable","%ItemName","","","","","","","ItemId",$D95)</f>
        <v/>
      </c>
      <c r="F95" s="18" t="str">
        <f>_xll.AtlasFormulas.AtlasFunctions.AtlasTable("UAT","UNI","T.InventTable","%ItemName","","","","","","","ItemId",$D95)</f>
        <v/>
      </c>
      <c r="G95" s="19" t="s">
        <v>56</v>
      </c>
      <c r="H95" s="5"/>
      <c r="I95" s="5"/>
      <c r="J95" s="19">
        <v>131200</v>
      </c>
      <c r="K95" s="18" t="str">
        <f>_xll.AtlasFormulas.AtlasFunctions.AtlasTable("UAT",DataAreaId,"T.LedgerTable","%AccountName","","","","","","","AccountNum",$J95)</f>
        <v>WIP not costed (System)</v>
      </c>
      <c r="L95" s="5"/>
      <c r="M95" s="5"/>
      <c r="N95" s="5" t="str">
        <f>_xll.AtlasFormulas.AtlasFunctions.AtlasTable("UAT",DataAreaId,"T.LedgerTable","%BlockedInJournal","","","","","","","AccountNum",$J95)</f>
        <v>Yes</v>
      </c>
    </row>
    <row r="96" spans="1:14">
      <c r="A96" s="5" t="s">
        <v>841</v>
      </c>
      <c r="B96" s="19" t="s">
        <v>817</v>
      </c>
      <c r="C96" s="19" t="s">
        <v>55</v>
      </c>
      <c r="D96" s="19" t="s">
        <v>794</v>
      </c>
      <c r="E96" s="5" t="str">
        <f>_xll.AtlasFormulas.AtlasFunctions.AtlasTable("UAT",DataAreaId,"T.InventTable","%ItemName","","","","","","","ItemId",$D96)</f>
        <v/>
      </c>
      <c r="F96" s="18" t="str">
        <f>_xll.AtlasFormulas.AtlasFunctions.AtlasTable("UAT","UNI","T.InventTable","%ItemName","","","","","","","ItemId",$D96)</f>
        <v/>
      </c>
      <c r="G96" s="19" t="s">
        <v>56</v>
      </c>
      <c r="H96" s="5"/>
      <c r="I96" s="5"/>
      <c r="J96" s="19">
        <v>131200</v>
      </c>
      <c r="K96" s="18" t="str">
        <f>_xll.AtlasFormulas.AtlasFunctions.AtlasTable("UAT",DataAreaId,"T.LedgerTable","%AccountName","","","","","","","AccountNum",$J96)</f>
        <v>WIP not costed (System)</v>
      </c>
      <c r="L96" s="5"/>
      <c r="M96" s="5"/>
      <c r="N96" s="5" t="str">
        <f>_xll.AtlasFormulas.AtlasFunctions.AtlasTable("UAT",DataAreaId,"T.LedgerTable","%BlockedInJournal","","","","","","","AccountNum",$J96)</f>
        <v>Yes</v>
      </c>
    </row>
    <row r="97" spans="1:14">
      <c r="A97" s="5" t="s">
        <v>841</v>
      </c>
      <c r="B97" s="19" t="s">
        <v>817</v>
      </c>
      <c r="C97" s="19" t="s">
        <v>55</v>
      </c>
      <c r="D97" s="19" t="s">
        <v>795</v>
      </c>
      <c r="E97" s="5" t="str">
        <f>_xll.AtlasFormulas.AtlasFunctions.AtlasTable("UAT",DataAreaId,"T.InventTable","%ItemName","","","","","","","ItemId",$D97)</f>
        <v/>
      </c>
      <c r="F97" s="18" t="str">
        <f>_xll.AtlasFormulas.AtlasFunctions.AtlasTable("UAT","UNI","T.InventTable","%ItemName","","","","","","","ItemId",$D97)</f>
        <v/>
      </c>
      <c r="G97" s="19" t="s">
        <v>56</v>
      </c>
      <c r="H97" s="5"/>
      <c r="I97" s="5"/>
      <c r="J97" s="19">
        <v>131200</v>
      </c>
      <c r="K97" s="18" t="str">
        <f>_xll.AtlasFormulas.AtlasFunctions.AtlasTable("UAT",DataAreaId,"T.LedgerTable","%AccountName","","","","","","","AccountNum",$J97)</f>
        <v>WIP not costed (System)</v>
      </c>
      <c r="L97" s="5"/>
      <c r="M97" s="5"/>
      <c r="N97" s="5" t="str">
        <f>_xll.AtlasFormulas.AtlasFunctions.AtlasTable("UAT",DataAreaId,"T.LedgerTable","%BlockedInJournal","","","","","","","AccountNum",$J97)</f>
        <v>Yes</v>
      </c>
    </row>
    <row r="98" spans="1:14">
      <c r="A98" s="5" t="s">
        <v>841</v>
      </c>
      <c r="B98" s="19" t="s">
        <v>818</v>
      </c>
      <c r="C98" s="19" t="s">
        <v>55</v>
      </c>
      <c r="D98" s="19" t="s">
        <v>792</v>
      </c>
      <c r="E98" s="5" t="str">
        <f>_xll.AtlasFormulas.AtlasFunctions.AtlasTable("UAT",DataAreaId,"T.InventTable","%ItemName","","","","","","","ItemId",$D98)</f>
        <v/>
      </c>
      <c r="F98" s="18" t="str">
        <f>_xll.AtlasFormulas.AtlasFunctions.AtlasTable("UAT","UNI","T.InventTable","%ItemName","","","","","","","ItemId",$D98)</f>
        <v/>
      </c>
      <c r="G98" s="19" t="s">
        <v>56</v>
      </c>
      <c r="H98" s="5"/>
      <c r="I98" s="5"/>
      <c r="J98" s="19">
        <v>131100</v>
      </c>
      <c r="K98" s="18" t="str">
        <f>_xll.AtlasFormulas.AtlasFunctions.AtlasTable("UAT",DataAreaId,"T.LedgerTable","%AccountName","","","","","","","AccountNum",$J98)</f>
        <v>Work in process</v>
      </c>
      <c r="L98" s="5"/>
      <c r="M98" s="5"/>
      <c r="N98" s="5" t="str">
        <f>_xll.AtlasFormulas.AtlasFunctions.AtlasTable("UAT",DataAreaId,"T.LedgerTable","%BlockedInJournal","","","","","","","AccountNum",$J98)</f>
        <v>Yes</v>
      </c>
    </row>
    <row r="99" spans="1:14">
      <c r="A99" s="5" t="s">
        <v>841</v>
      </c>
      <c r="B99" s="19" t="s">
        <v>818</v>
      </c>
      <c r="C99" s="19" t="s">
        <v>55</v>
      </c>
      <c r="D99" s="19" t="s">
        <v>793</v>
      </c>
      <c r="E99" s="5" t="str">
        <f>_xll.AtlasFormulas.AtlasFunctions.AtlasTable("UAT",DataAreaId,"T.InventTable","%ItemName","","","","","","","ItemId",$D99)</f>
        <v/>
      </c>
      <c r="F99" s="18" t="str">
        <f>_xll.AtlasFormulas.AtlasFunctions.AtlasTable("UAT","UNI","T.InventTable","%ItemName","","","","","","","ItemId",$D99)</f>
        <v/>
      </c>
      <c r="G99" s="19" t="s">
        <v>56</v>
      </c>
      <c r="H99" s="5"/>
      <c r="I99" s="5"/>
      <c r="J99" s="19">
        <v>131100</v>
      </c>
      <c r="K99" s="18" t="str">
        <f>_xll.AtlasFormulas.AtlasFunctions.AtlasTable("UAT",DataAreaId,"T.LedgerTable","%AccountName","","","","","","","AccountNum",$J99)</f>
        <v>Work in process</v>
      </c>
      <c r="L99" s="5"/>
      <c r="M99" s="5"/>
      <c r="N99" s="5" t="str">
        <f>_xll.AtlasFormulas.AtlasFunctions.AtlasTable("UAT",DataAreaId,"T.LedgerTable","%BlockedInJournal","","","","","","","AccountNum",$J99)</f>
        <v>Yes</v>
      </c>
    </row>
    <row r="100" spans="1:14">
      <c r="A100" s="5" t="s">
        <v>841</v>
      </c>
      <c r="B100" s="19" t="s">
        <v>818</v>
      </c>
      <c r="C100" s="19" t="s">
        <v>55</v>
      </c>
      <c r="D100" s="19" t="s">
        <v>794</v>
      </c>
      <c r="E100" s="5" t="str">
        <f>_xll.AtlasFormulas.AtlasFunctions.AtlasTable("UAT",DataAreaId,"T.InventTable","%ItemName","","","","","","","ItemId",$D100)</f>
        <v/>
      </c>
      <c r="F100" s="18" t="str">
        <f>_xll.AtlasFormulas.AtlasFunctions.AtlasTable("UAT","UNI","T.InventTable","%ItemName","","","","","","","ItemId",$D100)</f>
        <v/>
      </c>
      <c r="G100" s="19" t="s">
        <v>56</v>
      </c>
      <c r="H100" s="5"/>
      <c r="I100" s="5"/>
      <c r="J100" s="19">
        <v>131100</v>
      </c>
      <c r="K100" s="18" t="str">
        <f>_xll.AtlasFormulas.AtlasFunctions.AtlasTable("UAT",DataAreaId,"T.LedgerTable","%AccountName","","","","","","","AccountNum",$J100)</f>
        <v>Work in process</v>
      </c>
      <c r="L100" s="5"/>
      <c r="M100" s="5"/>
      <c r="N100" s="5" t="str">
        <f>_xll.AtlasFormulas.AtlasFunctions.AtlasTable("UAT",DataAreaId,"T.LedgerTable","%BlockedInJournal","","","","","","","AccountNum",$J100)</f>
        <v>Yes</v>
      </c>
    </row>
    <row r="101" spans="1:14">
      <c r="A101" s="5" t="s">
        <v>841</v>
      </c>
      <c r="B101" s="19" t="s">
        <v>818</v>
      </c>
      <c r="C101" s="19" t="s">
        <v>55</v>
      </c>
      <c r="D101" s="19" t="s">
        <v>795</v>
      </c>
      <c r="E101" s="5" t="str">
        <f>_xll.AtlasFormulas.AtlasFunctions.AtlasTable("UAT",DataAreaId,"T.InventTable","%ItemName","","","","","","","ItemId",$D101)</f>
        <v/>
      </c>
      <c r="F101" s="18" t="str">
        <f>_xll.AtlasFormulas.AtlasFunctions.AtlasTable("UAT","UNI","T.InventTable","%ItemName","","","","","","","ItemId",$D101)</f>
        <v/>
      </c>
      <c r="G101" s="19" t="s">
        <v>56</v>
      </c>
      <c r="H101" s="5"/>
      <c r="I101" s="5"/>
      <c r="J101" s="19">
        <v>131100</v>
      </c>
      <c r="K101" s="18" t="str">
        <f>_xll.AtlasFormulas.AtlasFunctions.AtlasTable("UAT",DataAreaId,"T.LedgerTable","%AccountName","","","","","","","AccountNum",$J101)</f>
        <v>Work in process</v>
      </c>
      <c r="L101" s="5"/>
      <c r="M101" s="5"/>
      <c r="N101" s="5" t="str">
        <f>_xll.AtlasFormulas.AtlasFunctions.AtlasTable("UAT",DataAreaId,"T.LedgerTable","%BlockedInJournal","","","","","","","AccountNum",$J101)</f>
        <v>Yes</v>
      </c>
    </row>
    <row r="102" spans="1:14">
      <c r="A102" s="5" t="s">
        <v>841</v>
      </c>
      <c r="B102" s="19" t="s">
        <v>819</v>
      </c>
      <c r="C102" s="19" t="s">
        <v>55</v>
      </c>
      <c r="D102" s="19" t="s">
        <v>792</v>
      </c>
      <c r="E102" s="5" t="str">
        <f>_xll.AtlasFormulas.AtlasFunctions.AtlasTable("UAT",DataAreaId,"T.InventTable","%ItemName","","","","","","","ItemId",$D102)</f>
        <v/>
      </c>
      <c r="F102" s="18" t="str">
        <f>_xll.AtlasFormulas.AtlasFunctions.AtlasTable("UAT","UNI","T.InventTable","%ItemName","","","","","","","ItemId",$D102)</f>
        <v/>
      </c>
      <c r="G102" s="19" t="s">
        <v>56</v>
      </c>
      <c r="H102" s="5"/>
      <c r="I102" s="5"/>
      <c r="J102" s="19">
        <v>131000</v>
      </c>
      <c r="K102" s="18" t="str">
        <f>_xll.AtlasFormulas.AtlasFunctions.AtlasTable("UAT",DataAreaId,"T.LedgerTable","%AccountName","","","","","","","AccountNum",$J102)</f>
        <v>Components</v>
      </c>
      <c r="L102" s="5"/>
      <c r="M102" s="5"/>
      <c r="N102" s="5" t="str">
        <f>_xll.AtlasFormulas.AtlasFunctions.AtlasTable("UAT",DataAreaId,"T.LedgerTable","%BlockedInJournal","","","","","","","AccountNum",$J102)</f>
        <v>Yes</v>
      </c>
    </row>
    <row r="103" spans="1:14">
      <c r="A103" s="5" t="s">
        <v>841</v>
      </c>
      <c r="B103" s="19" t="s">
        <v>819</v>
      </c>
      <c r="C103" s="19" t="s">
        <v>55</v>
      </c>
      <c r="D103" s="19" t="s">
        <v>793</v>
      </c>
      <c r="E103" s="5" t="str">
        <f>_xll.AtlasFormulas.AtlasFunctions.AtlasTable("UAT",DataAreaId,"T.InventTable","%ItemName","","","","","","","ItemId",$D103)</f>
        <v/>
      </c>
      <c r="F103" s="18" t="str">
        <f>_xll.AtlasFormulas.AtlasFunctions.AtlasTable("UAT","UNI","T.InventTable","%ItemName","","","","","","","ItemId",$D103)</f>
        <v/>
      </c>
      <c r="G103" s="19" t="s">
        <v>56</v>
      </c>
      <c r="H103" s="5"/>
      <c r="I103" s="5"/>
      <c r="J103" s="19">
        <v>130000</v>
      </c>
      <c r="K103" s="18" t="str">
        <f>_xll.AtlasFormulas.AtlasFunctions.AtlasTable("UAT",DataAreaId,"T.LedgerTable","%AccountName","","","","","","","AccountNum",$J103)</f>
        <v>Raw materials</v>
      </c>
      <c r="L103" s="5"/>
      <c r="M103" s="5"/>
      <c r="N103" s="5" t="str">
        <f>_xll.AtlasFormulas.AtlasFunctions.AtlasTable("UAT",DataAreaId,"T.LedgerTable","%BlockedInJournal","","","","","","","AccountNum",$J103)</f>
        <v>Yes</v>
      </c>
    </row>
    <row r="104" spans="1:14">
      <c r="A104" s="5" t="s">
        <v>841</v>
      </c>
      <c r="B104" s="19" t="s">
        <v>819</v>
      </c>
      <c r="C104" s="19" t="s">
        <v>55</v>
      </c>
      <c r="D104" s="19" t="s">
        <v>794</v>
      </c>
      <c r="E104" s="5" t="str">
        <f>_xll.AtlasFormulas.AtlasFunctions.AtlasTable("UAT",DataAreaId,"T.InventTable","%ItemName","","","","","","","ItemId",$D104)</f>
        <v/>
      </c>
      <c r="F104" s="18" t="str">
        <f>_xll.AtlasFormulas.AtlasFunctions.AtlasTable("UAT","UNI","T.InventTable","%ItemName","","","","","","","ItemId",$D104)</f>
        <v/>
      </c>
      <c r="G104" s="19" t="s">
        <v>56</v>
      </c>
      <c r="H104" s="5"/>
      <c r="I104" s="5"/>
      <c r="J104" s="19">
        <v>132000</v>
      </c>
      <c r="K104" s="18" t="str">
        <f>_xll.AtlasFormulas.AtlasFunctions.AtlasTable("UAT",DataAreaId,"T.LedgerTable","%AccountName","","","","","","","AccountNum",$J104)</f>
        <v>Finished goods</v>
      </c>
      <c r="L104" s="5"/>
      <c r="M104" s="5"/>
      <c r="N104" s="5" t="str">
        <f>_xll.AtlasFormulas.AtlasFunctions.AtlasTable("UAT",DataAreaId,"T.LedgerTable","%BlockedInJournal","","","","","","","AccountNum",$J104)</f>
        <v>Yes</v>
      </c>
    </row>
    <row r="105" spans="1:14">
      <c r="A105" s="5" t="s">
        <v>841</v>
      </c>
      <c r="B105" s="19" t="s">
        <v>819</v>
      </c>
      <c r="C105" s="19" t="s">
        <v>55</v>
      </c>
      <c r="D105" s="19" t="s">
        <v>795</v>
      </c>
      <c r="E105" s="5" t="str">
        <f>_xll.AtlasFormulas.AtlasFunctions.AtlasTable("UAT",DataAreaId,"T.InventTable","%ItemName","","","","","","","ItemId",$D105)</f>
        <v/>
      </c>
      <c r="F105" s="18" t="str">
        <f>_xll.AtlasFormulas.AtlasFunctions.AtlasTable("UAT","UNI","T.InventTable","%ItemName","","","","","","","ItemId",$D105)</f>
        <v/>
      </c>
      <c r="G105" s="19" t="s">
        <v>56</v>
      </c>
      <c r="H105" s="5"/>
      <c r="I105" s="5"/>
      <c r="J105" s="19">
        <v>410030</v>
      </c>
      <c r="K105" s="18" t="str">
        <f>_xll.AtlasFormulas.AtlasFunctions.AtlasTable("UAT",DataAreaId,"T.LedgerTable","%AccountName","","","","","","","AccountNum",$J105)</f>
        <v>Inventory change - labor</v>
      </c>
      <c r="L105" s="5"/>
      <c r="M105" s="5"/>
      <c r="N105" s="5" t="str">
        <f>_xll.AtlasFormulas.AtlasFunctions.AtlasTable("UAT",DataAreaId,"T.LedgerTable","%BlockedInJournal","","","","","","","AccountNum",$J105)</f>
        <v>No</v>
      </c>
    </row>
    <row r="106" spans="1:14">
      <c r="A106" s="5" t="s">
        <v>841</v>
      </c>
      <c r="B106" s="19" t="s">
        <v>820</v>
      </c>
      <c r="C106" s="19" t="s">
        <v>55</v>
      </c>
      <c r="D106" s="19" t="s">
        <v>792</v>
      </c>
      <c r="E106" s="5" t="str">
        <f>_xll.AtlasFormulas.AtlasFunctions.AtlasTable("UAT",DataAreaId,"T.InventTable","%ItemName","","","","","","","ItemId",$D106)</f>
        <v/>
      </c>
      <c r="F106" s="18" t="str">
        <f>_xll.AtlasFormulas.AtlasFunctions.AtlasTable("UAT","UNI","T.InventTable","%ItemName","","","","","","","ItemId",$D106)</f>
        <v/>
      </c>
      <c r="G106" s="19" t="s">
        <v>56</v>
      </c>
      <c r="H106" s="5"/>
      <c r="I106" s="5"/>
      <c r="J106" s="19">
        <v>599009</v>
      </c>
      <c r="K106" s="18" t="str">
        <f>_xll.AtlasFormulas.AtlasFunctions.AtlasTable("UAT",DataAreaId,"T.LedgerTable","%AccountName","","","","","","","AccountNum",$J106)</f>
        <v>Production clearing - System</v>
      </c>
      <c r="L106" s="5"/>
      <c r="M106" s="5"/>
      <c r="N106" s="5" t="str">
        <f>_xll.AtlasFormulas.AtlasFunctions.AtlasTable("UAT",DataAreaId,"T.LedgerTable","%BlockedInJournal","","","","","","","AccountNum",$J106)</f>
        <v>No</v>
      </c>
    </row>
    <row r="107" spans="1:14">
      <c r="A107" s="5" t="s">
        <v>841</v>
      </c>
      <c r="B107" s="19" t="s">
        <v>820</v>
      </c>
      <c r="C107" s="19" t="s">
        <v>55</v>
      </c>
      <c r="D107" s="19" t="s">
        <v>793</v>
      </c>
      <c r="E107" s="5" t="str">
        <f>_xll.AtlasFormulas.AtlasFunctions.AtlasTable("UAT",DataAreaId,"T.InventTable","%ItemName","","","","","","","ItemId",$D107)</f>
        <v/>
      </c>
      <c r="F107" s="18" t="str">
        <f>_xll.AtlasFormulas.AtlasFunctions.AtlasTable("UAT","UNI","T.InventTable","%ItemName","","","","","","","ItemId",$D107)</f>
        <v/>
      </c>
      <c r="G107" s="19" t="s">
        <v>56</v>
      </c>
      <c r="H107" s="5"/>
      <c r="I107" s="5"/>
      <c r="J107" s="19">
        <v>599009</v>
      </c>
      <c r="K107" s="18" t="str">
        <f>_xll.AtlasFormulas.AtlasFunctions.AtlasTable("UAT",DataAreaId,"T.LedgerTable","%AccountName","","","","","","","AccountNum",$J107)</f>
        <v>Production clearing - System</v>
      </c>
      <c r="L107" s="5"/>
      <c r="M107" s="5"/>
      <c r="N107" s="5" t="str">
        <f>_xll.AtlasFormulas.AtlasFunctions.AtlasTable("UAT",DataAreaId,"T.LedgerTable","%BlockedInJournal","","","","","","","AccountNum",$J107)</f>
        <v>No</v>
      </c>
    </row>
    <row r="108" spans="1:14">
      <c r="A108" s="5" t="s">
        <v>841</v>
      </c>
      <c r="B108" s="19" t="s">
        <v>820</v>
      </c>
      <c r="C108" s="19" t="s">
        <v>55</v>
      </c>
      <c r="D108" s="19" t="s">
        <v>794</v>
      </c>
      <c r="E108" s="5" t="str">
        <f>_xll.AtlasFormulas.AtlasFunctions.AtlasTable("UAT",DataAreaId,"T.InventTable","%ItemName","","","","","","","ItemId",$D108)</f>
        <v/>
      </c>
      <c r="F108" s="18" t="str">
        <f>_xll.AtlasFormulas.AtlasFunctions.AtlasTable("UAT","UNI","T.InventTable","%ItemName","","","","","","","ItemId",$D108)</f>
        <v/>
      </c>
      <c r="G108" s="19" t="s">
        <v>56</v>
      </c>
      <c r="H108" s="5"/>
      <c r="I108" s="5"/>
      <c r="J108" s="19">
        <v>599009</v>
      </c>
      <c r="K108" s="18" t="str">
        <f>_xll.AtlasFormulas.AtlasFunctions.AtlasTable("UAT",DataAreaId,"T.LedgerTable","%AccountName","","","","","","","AccountNum",$J108)</f>
        <v>Production clearing - System</v>
      </c>
      <c r="L108" s="5"/>
      <c r="M108" s="5"/>
      <c r="N108" s="5" t="str">
        <f>_xll.AtlasFormulas.AtlasFunctions.AtlasTable("UAT",DataAreaId,"T.LedgerTable","%BlockedInJournal","","","","","","","AccountNum",$J108)</f>
        <v>No</v>
      </c>
    </row>
    <row r="109" spans="1:14">
      <c r="A109" s="5" t="s">
        <v>841</v>
      </c>
      <c r="B109" s="19" t="s">
        <v>820</v>
      </c>
      <c r="C109" s="19" t="s">
        <v>55</v>
      </c>
      <c r="D109" s="19" t="s">
        <v>795</v>
      </c>
      <c r="E109" s="5" t="str">
        <f>_xll.AtlasFormulas.AtlasFunctions.AtlasTable("UAT",DataAreaId,"T.InventTable","%ItemName","","","","","","","ItemId",$D109)</f>
        <v/>
      </c>
      <c r="F109" s="18" t="str">
        <f>_xll.AtlasFormulas.AtlasFunctions.AtlasTable("UAT","UNI","T.InventTable","%ItemName","","","","","","","ItemId",$D109)</f>
        <v/>
      </c>
      <c r="G109" s="19" t="s">
        <v>56</v>
      </c>
      <c r="H109" s="5"/>
      <c r="I109" s="5"/>
      <c r="J109" s="19">
        <v>599009</v>
      </c>
      <c r="K109" s="18" t="str">
        <f>_xll.AtlasFormulas.AtlasFunctions.AtlasTable("UAT",DataAreaId,"T.LedgerTable","%AccountName","","","","","","","AccountNum",$J109)</f>
        <v>Production clearing - System</v>
      </c>
      <c r="L109" s="5"/>
      <c r="M109" s="5"/>
      <c r="N109" s="5" t="str">
        <f>_xll.AtlasFormulas.AtlasFunctions.AtlasTable("UAT",DataAreaId,"T.LedgerTable","%BlockedInJournal","","","","","","","AccountNum",$J109)</f>
        <v>No</v>
      </c>
    </row>
    <row r="110" spans="1:14">
      <c r="A110" s="5" t="s">
        <v>841</v>
      </c>
      <c r="B110" s="19" t="s">
        <v>821</v>
      </c>
      <c r="C110" s="19" t="s">
        <v>55</v>
      </c>
      <c r="D110" s="19" t="s">
        <v>792</v>
      </c>
      <c r="E110" s="5" t="str">
        <f>_xll.AtlasFormulas.AtlasFunctions.AtlasTable("UAT",DataAreaId,"T.InventTable","%ItemName","","","","","","","ItemId",$D110)</f>
        <v/>
      </c>
      <c r="F110" s="18" t="str">
        <f>_xll.AtlasFormulas.AtlasFunctions.AtlasTable("UAT","UNI","T.InventTable","%ItemName","","","","","","","ItemId",$D110)</f>
        <v/>
      </c>
      <c r="G110" s="19" t="s">
        <v>56</v>
      </c>
      <c r="H110" s="5"/>
      <c r="I110" s="5"/>
      <c r="J110" s="19">
        <v>131000</v>
      </c>
      <c r="K110" s="18" t="str">
        <f>_xll.AtlasFormulas.AtlasFunctions.AtlasTable("UAT",DataAreaId,"T.LedgerTable","%AccountName","","","","","","","AccountNum",$J110)</f>
        <v>Components</v>
      </c>
      <c r="L110" s="5"/>
      <c r="M110" s="5"/>
      <c r="N110" s="5" t="str">
        <f>_xll.AtlasFormulas.AtlasFunctions.AtlasTable("UAT",DataAreaId,"T.LedgerTable","%BlockedInJournal","","","","","","","AccountNum",$J110)</f>
        <v>Yes</v>
      </c>
    </row>
    <row r="111" spans="1:14">
      <c r="A111" s="5" t="s">
        <v>841</v>
      </c>
      <c r="B111" s="19" t="s">
        <v>821</v>
      </c>
      <c r="C111" s="19" t="s">
        <v>55</v>
      </c>
      <c r="D111" s="19" t="s">
        <v>793</v>
      </c>
      <c r="E111" s="5" t="str">
        <f>_xll.AtlasFormulas.AtlasFunctions.AtlasTable("UAT",DataAreaId,"T.InventTable","%ItemName","","","","","","","ItemId",$D111)</f>
        <v/>
      </c>
      <c r="F111" s="18" t="str">
        <f>_xll.AtlasFormulas.AtlasFunctions.AtlasTable("UAT","UNI","T.InventTable","%ItemName","","","","","","","ItemId",$D111)</f>
        <v/>
      </c>
      <c r="G111" s="19" t="s">
        <v>56</v>
      </c>
      <c r="H111" s="5"/>
      <c r="I111" s="5"/>
      <c r="J111" s="19">
        <v>130000</v>
      </c>
      <c r="K111" s="18" t="str">
        <f>_xll.AtlasFormulas.AtlasFunctions.AtlasTable("UAT",DataAreaId,"T.LedgerTable","%AccountName","","","","","","","AccountNum",$J111)</f>
        <v>Raw materials</v>
      </c>
      <c r="L111" s="5"/>
      <c r="M111" s="5"/>
      <c r="N111" s="5" t="str">
        <f>_xll.AtlasFormulas.AtlasFunctions.AtlasTable("UAT",DataAreaId,"T.LedgerTable","%BlockedInJournal","","","","","","","AccountNum",$J111)</f>
        <v>Yes</v>
      </c>
    </row>
    <row r="112" spans="1:14">
      <c r="A112" s="5" t="s">
        <v>841</v>
      </c>
      <c r="B112" s="19" t="s">
        <v>821</v>
      </c>
      <c r="C112" s="19" t="s">
        <v>55</v>
      </c>
      <c r="D112" s="19" t="s">
        <v>794</v>
      </c>
      <c r="E112" s="5" t="str">
        <f>_xll.AtlasFormulas.AtlasFunctions.AtlasTable("UAT",DataAreaId,"T.InventTable","%ItemName","","","","","","","ItemId",$D112)</f>
        <v/>
      </c>
      <c r="F112" s="18" t="str">
        <f>_xll.AtlasFormulas.AtlasFunctions.AtlasTable("UAT","UNI","T.InventTable","%ItemName","","","","","","","ItemId",$D112)</f>
        <v/>
      </c>
      <c r="G112" s="19" t="s">
        <v>56</v>
      </c>
      <c r="H112" s="5"/>
      <c r="I112" s="5"/>
      <c r="J112" s="19">
        <v>132000</v>
      </c>
      <c r="K112" s="18" t="str">
        <f>_xll.AtlasFormulas.AtlasFunctions.AtlasTable("UAT",DataAreaId,"T.LedgerTable","%AccountName","","","","","","","AccountNum",$J112)</f>
        <v>Finished goods</v>
      </c>
      <c r="L112" s="5"/>
      <c r="M112" s="5"/>
      <c r="N112" s="5" t="str">
        <f>_xll.AtlasFormulas.AtlasFunctions.AtlasTable("UAT",DataAreaId,"T.LedgerTable","%BlockedInJournal","","","","","","","AccountNum",$J112)</f>
        <v>Yes</v>
      </c>
    </row>
    <row r="113" spans="1:14">
      <c r="A113" s="5" t="s">
        <v>841</v>
      </c>
      <c r="B113" s="19" t="s">
        <v>821</v>
      </c>
      <c r="C113" s="19" t="s">
        <v>55</v>
      </c>
      <c r="D113" s="19" t="s">
        <v>795</v>
      </c>
      <c r="E113" s="5" t="str">
        <f>_xll.AtlasFormulas.AtlasFunctions.AtlasTable("UAT",DataAreaId,"T.InventTable","%ItemName","","","","","","","ItemId",$D113)</f>
        <v/>
      </c>
      <c r="F113" s="18" t="str">
        <f>_xll.AtlasFormulas.AtlasFunctions.AtlasTable("UAT","UNI","T.InventTable","%ItemName","","","","","","","ItemId",$D113)</f>
        <v/>
      </c>
      <c r="G113" s="19" t="s">
        <v>56</v>
      </c>
      <c r="H113" s="5"/>
      <c r="I113" s="5"/>
      <c r="J113" s="19">
        <v>132000</v>
      </c>
      <c r="K113" s="18" t="str">
        <f>_xll.AtlasFormulas.AtlasFunctions.AtlasTable("UAT",DataAreaId,"T.LedgerTable","%AccountName","","","","","","","AccountNum",$J113)</f>
        <v>Finished goods</v>
      </c>
      <c r="L113" s="5"/>
      <c r="M113" s="5"/>
      <c r="N113" s="5" t="str">
        <f>_xll.AtlasFormulas.AtlasFunctions.AtlasTable("UAT",DataAreaId,"T.LedgerTable","%BlockedInJournal","","","","","","","AccountNum",$J113)</f>
        <v>Yes</v>
      </c>
    </row>
    <row r="114" spans="1:14">
      <c r="A114" s="5" t="s">
        <v>841</v>
      </c>
      <c r="B114" s="19" t="s">
        <v>822</v>
      </c>
      <c r="C114" s="19" t="s">
        <v>55</v>
      </c>
      <c r="D114" s="19" t="s">
        <v>792</v>
      </c>
      <c r="E114" s="5" t="str">
        <f>_xll.AtlasFormulas.AtlasFunctions.AtlasTable("UAT",DataAreaId,"T.InventTable","%ItemName","","","","","","","ItemId",$D114)</f>
        <v/>
      </c>
      <c r="F114" s="18" t="str">
        <f>_xll.AtlasFormulas.AtlasFunctions.AtlasTable("UAT","UNI","T.InventTable","%ItemName","","","","","","","ItemId",$D114)</f>
        <v/>
      </c>
      <c r="G114" s="19" t="s">
        <v>56</v>
      </c>
      <c r="H114" s="5"/>
      <c r="I114" s="5"/>
      <c r="J114" s="19">
        <v>599009</v>
      </c>
      <c r="K114" s="18" t="str">
        <f>_xll.AtlasFormulas.AtlasFunctions.AtlasTable("UAT",DataAreaId,"T.LedgerTable","%AccountName","","","","","","","AccountNum",$J114)</f>
        <v>Production clearing - System</v>
      </c>
      <c r="L114" s="5"/>
      <c r="M114" s="5"/>
      <c r="N114" s="5" t="str">
        <f>_xll.AtlasFormulas.AtlasFunctions.AtlasTable("UAT",DataAreaId,"T.LedgerTable","%BlockedInJournal","","","","","","","AccountNum",$J114)</f>
        <v>No</v>
      </c>
    </row>
    <row r="115" spans="1:14">
      <c r="A115" s="5" t="s">
        <v>841</v>
      </c>
      <c r="B115" s="19" t="s">
        <v>822</v>
      </c>
      <c r="C115" s="19" t="s">
        <v>55</v>
      </c>
      <c r="D115" s="19" t="s">
        <v>793</v>
      </c>
      <c r="E115" s="5" t="str">
        <f>_xll.AtlasFormulas.AtlasFunctions.AtlasTable("UAT",DataAreaId,"T.InventTable","%ItemName","","","","","","","ItemId",$D115)</f>
        <v/>
      </c>
      <c r="F115" s="18" t="str">
        <f>_xll.AtlasFormulas.AtlasFunctions.AtlasTable("UAT","UNI","T.InventTable","%ItemName","","","","","","","ItemId",$D115)</f>
        <v/>
      </c>
      <c r="G115" s="19" t="s">
        <v>56</v>
      </c>
      <c r="H115" s="5"/>
      <c r="I115" s="5"/>
      <c r="J115" s="19">
        <v>599009</v>
      </c>
      <c r="K115" s="18" t="str">
        <f>_xll.AtlasFormulas.AtlasFunctions.AtlasTable("UAT",DataAreaId,"T.LedgerTable","%AccountName","","","","","","","AccountNum",$J115)</f>
        <v>Production clearing - System</v>
      </c>
      <c r="L115" s="5"/>
      <c r="M115" s="5"/>
      <c r="N115" s="5" t="str">
        <f>_xll.AtlasFormulas.AtlasFunctions.AtlasTable("UAT",DataAreaId,"T.LedgerTable","%BlockedInJournal","","","","","","","AccountNum",$J115)</f>
        <v>No</v>
      </c>
    </row>
    <row r="116" spans="1:14">
      <c r="A116" s="5" t="s">
        <v>841</v>
      </c>
      <c r="B116" s="19" t="s">
        <v>822</v>
      </c>
      <c r="C116" s="19" t="s">
        <v>55</v>
      </c>
      <c r="D116" s="19" t="s">
        <v>794</v>
      </c>
      <c r="E116" s="5" t="str">
        <f>_xll.AtlasFormulas.AtlasFunctions.AtlasTable("UAT",DataAreaId,"T.InventTable","%ItemName","","","","","","","ItemId",$D116)</f>
        <v/>
      </c>
      <c r="F116" s="18" t="str">
        <f>_xll.AtlasFormulas.AtlasFunctions.AtlasTable("UAT","UNI","T.InventTable","%ItemName","","","","","","","ItemId",$D116)</f>
        <v/>
      </c>
      <c r="G116" s="19" t="s">
        <v>56</v>
      </c>
      <c r="H116" s="5"/>
      <c r="I116" s="5"/>
      <c r="J116" s="19">
        <v>599009</v>
      </c>
      <c r="K116" s="18" t="str">
        <f>_xll.AtlasFormulas.AtlasFunctions.AtlasTable("UAT",DataAreaId,"T.LedgerTable","%AccountName","","","","","","","AccountNum",$J116)</f>
        <v>Production clearing - System</v>
      </c>
      <c r="L116" s="5"/>
      <c r="M116" s="5"/>
      <c r="N116" s="5" t="str">
        <f>_xll.AtlasFormulas.AtlasFunctions.AtlasTable("UAT",DataAreaId,"T.LedgerTable","%BlockedInJournal","","","","","","","AccountNum",$J116)</f>
        <v>No</v>
      </c>
    </row>
    <row r="117" spans="1:14">
      <c r="A117" s="5" t="s">
        <v>609</v>
      </c>
      <c r="B117" s="19" t="s">
        <v>822</v>
      </c>
      <c r="C117" s="19" t="s">
        <v>55</v>
      </c>
      <c r="D117" s="19" t="s">
        <v>795</v>
      </c>
      <c r="E117" s="5" t="str">
        <f>_xll.AtlasFormulas.AtlasFunctions.AtlasTable("UAT",DataAreaId,"T.InventTable","%ItemName","","","","","","","ItemId",$D117)</f>
        <v/>
      </c>
      <c r="F117" s="18" t="str">
        <f>_xll.AtlasFormulas.AtlasFunctions.AtlasTable("UAT","UNI","T.InventTable","%ItemName","","","","","","","ItemId",$D117)</f>
        <v/>
      </c>
      <c r="G117" s="19" t="s">
        <v>56</v>
      </c>
      <c r="H117" s="5"/>
      <c r="I117" s="5"/>
      <c r="J117" s="19">
        <v>599009</v>
      </c>
      <c r="K117" s="18" t="str">
        <f>_xll.AtlasFormulas.AtlasFunctions.AtlasTable("UAT",DataAreaId,"T.LedgerTable","%AccountName","","","","","","","AccountNum",$J117)</f>
        <v>Production clearing - System</v>
      </c>
      <c r="L117" s="5"/>
      <c r="M117" s="5"/>
      <c r="N117" s="5" t="str">
        <f>_xll.AtlasFormulas.AtlasFunctions.AtlasTable("UAT",DataAreaId,"T.LedgerTable","%BlockedInJournal","","","","","","","AccountNum",$J117)</f>
        <v>No</v>
      </c>
    </row>
    <row r="118" spans="1:14">
      <c r="A118" s="5" t="s">
        <v>609</v>
      </c>
      <c r="B118" s="19" t="s">
        <v>823</v>
      </c>
      <c r="C118" s="19" t="s">
        <v>55</v>
      </c>
      <c r="D118" s="19" t="s">
        <v>792</v>
      </c>
      <c r="E118" s="5" t="str">
        <f>_xll.AtlasFormulas.AtlasFunctions.AtlasTable("UAT",DataAreaId,"T.InventTable","%ItemName","","","","","","","ItemId",$D118)</f>
        <v/>
      </c>
      <c r="F118" s="18" t="str">
        <f>_xll.AtlasFormulas.AtlasFunctions.AtlasTable("UAT","UNI","T.InventTable","%ItemName","","","","","","","ItemId",$D118)</f>
        <v/>
      </c>
      <c r="G118" s="19" t="s">
        <v>56</v>
      </c>
      <c r="H118" s="5"/>
      <c r="I118" s="5"/>
      <c r="J118" s="19">
        <v>131000</v>
      </c>
      <c r="K118" s="18" t="str">
        <f>_xll.AtlasFormulas.AtlasFunctions.AtlasTable("UAT",DataAreaId,"T.LedgerTable","%AccountName","","","","","","","AccountNum",$J118)</f>
        <v>Components</v>
      </c>
      <c r="L118" s="5"/>
      <c r="M118" s="5"/>
      <c r="N118" s="5" t="str">
        <f>_xll.AtlasFormulas.AtlasFunctions.AtlasTable("UAT",DataAreaId,"T.LedgerTable","%BlockedInJournal","","","","","","","AccountNum",$J118)</f>
        <v>Yes</v>
      </c>
    </row>
    <row r="119" spans="1:14">
      <c r="A119" s="5" t="s">
        <v>609</v>
      </c>
      <c r="B119" s="19" t="s">
        <v>823</v>
      </c>
      <c r="C119" s="19" t="s">
        <v>55</v>
      </c>
      <c r="D119" s="19" t="s">
        <v>793</v>
      </c>
      <c r="E119" s="5" t="str">
        <f>_xll.AtlasFormulas.AtlasFunctions.AtlasTable("UAT",DataAreaId,"T.InventTable","%ItemName","","","","","","","ItemId",$D119)</f>
        <v/>
      </c>
      <c r="F119" s="18" t="str">
        <f>_xll.AtlasFormulas.AtlasFunctions.AtlasTable("UAT","UNI","T.InventTable","%ItemName","","","","","","","ItemId",$D119)</f>
        <v/>
      </c>
      <c r="G119" s="19" t="s">
        <v>56</v>
      </c>
      <c r="H119" s="5"/>
      <c r="I119" s="5"/>
      <c r="J119" s="19">
        <v>130000</v>
      </c>
      <c r="K119" s="18" t="str">
        <f>_xll.AtlasFormulas.AtlasFunctions.AtlasTable("UAT",DataAreaId,"T.LedgerTable","%AccountName","","","","","","","AccountNum",$J119)</f>
        <v>Raw materials</v>
      </c>
      <c r="L119" s="5"/>
      <c r="M119" s="5"/>
      <c r="N119" s="5" t="str">
        <f>_xll.AtlasFormulas.AtlasFunctions.AtlasTable("UAT",DataAreaId,"T.LedgerTable","%BlockedInJournal","","","","","","","AccountNum",$J119)</f>
        <v>Yes</v>
      </c>
    </row>
    <row r="120" spans="1:14">
      <c r="A120" s="5" t="s">
        <v>609</v>
      </c>
      <c r="B120" s="19" t="s">
        <v>823</v>
      </c>
      <c r="C120" s="19" t="s">
        <v>55</v>
      </c>
      <c r="D120" s="19" t="s">
        <v>794</v>
      </c>
      <c r="E120" s="5" t="str">
        <f>_xll.AtlasFormulas.AtlasFunctions.AtlasTable("UAT",DataAreaId,"T.InventTable","%ItemName","","","","","","","ItemId",$D120)</f>
        <v/>
      </c>
      <c r="F120" s="18" t="str">
        <f>_xll.AtlasFormulas.AtlasFunctions.AtlasTable("UAT","UNI","T.InventTable","%ItemName","","","","","","","ItemId",$D120)</f>
        <v/>
      </c>
      <c r="G120" s="19" t="s">
        <v>56</v>
      </c>
      <c r="H120" s="5"/>
      <c r="I120" s="5"/>
      <c r="J120" s="19">
        <v>132000</v>
      </c>
      <c r="K120" s="18" t="str">
        <f>_xll.AtlasFormulas.AtlasFunctions.AtlasTable("UAT",DataAreaId,"T.LedgerTable","%AccountName","","","","","","","AccountNum",$J120)</f>
        <v>Finished goods</v>
      </c>
      <c r="L120" s="5"/>
      <c r="M120" s="5"/>
      <c r="N120" s="5" t="str">
        <f>_xll.AtlasFormulas.AtlasFunctions.AtlasTable("UAT",DataAreaId,"T.LedgerTable","%BlockedInJournal","","","","","","","AccountNum",$J120)</f>
        <v>Yes</v>
      </c>
    </row>
    <row r="121" spans="1:14">
      <c r="A121" s="5" t="s">
        <v>609</v>
      </c>
      <c r="B121" s="19" t="s">
        <v>823</v>
      </c>
      <c r="C121" s="19" t="s">
        <v>55</v>
      </c>
      <c r="D121" s="19" t="s">
        <v>795</v>
      </c>
      <c r="E121" s="5" t="str">
        <f>_xll.AtlasFormulas.AtlasFunctions.AtlasTable("UAT",DataAreaId,"T.InventTable","%ItemName","","","","","","","ItemId",$D121)</f>
        <v/>
      </c>
      <c r="F121" s="18" t="str">
        <f>_xll.AtlasFormulas.AtlasFunctions.AtlasTable("UAT","UNI","T.InventTable","%ItemName","","","","","","","ItemId",$D121)</f>
        <v/>
      </c>
      <c r="G121" s="19" t="s">
        <v>56</v>
      </c>
      <c r="H121" s="5"/>
      <c r="I121" s="5"/>
      <c r="J121" s="19">
        <v>459000</v>
      </c>
      <c r="K121" s="18" t="str">
        <f>_xll.AtlasFormulas.AtlasFunctions.AtlasTable("UAT",DataAreaId,"T.LedgerTable","%AccountName","","","","","","","AccountNum",$J121)</f>
        <v>Other</v>
      </c>
      <c r="L121" s="5"/>
      <c r="M121" s="5"/>
      <c r="N121" s="5" t="str">
        <f>_xll.AtlasFormulas.AtlasFunctions.AtlasTable("UAT",DataAreaId,"T.LedgerTable","%BlockedInJournal","","","","","","","AccountNum",$J121)</f>
        <v>No</v>
      </c>
    </row>
    <row r="122" spans="1:14">
      <c r="A122" s="5" t="s">
        <v>609</v>
      </c>
      <c r="B122" s="19" t="s">
        <v>823</v>
      </c>
      <c r="C122" s="19" t="s">
        <v>55</v>
      </c>
      <c r="D122" s="19" t="s">
        <v>796</v>
      </c>
      <c r="E122" s="5" t="str">
        <f>_xll.AtlasFormulas.AtlasFunctions.AtlasTable("UAT",DataAreaId,"T.InventTable","%ItemName","","","","","","","ItemId",$D122)</f>
        <v/>
      </c>
      <c r="F122" s="18" t="str">
        <f>_xll.AtlasFormulas.AtlasFunctions.AtlasTable("UAT","UNI","T.InventTable","%ItemName","","","","","","","ItemId",$D122)</f>
        <v/>
      </c>
      <c r="G122" s="19" t="s">
        <v>56</v>
      </c>
      <c r="H122" s="5"/>
      <c r="I122" s="5"/>
      <c r="J122" s="19">
        <v>459000</v>
      </c>
      <c r="K122" s="18" t="str">
        <f>_xll.AtlasFormulas.AtlasFunctions.AtlasTable("UAT",DataAreaId,"T.LedgerTable","%AccountName","","","","","","","AccountNum",$J122)</f>
        <v>Other</v>
      </c>
      <c r="L122" s="5"/>
      <c r="M122" s="5"/>
      <c r="N122" s="5" t="str">
        <f>_xll.AtlasFormulas.AtlasFunctions.AtlasTable("UAT",DataAreaId,"T.LedgerTable","%BlockedInJournal","","","","","","","AccountNum",$J122)</f>
        <v>No</v>
      </c>
    </row>
    <row r="123" spans="1:14">
      <c r="A123" s="5" t="s">
        <v>609</v>
      </c>
      <c r="B123" s="19" t="s">
        <v>824</v>
      </c>
      <c r="C123" s="19" t="s">
        <v>56</v>
      </c>
      <c r="D123" s="19"/>
      <c r="E123" s="5" t="str">
        <f>_xll.AtlasFormulas.AtlasFunctions.AtlasTable("UAT",DataAreaId,"T.InventTable","%ItemName","","","","","","","ItemId",$D123)</f>
        <v/>
      </c>
      <c r="F123" s="18" t="str">
        <f>_xll.AtlasFormulas.AtlasFunctions.AtlasTable("UAT","UNI","T.InventTable","%ItemName","","","","","","","ItemId",$D123)</f>
        <v/>
      </c>
      <c r="G123" s="19" t="s">
        <v>56</v>
      </c>
      <c r="H123" s="5"/>
      <c r="I123" s="5"/>
      <c r="J123" s="19">
        <v>495032</v>
      </c>
      <c r="K123" s="18" t="str">
        <f>_xll.AtlasFormulas.AtlasFunctions.AtlasTable("UAT",DataAreaId,"T.LedgerTable","%AccountName","","","","","","","AccountNum",$J123)</f>
        <v>Invent change accrual</v>
      </c>
      <c r="L123" s="5"/>
      <c r="M123" s="5"/>
      <c r="N123" s="5" t="str">
        <f>_xll.AtlasFormulas.AtlasFunctions.AtlasTable("UAT",DataAreaId,"T.LedgerTable","%BlockedInJournal","","","","","","","AccountNum",$J123)</f>
        <v>No</v>
      </c>
    </row>
    <row r="124" spans="1:14">
      <c r="A124" s="5" t="s">
        <v>609</v>
      </c>
      <c r="B124" s="19" t="s">
        <v>825</v>
      </c>
      <c r="C124" s="19" t="s">
        <v>55</v>
      </c>
      <c r="D124" s="19" t="s">
        <v>792</v>
      </c>
      <c r="E124" s="5" t="str">
        <f>_xll.AtlasFormulas.AtlasFunctions.AtlasTable("UAT",DataAreaId,"T.InventTable","%ItemName","","","","","","","ItemId",$D124)</f>
        <v/>
      </c>
      <c r="F124" s="18" t="str">
        <f>_xll.AtlasFormulas.AtlasFunctions.AtlasTable("UAT","UNI","T.InventTable","%ItemName","","","","","","","ItemId",$D124)</f>
        <v/>
      </c>
      <c r="G124" s="19" t="s">
        <v>56</v>
      </c>
      <c r="H124" s="5"/>
      <c r="I124" s="5"/>
      <c r="J124" s="19">
        <v>131000</v>
      </c>
      <c r="K124" s="18" t="str">
        <f>_xll.AtlasFormulas.AtlasFunctions.AtlasTable("UAT",DataAreaId,"T.LedgerTable","%AccountName","","","","","","","AccountNum",$J124)</f>
        <v>Components</v>
      </c>
      <c r="L124" s="5"/>
      <c r="M124" s="5"/>
      <c r="N124" s="5" t="str">
        <f>_xll.AtlasFormulas.AtlasFunctions.AtlasTable("UAT",DataAreaId,"T.LedgerTable","%BlockedInJournal","","","","","","","AccountNum",$J124)</f>
        <v>Yes</v>
      </c>
    </row>
    <row r="125" spans="1:14">
      <c r="A125" s="5" t="s">
        <v>609</v>
      </c>
      <c r="B125" s="19" t="s">
        <v>825</v>
      </c>
      <c r="C125" s="19" t="s">
        <v>55</v>
      </c>
      <c r="D125" s="19" t="s">
        <v>793</v>
      </c>
      <c r="E125" s="5" t="str">
        <f>_xll.AtlasFormulas.AtlasFunctions.AtlasTable("UAT",DataAreaId,"T.InventTable","%ItemName","","","","","","","ItemId",$D125)</f>
        <v/>
      </c>
      <c r="F125" s="18" t="str">
        <f>_xll.AtlasFormulas.AtlasFunctions.AtlasTable("UAT","UNI","T.InventTable","%ItemName","","","","","","","ItemId",$D125)</f>
        <v/>
      </c>
      <c r="G125" s="19" t="s">
        <v>56</v>
      </c>
      <c r="H125" s="5"/>
      <c r="I125" s="5"/>
      <c r="J125" s="19">
        <v>130000</v>
      </c>
      <c r="K125" s="18" t="str">
        <f>_xll.AtlasFormulas.AtlasFunctions.AtlasTable("UAT",DataAreaId,"T.LedgerTable","%AccountName","","","","","","","AccountNum",$J125)</f>
        <v>Raw materials</v>
      </c>
      <c r="L125" s="5"/>
      <c r="M125" s="5"/>
      <c r="N125" s="5" t="str">
        <f>_xll.AtlasFormulas.AtlasFunctions.AtlasTable("UAT",DataAreaId,"T.LedgerTable","%BlockedInJournal","","","","","","","AccountNum",$J125)</f>
        <v>Yes</v>
      </c>
    </row>
    <row r="126" spans="1:14">
      <c r="A126" s="5" t="s">
        <v>609</v>
      </c>
      <c r="B126" s="19" t="s">
        <v>825</v>
      </c>
      <c r="C126" s="19" t="s">
        <v>55</v>
      </c>
      <c r="D126" s="19" t="s">
        <v>794</v>
      </c>
      <c r="E126" s="5" t="str">
        <f>_xll.AtlasFormulas.AtlasFunctions.AtlasTable("UAT",DataAreaId,"T.InventTable","%ItemName","","","","","","","ItemId",$D126)</f>
        <v/>
      </c>
      <c r="F126" s="18" t="str">
        <f>_xll.AtlasFormulas.AtlasFunctions.AtlasTable("UAT","UNI","T.InventTable","%ItemName","","","","","","","ItemId",$D126)</f>
        <v/>
      </c>
      <c r="G126" s="19" t="s">
        <v>56</v>
      </c>
      <c r="H126" s="5"/>
      <c r="I126" s="5"/>
      <c r="J126" s="19">
        <v>132000</v>
      </c>
      <c r="K126" s="18" t="str">
        <f>_xll.AtlasFormulas.AtlasFunctions.AtlasTable("UAT",DataAreaId,"T.LedgerTable","%AccountName","","","","","","","AccountNum",$J126)</f>
        <v>Finished goods</v>
      </c>
      <c r="L126" s="5"/>
      <c r="M126" s="5"/>
      <c r="N126" s="5" t="str">
        <f>_xll.AtlasFormulas.AtlasFunctions.AtlasTable("UAT",DataAreaId,"T.LedgerTable","%BlockedInJournal","","","","","","","AccountNum",$J126)</f>
        <v>Yes</v>
      </c>
    </row>
    <row r="127" spans="1:14">
      <c r="A127" s="5" t="s">
        <v>609</v>
      </c>
      <c r="B127" s="19" t="s">
        <v>825</v>
      </c>
      <c r="C127" s="19" t="s">
        <v>55</v>
      </c>
      <c r="D127" s="19" t="s">
        <v>795</v>
      </c>
      <c r="E127" s="5" t="str">
        <f>_xll.AtlasFormulas.AtlasFunctions.AtlasTable("UAT",DataAreaId,"T.InventTable","%ItemName","","","","","","","ItemId",$D127)</f>
        <v/>
      </c>
      <c r="F127" s="18" t="str">
        <f>_xll.AtlasFormulas.AtlasFunctions.AtlasTable("UAT","UNI","T.InventTable","%ItemName","","","","","","","ItemId",$D127)</f>
        <v/>
      </c>
      <c r="G127" s="19" t="s">
        <v>56</v>
      </c>
      <c r="H127" s="5"/>
      <c r="I127" s="5"/>
      <c r="J127" s="19">
        <v>459000</v>
      </c>
      <c r="K127" s="18" t="str">
        <f>_xll.AtlasFormulas.AtlasFunctions.AtlasTable("UAT",DataAreaId,"T.LedgerTable","%AccountName","","","","","","","AccountNum",$J127)</f>
        <v>Other</v>
      </c>
      <c r="L127" s="5"/>
      <c r="M127" s="5"/>
      <c r="N127" s="5" t="str">
        <f>_xll.AtlasFormulas.AtlasFunctions.AtlasTable("UAT",DataAreaId,"T.LedgerTable","%BlockedInJournal","","","","","","","AccountNum",$J127)</f>
        <v>No</v>
      </c>
    </row>
    <row r="128" spans="1:14">
      <c r="A128" s="5" t="s">
        <v>609</v>
      </c>
      <c r="B128" s="19" t="s">
        <v>825</v>
      </c>
      <c r="C128" s="19" t="s">
        <v>55</v>
      </c>
      <c r="D128" s="19" t="s">
        <v>796</v>
      </c>
      <c r="E128" s="5" t="str">
        <f>_xll.AtlasFormulas.AtlasFunctions.AtlasTable("UAT",DataAreaId,"T.InventTable","%ItemName","","","","","","","ItemId",$D128)</f>
        <v/>
      </c>
      <c r="F128" s="18" t="str">
        <f>_xll.AtlasFormulas.AtlasFunctions.AtlasTable("UAT","UNI","T.InventTable","%ItemName","","","","","","","ItemId",$D128)</f>
        <v/>
      </c>
      <c r="G128" s="19" t="s">
        <v>56</v>
      </c>
      <c r="H128" s="5"/>
      <c r="I128" s="5"/>
      <c r="J128" s="19">
        <v>459000</v>
      </c>
      <c r="K128" s="18" t="str">
        <f>_xll.AtlasFormulas.AtlasFunctions.AtlasTable("UAT",DataAreaId,"T.LedgerTable","%AccountName","","","","","","","AccountNum",$J128)</f>
        <v>Other</v>
      </c>
      <c r="L128" s="5"/>
      <c r="M128" s="5"/>
      <c r="N128" s="5" t="str">
        <f>_xll.AtlasFormulas.AtlasFunctions.AtlasTable("UAT",DataAreaId,"T.LedgerTable","%BlockedInJournal","","","","","","","AccountNum",$J128)</f>
        <v>No</v>
      </c>
    </row>
    <row r="129" spans="1:14">
      <c r="A129" s="5" t="s">
        <v>609</v>
      </c>
      <c r="B129" s="19" t="s">
        <v>826</v>
      </c>
      <c r="C129" s="19" t="s">
        <v>55</v>
      </c>
      <c r="D129" s="19" t="s">
        <v>792</v>
      </c>
      <c r="E129" s="5" t="str">
        <f>_xll.AtlasFormulas.AtlasFunctions.AtlasTable("UAT",DataAreaId,"T.InventTable","%ItemName","","","","","","","ItemId",$D129)</f>
        <v/>
      </c>
      <c r="F129" s="18" t="str">
        <f>_xll.AtlasFormulas.AtlasFunctions.AtlasTable("UAT","UNI","T.InventTable","%ItemName","","","","","","","ItemId",$D129)</f>
        <v/>
      </c>
      <c r="G129" s="19" t="s">
        <v>56</v>
      </c>
      <c r="H129" s="5"/>
      <c r="I129" s="5"/>
      <c r="J129" s="19">
        <v>495020</v>
      </c>
      <c r="K129" s="18" t="str">
        <f>_xll.AtlasFormulas.AtlasFunctions.AtlasTable("UAT",DataAreaId,"T.LedgerTable","%AccountName","","","","","","","AccountNum",$J129)</f>
        <v>Inventory change - components/wip</v>
      </c>
      <c r="L129" s="5"/>
      <c r="M129" s="5"/>
      <c r="N129" s="5" t="str">
        <f>_xll.AtlasFormulas.AtlasFunctions.AtlasTable("UAT",DataAreaId,"T.LedgerTable","%BlockedInJournal","","","","","","","AccountNum",$J129)</f>
        <v>No</v>
      </c>
    </row>
    <row r="130" spans="1:14">
      <c r="A130" s="5" t="s">
        <v>609</v>
      </c>
      <c r="B130" s="19" t="s">
        <v>826</v>
      </c>
      <c r="C130" s="19" t="s">
        <v>55</v>
      </c>
      <c r="D130" s="19" t="s">
        <v>793</v>
      </c>
      <c r="E130" s="5" t="str">
        <f>_xll.AtlasFormulas.AtlasFunctions.AtlasTable("UAT",DataAreaId,"T.InventTable","%ItemName","","","","","","","ItemId",$D130)</f>
        <v/>
      </c>
      <c r="F130" s="18" t="str">
        <f>_xll.AtlasFormulas.AtlasFunctions.AtlasTable("UAT","UNI","T.InventTable","%ItemName","","","","","","","ItemId",$D130)</f>
        <v/>
      </c>
      <c r="G130" s="19" t="s">
        <v>56</v>
      </c>
      <c r="H130" s="5"/>
      <c r="I130" s="5"/>
      <c r="J130" s="19">
        <v>495010</v>
      </c>
      <c r="K130" s="18" t="str">
        <f>_xll.AtlasFormulas.AtlasFunctions.AtlasTable("UAT",DataAreaId,"T.LedgerTable","%AccountName","","","","","","","AccountNum",$J130)</f>
        <v>Inventory change - materials</v>
      </c>
      <c r="L130" s="5"/>
      <c r="M130" s="5"/>
      <c r="N130" s="5" t="str">
        <f>_xll.AtlasFormulas.AtlasFunctions.AtlasTable("UAT",DataAreaId,"T.LedgerTable","%BlockedInJournal","","","","","","","AccountNum",$J130)</f>
        <v>No</v>
      </c>
    </row>
    <row r="131" spans="1:14">
      <c r="A131" s="5" t="s">
        <v>609</v>
      </c>
      <c r="B131" s="19" t="s">
        <v>826</v>
      </c>
      <c r="C131" s="19" t="s">
        <v>55</v>
      </c>
      <c r="D131" s="19" t="s">
        <v>794</v>
      </c>
      <c r="E131" s="5" t="str">
        <f>_xll.AtlasFormulas.AtlasFunctions.AtlasTable("UAT",DataAreaId,"T.InventTable","%ItemName","","","","","","","ItemId",$D131)</f>
        <v/>
      </c>
      <c r="F131" s="18" t="str">
        <f>_xll.AtlasFormulas.AtlasFunctions.AtlasTable("UAT","UNI","T.InventTable","%ItemName","","","","","","","ItemId",$D131)</f>
        <v/>
      </c>
      <c r="G131" s="19" t="s">
        <v>56</v>
      </c>
      <c r="H131" s="5"/>
      <c r="I131" s="5"/>
      <c r="J131" s="19">
        <v>495030</v>
      </c>
      <c r="K131" s="18" t="str">
        <f>_xll.AtlasFormulas.AtlasFunctions.AtlasTable("UAT",DataAreaId,"T.LedgerTable","%AccountName","","","","","","","AccountNum",$J131)</f>
        <v>Inventory change - finished goods</v>
      </c>
      <c r="L131" s="5"/>
      <c r="M131" s="5"/>
      <c r="N131" s="5" t="str">
        <f>_xll.AtlasFormulas.AtlasFunctions.AtlasTable("UAT",DataAreaId,"T.LedgerTable","%BlockedInJournal","","","","","","","AccountNum",$J131)</f>
        <v>No</v>
      </c>
    </row>
    <row r="132" spans="1:14">
      <c r="A132" s="5" t="s">
        <v>609</v>
      </c>
      <c r="B132" s="19" t="s">
        <v>826</v>
      </c>
      <c r="C132" s="19" t="s">
        <v>55</v>
      </c>
      <c r="D132" s="19" t="s">
        <v>795</v>
      </c>
      <c r="E132" s="5" t="str">
        <f>_xll.AtlasFormulas.AtlasFunctions.AtlasTable("UAT",DataAreaId,"T.InventTable","%ItemName","","","","","","","ItemId",$D132)</f>
        <v/>
      </c>
      <c r="F132" s="18" t="str">
        <f>_xll.AtlasFormulas.AtlasFunctions.AtlasTable("UAT","UNI","T.InventTable","%ItemName","","","","","","","ItemId",$D132)</f>
        <v/>
      </c>
      <c r="G132" s="19" t="s">
        <v>56</v>
      </c>
      <c r="H132" s="5"/>
      <c r="I132" s="5"/>
      <c r="J132" s="19">
        <v>459000</v>
      </c>
      <c r="K132" s="18" t="str">
        <f>_xll.AtlasFormulas.AtlasFunctions.AtlasTable("UAT",DataAreaId,"T.LedgerTable","%AccountName","","","","","","","AccountNum",$J132)</f>
        <v>Other</v>
      </c>
      <c r="L132" s="5"/>
      <c r="M132" s="5"/>
      <c r="N132" s="5" t="str">
        <f>_xll.AtlasFormulas.AtlasFunctions.AtlasTable("UAT",DataAreaId,"T.LedgerTable","%BlockedInJournal","","","","","","","AccountNum",$J132)</f>
        <v>No</v>
      </c>
    </row>
    <row r="133" spans="1:14">
      <c r="A133" s="5" t="s">
        <v>609</v>
      </c>
      <c r="B133" s="19" t="s">
        <v>826</v>
      </c>
      <c r="C133" s="19" t="s">
        <v>55</v>
      </c>
      <c r="D133" s="19" t="s">
        <v>796</v>
      </c>
      <c r="E133" s="5" t="str">
        <f>_xll.AtlasFormulas.AtlasFunctions.AtlasTable("UAT",DataAreaId,"T.InventTable","%ItemName","","","","","","","ItemId",$D133)</f>
        <v/>
      </c>
      <c r="F133" s="18" t="str">
        <f>_xll.AtlasFormulas.AtlasFunctions.AtlasTable("UAT","UNI","T.InventTable","%ItemName","","","","","","","ItemId",$D133)</f>
        <v/>
      </c>
      <c r="G133" s="19" t="s">
        <v>56</v>
      </c>
      <c r="H133" s="5"/>
      <c r="I133" s="5"/>
      <c r="J133" s="19">
        <v>459000</v>
      </c>
      <c r="K133" s="18" t="str">
        <f>_xll.AtlasFormulas.AtlasFunctions.AtlasTable("UAT",DataAreaId,"T.LedgerTable","%AccountName","","","","","","","AccountNum",$J133)</f>
        <v>Other</v>
      </c>
      <c r="L133" s="5"/>
      <c r="M133" s="5"/>
      <c r="N133" s="5" t="str">
        <f>_xll.AtlasFormulas.AtlasFunctions.AtlasTable("UAT",DataAreaId,"T.LedgerTable","%BlockedInJournal","","","","","","","AccountNum",$J133)</f>
        <v>No</v>
      </c>
    </row>
    <row r="134" spans="1:14">
      <c r="A134" s="5" t="s">
        <v>609</v>
      </c>
      <c r="B134" s="19" t="s">
        <v>108</v>
      </c>
      <c r="C134" s="19" t="s">
        <v>55</v>
      </c>
      <c r="D134" s="19" t="s">
        <v>792</v>
      </c>
      <c r="E134" s="5" t="str">
        <f>_xll.AtlasFormulas.AtlasFunctions.AtlasTable("UAT",DataAreaId,"T.InventTable","%ItemName","","","","","","","ItemId",$D134)</f>
        <v/>
      </c>
      <c r="F134" s="18" t="str">
        <f>_xll.AtlasFormulas.AtlasFunctions.AtlasTable("UAT","UNI","T.InventTable","%ItemName","","","","","","","ItemId",$D134)</f>
        <v/>
      </c>
      <c r="G134" s="19" t="s">
        <v>55</v>
      </c>
      <c r="H134" s="5"/>
      <c r="I134" s="5"/>
      <c r="J134" s="19">
        <v>410025</v>
      </c>
      <c r="K134" s="18" t="str">
        <f>_xll.AtlasFormulas.AtlasFunctions.AtlasTable("UAT",DataAreaId,"T.LedgerTable","%AccountName","","","","","","","AccountNum",$J134)</f>
        <v>Warehouse Transfers to AX Location</v>
      </c>
      <c r="L134" s="5"/>
      <c r="M134" s="5"/>
      <c r="N134" s="5" t="str">
        <f>_xll.AtlasFormulas.AtlasFunctions.AtlasTable("UAT",DataAreaId,"T.LedgerTable","%BlockedInJournal","","","","","","","AccountNum",$J134)</f>
        <v>No</v>
      </c>
    </row>
    <row r="135" spans="1:14">
      <c r="A135" s="5" t="s">
        <v>609</v>
      </c>
      <c r="B135" s="19" t="s">
        <v>108</v>
      </c>
      <c r="C135" s="19" t="s">
        <v>55</v>
      </c>
      <c r="D135" s="19" t="s">
        <v>792</v>
      </c>
      <c r="E135" s="5" t="str">
        <f>_xll.AtlasFormulas.AtlasFunctions.AtlasTable("UAT",DataAreaId,"T.InventTable","%ItemName","","","","","","","ItemId",$D135)</f>
        <v/>
      </c>
      <c r="F135" s="18" t="str">
        <f>_xll.AtlasFormulas.AtlasFunctions.AtlasTable("UAT","UNI","T.InventTable","%ItemName","","","","","","","ItemId",$D135)</f>
        <v/>
      </c>
      <c r="G135" s="19" t="s">
        <v>55</v>
      </c>
      <c r="H135" s="5"/>
      <c r="I135" s="5"/>
      <c r="J135" s="19">
        <v>410010</v>
      </c>
      <c r="K135" s="18" t="str">
        <f>_xll.AtlasFormulas.AtlasFunctions.AtlasTable("UAT",DataAreaId,"T.LedgerTable","%AccountName","","","","","","","AccountNum",$J135)</f>
        <v>Warehouse transfers - out</v>
      </c>
      <c r="L135" s="5"/>
      <c r="M135" s="5"/>
      <c r="N135" s="5" t="str">
        <f>_xll.AtlasFormulas.AtlasFunctions.AtlasTable("UAT",DataAreaId,"T.LedgerTable","%BlockedInJournal","","","","","","","AccountNum",$J135)</f>
        <v>No</v>
      </c>
    </row>
    <row r="136" spans="1:14">
      <c r="A136" s="5" t="s">
        <v>609</v>
      </c>
      <c r="B136" s="19" t="s">
        <v>108</v>
      </c>
      <c r="C136" s="19" t="s">
        <v>55</v>
      </c>
      <c r="D136" s="19" t="s">
        <v>792</v>
      </c>
      <c r="E136" s="5" t="str">
        <f>_xll.AtlasFormulas.AtlasFunctions.AtlasTable("UAT",DataAreaId,"T.InventTable","%ItemName","","","","","","","ItemId",$D136)</f>
        <v/>
      </c>
      <c r="F136" s="18" t="str">
        <f>_xll.AtlasFormulas.AtlasFunctions.AtlasTable("UAT","UNI","T.InventTable","%ItemName","","","","","","","ItemId",$D136)</f>
        <v/>
      </c>
      <c r="G136" s="19" t="s">
        <v>56</v>
      </c>
      <c r="H136" s="5"/>
      <c r="I136" s="5"/>
      <c r="J136" s="19">
        <v>401000</v>
      </c>
      <c r="K136" s="18" t="str">
        <f>_xll.AtlasFormulas.AtlasFunctions.AtlasTable("UAT",DataAreaId,"T.LedgerTable","%AccountName","","","","","","","AccountNum",$J136)</f>
        <v>Gross sales</v>
      </c>
      <c r="L136" s="5"/>
      <c r="M136" s="5"/>
      <c r="N136" s="5" t="str">
        <f>_xll.AtlasFormulas.AtlasFunctions.AtlasTable("UAT",DataAreaId,"T.LedgerTable","%BlockedInJournal","","","","","","","AccountNum",$J136)</f>
        <v>No</v>
      </c>
    </row>
    <row r="137" spans="1:14">
      <c r="A137" s="5" t="s">
        <v>609</v>
      </c>
      <c r="B137" s="19" t="s">
        <v>108</v>
      </c>
      <c r="C137" s="19" t="s">
        <v>55</v>
      </c>
      <c r="D137" s="19" t="s">
        <v>793</v>
      </c>
      <c r="E137" s="5" t="str">
        <f>_xll.AtlasFormulas.AtlasFunctions.AtlasTable("UAT",DataAreaId,"T.InventTable","%ItemName","","","","","","","ItemId",$D137)</f>
        <v/>
      </c>
      <c r="F137" s="18" t="str">
        <f>_xll.AtlasFormulas.AtlasFunctions.AtlasTable("UAT","UNI","T.InventTable","%ItemName","","","","","","","ItemId",$D137)</f>
        <v/>
      </c>
      <c r="G137" s="19" t="s">
        <v>55</v>
      </c>
      <c r="H137" s="5"/>
      <c r="I137" s="5"/>
      <c r="J137" s="19">
        <v>410025</v>
      </c>
      <c r="K137" s="18" t="str">
        <f>_xll.AtlasFormulas.AtlasFunctions.AtlasTable("UAT",DataAreaId,"T.LedgerTable","%AccountName","","","","","","","AccountNum",$J137)</f>
        <v>Warehouse Transfers to AX Location</v>
      </c>
      <c r="L137" s="5"/>
      <c r="M137" s="5"/>
      <c r="N137" s="5" t="str">
        <f>_xll.AtlasFormulas.AtlasFunctions.AtlasTable("UAT",DataAreaId,"T.LedgerTable","%BlockedInJournal","","","","","","","AccountNum",$J137)</f>
        <v>No</v>
      </c>
    </row>
    <row r="138" spans="1:14">
      <c r="A138" s="5" t="s">
        <v>609</v>
      </c>
      <c r="B138" s="19" t="s">
        <v>108</v>
      </c>
      <c r="C138" s="19" t="s">
        <v>55</v>
      </c>
      <c r="D138" s="19" t="s">
        <v>793</v>
      </c>
      <c r="E138" s="5" t="str">
        <f>_xll.AtlasFormulas.AtlasFunctions.AtlasTable("UAT",DataAreaId,"T.InventTable","%ItemName","","","","","","","ItemId",$D138)</f>
        <v/>
      </c>
      <c r="F138" s="18" t="str">
        <f>_xll.AtlasFormulas.AtlasFunctions.AtlasTable("UAT","UNI","T.InventTable","%ItemName","","","","","","","ItemId",$D138)</f>
        <v/>
      </c>
      <c r="G138" s="19" t="s">
        <v>55</v>
      </c>
      <c r="H138" s="5"/>
      <c r="I138" s="5"/>
      <c r="J138" s="19">
        <v>410010</v>
      </c>
      <c r="K138" s="18" t="str">
        <f>_xll.AtlasFormulas.AtlasFunctions.AtlasTable("UAT",DataAreaId,"T.LedgerTable","%AccountName","","","","","","","AccountNum",$J138)</f>
        <v>Warehouse transfers - out</v>
      </c>
      <c r="L138" s="5"/>
      <c r="M138" s="5"/>
      <c r="N138" s="5" t="str">
        <f>_xll.AtlasFormulas.AtlasFunctions.AtlasTable("UAT",DataAreaId,"T.LedgerTable","%BlockedInJournal","","","","","","","AccountNum",$J138)</f>
        <v>No</v>
      </c>
    </row>
    <row r="139" spans="1:14">
      <c r="A139" s="5" t="s">
        <v>609</v>
      </c>
      <c r="B139" s="19" t="s">
        <v>108</v>
      </c>
      <c r="C139" s="19" t="s">
        <v>55</v>
      </c>
      <c r="D139" s="19" t="s">
        <v>793</v>
      </c>
      <c r="E139" s="5" t="str">
        <f>_xll.AtlasFormulas.AtlasFunctions.AtlasTable("UAT",DataAreaId,"T.InventTable","%ItemName","","","","","","","ItemId",$D139)</f>
        <v/>
      </c>
      <c r="F139" s="18" t="str">
        <f>_xll.AtlasFormulas.AtlasFunctions.AtlasTable("UAT","UNI","T.InventTable","%ItemName","","","","","","","ItemId",$D139)</f>
        <v/>
      </c>
      <c r="G139" s="19" t="s">
        <v>56</v>
      </c>
      <c r="H139" s="5"/>
      <c r="I139" s="5"/>
      <c r="J139" s="19">
        <v>401000</v>
      </c>
      <c r="K139" s="18" t="str">
        <f>_xll.AtlasFormulas.AtlasFunctions.AtlasTable("UAT",DataAreaId,"T.LedgerTable","%AccountName","","","","","","","AccountNum",$J139)</f>
        <v>Gross sales</v>
      </c>
      <c r="L139" s="5"/>
      <c r="M139" s="5"/>
      <c r="N139" s="5" t="str">
        <f>_xll.AtlasFormulas.AtlasFunctions.AtlasTable("UAT",DataAreaId,"T.LedgerTable","%BlockedInJournal","","","","","","","AccountNum",$J139)</f>
        <v>No</v>
      </c>
    </row>
    <row r="140" spans="1:14">
      <c r="A140" s="5" t="s">
        <v>609</v>
      </c>
      <c r="B140" s="19" t="s">
        <v>108</v>
      </c>
      <c r="C140" s="19" t="s">
        <v>55</v>
      </c>
      <c r="D140" s="19" t="s">
        <v>794</v>
      </c>
      <c r="E140" s="5" t="str">
        <f>_xll.AtlasFormulas.AtlasFunctions.AtlasTable("UAT",DataAreaId,"T.InventTable","%ItemName","","","","","","","ItemId",$D140)</f>
        <v/>
      </c>
      <c r="F140" s="18" t="str">
        <f>_xll.AtlasFormulas.AtlasFunctions.AtlasTable("UAT","UNI","T.InventTable","%ItemName","","","","","","","ItemId",$D140)</f>
        <v/>
      </c>
      <c r="G140" s="19" t="s">
        <v>55</v>
      </c>
      <c r="H140" s="5"/>
      <c r="I140" s="5"/>
      <c r="J140" s="19">
        <v>410025</v>
      </c>
      <c r="K140" s="18" t="str">
        <f>_xll.AtlasFormulas.AtlasFunctions.AtlasTable("UAT",DataAreaId,"T.LedgerTable","%AccountName","","","","","","","AccountNum",$J140)</f>
        <v>Warehouse Transfers to AX Location</v>
      </c>
      <c r="L140" s="5"/>
      <c r="M140" s="5"/>
      <c r="N140" s="5" t="str">
        <f>_xll.AtlasFormulas.AtlasFunctions.AtlasTable("UAT",DataAreaId,"T.LedgerTable","%BlockedInJournal","","","","","","","AccountNum",$J140)</f>
        <v>No</v>
      </c>
    </row>
    <row r="141" spans="1:14">
      <c r="A141" s="5" t="s">
        <v>609</v>
      </c>
      <c r="B141" s="19" t="s">
        <v>108</v>
      </c>
      <c r="C141" s="19" t="s">
        <v>55</v>
      </c>
      <c r="D141" s="19" t="s">
        <v>794</v>
      </c>
      <c r="E141" s="5" t="str">
        <f>_xll.AtlasFormulas.AtlasFunctions.AtlasTable("UAT",DataAreaId,"T.InventTable","%ItemName","","","","","","","ItemId",$D141)</f>
        <v/>
      </c>
      <c r="F141" s="18" t="str">
        <f>_xll.AtlasFormulas.AtlasFunctions.AtlasTable("UAT","UNI","T.InventTable","%ItemName","","","","","","","ItemId",$D141)</f>
        <v/>
      </c>
      <c r="G141" s="19" t="s">
        <v>55</v>
      </c>
      <c r="H141" s="5"/>
      <c r="I141" s="5"/>
      <c r="J141" s="19">
        <v>410010</v>
      </c>
      <c r="K141" s="18" t="str">
        <f>_xll.AtlasFormulas.AtlasFunctions.AtlasTable("UAT",DataAreaId,"T.LedgerTable","%AccountName","","","","","","","AccountNum",$J141)</f>
        <v>Warehouse transfers - out</v>
      </c>
      <c r="L141" s="5"/>
      <c r="M141" s="5"/>
      <c r="N141" s="5" t="str">
        <f>_xll.AtlasFormulas.AtlasFunctions.AtlasTable("UAT",DataAreaId,"T.LedgerTable","%BlockedInJournal","","","","","","","AccountNum",$J141)</f>
        <v>No</v>
      </c>
    </row>
    <row r="142" spans="1:14">
      <c r="A142" s="5" t="s">
        <v>609</v>
      </c>
      <c r="B142" s="19" t="s">
        <v>108</v>
      </c>
      <c r="C142" s="19" t="s">
        <v>55</v>
      </c>
      <c r="D142" s="19" t="s">
        <v>794</v>
      </c>
      <c r="E142" s="5" t="str">
        <f>_xll.AtlasFormulas.AtlasFunctions.AtlasTable("UAT",DataAreaId,"T.InventTable","%ItemName","","","","","","","ItemId",$D142)</f>
        <v/>
      </c>
      <c r="F142" s="18" t="str">
        <f>_xll.AtlasFormulas.AtlasFunctions.AtlasTable("UAT","UNI","T.InventTable","%ItemName","","","","","","","ItemId",$D142)</f>
        <v/>
      </c>
      <c r="G142" s="19" t="s">
        <v>56</v>
      </c>
      <c r="H142" s="5"/>
      <c r="I142" s="5"/>
      <c r="J142" s="19">
        <v>401000</v>
      </c>
      <c r="K142" s="18" t="str">
        <f>_xll.AtlasFormulas.AtlasFunctions.AtlasTable("UAT",DataAreaId,"T.LedgerTable","%AccountName","","","","","","","AccountNum",$J142)</f>
        <v>Gross sales</v>
      </c>
      <c r="L142" s="5"/>
      <c r="M142" s="5"/>
      <c r="N142" s="5" t="str">
        <f>_xll.AtlasFormulas.AtlasFunctions.AtlasTable("UAT",DataAreaId,"T.LedgerTable","%BlockedInJournal","","","","","","","AccountNum",$J142)</f>
        <v>No</v>
      </c>
    </row>
    <row r="143" spans="1:14">
      <c r="A143" s="5" t="s">
        <v>609</v>
      </c>
      <c r="B143" s="19" t="s">
        <v>108</v>
      </c>
      <c r="C143" s="19" t="s">
        <v>55</v>
      </c>
      <c r="D143" s="19" t="s">
        <v>795</v>
      </c>
      <c r="E143" s="5" t="str">
        <f>_xll.AtlasFormulas.AtlasFunctions.AtlasTable("UAT",DataAreaId,"T.InventTable","%ItemName","","","","","","","ItemId",$D143)</f>
        <v/>
      </c>
      <c r="F143" s="18" t="str">
        <f>_xll.AtlasFormulas.AtlasFunctions.AtlasTable("UAT","UNI","T.InventTable","%ItemName","","","","","","","ItemId",$D143)</f>
        <v/>
      </c>
      <c r="G143" s="19" t="s">
        <v>55</v>
      </c>
      <c r="H143" s="5"/>
      <c r="I143" s="5"/>
      <c r="J143" s="19">
        <v>671012</v>
      </c>
      <c r="K143" s="18" t="str">
        <f>_xll.AtlasFormulas.AtlasFunctions.AtlasTable("UAT",DataAreaId,"T.LedgerTable","%AccountName","","","","","","","AccountNum",$J143)</f>
        <v>Intra-Company Charges - out</v>
      </c>
      <c r="L143" s="5"/>
      <c r="M143" s="5"/>
      <c r="N143" s="5" t="str">
        <f>_xll.AtlasFormulas.AtlasFunctions.AtlasTable("UAT",DataAreaId,"T.LedgerTable","%BlockedInJournal","","","","","","","AccountNum",$J143)</f>
        <v>No</v>
      </c>
    </row>
    <row r="144" spans="1:14">
      <c r="A144" s="5" t="s">
        <v>609</v>
      </c>
      <c r="B144" s="19" t="s">
        <v>108</v>
      </c>
      <c r="C144" s="19" t="s">
        <v>55</v>
      </c>
      <c r="D144" s="19" t="s">
        <v>795</v>
      </c>
      <c r="E144" s="5" t="str">
        <f>_xll.AtlasFormulas.AtlasFunctions.AtlasTable("UAT",DataAreaId,"T.InventTable","%ItemName","","","","","","","ItemId",$D144)</f>
        <v/>
      </c>
      <c r="F144" s="18" t="str">
        <f>_xll.AtlasFormulas.AtlasFunctions.AtlasTable("UAT","UNI","T.InventTable","%ItemName","","","","","","","ItemId",$D144)</f>
        <v/>
      </c>
      <c r="G144" s="19" t="s">
        <v>55</v>
      </c>
      <c r="H144" s="5"/>
      <c r="I144" s="5"/>
      <c r="J144" s="19">
        <v>671012</v>
      </c>
      <c r="K144" s="18" t="str">
        <f>_xll.AtlasFormulas.AtlasFunctions.AtlasTable("UAT",DataAreaId,"T.LedgerTable","%AccountName","","","","","","","AccountNum",$J144)</f>
        <v>Intra-Company Charges - out</v>
      </c>
      <c r="L144" s="5"/>
      <c r="M144" s="5"/>
      <c r="N144" s="5" t="str">
        <f>_xll.AtlasFormulas.AtlasFunctions.AtlasTable("UAT",DataAreaId,"T.LedgerTable","%BlockedInJournal","","","","","","","AccountNum",$J144)</f>
        <v>No</v>
      </c>
    </row>
    <row r="145" spans="1:14">
      <c r="A145" s="5" t="s">
        <v>609</v>
      </c>
      <c r="B145" s="19" t="s">
        <v>108</v>
      </c>
      <c r="C145" s="19" t="s">
        <v>55</v>
      </c>
      <c r="D145" s="19" t="s">
        <v>795</v>
      </c>
      <c r="E145" s="5" t="str">
        <f>_xll.AtlasFormulas.AtlasFunctions.AtlasTable("UAT",DataAreaId,"T.InventTable","%ItemName","","","","","","","ItemId",$D145)</f>
        <v/>
      </c>
      <c r="F145" s="18" t="str">
        <f>_xll.AtlasFormulas.AtlasFunctions.AtlasTable("UAT","UNI","T.InventTable","%ItemName","","","","","","","ItemId",$D145)</f>
        <v/>
      </c>
      <c r="G145" s="19" t="s">
        <v>56</v>
      </c>
      <c r="H145" s="5"/>
      <c r="I145" s="5"/>
      <c r="J145" s="19">
        <v>403000</v>
      </c>
      <c r="K145" s="18" t="str">
        <f>_xll.AtlasFormulas.AtlasFunctions.AtlasTable("UAT",DataAreaId,"T.LedgerTable","%AccountName","","","","","","","AccountNum",$J145)</f>
        <v>Non-product revenues</v>
      </c>
      <c r="L145" s="5"/>
      <c r="M145" s="5"/>
      <c r="N145" s="5" t="str">
        <f>_xll.AtlasFormulas.AtlasFunctions.AtlasTable("UAT",DataAreaId,"T.LedgerTable","%BlockedInJournal","","","","","","","AccountNum",$J145)</f>
        <v>No</v>
      </c>
    </row>
    <row r="146" spans="1:14">
      <c r="A146" s="5" t="s">
        <v>609</v>
      </c>
      <c r="B146" s="19" t="s">
        <v>108</v>
      </c>
      <c r="C146" s="19" t="s">
        <v>55</v>
      </c>
      <c r="D146" s="19" t="s">
        <v>796</v>
      </c>
      <c r="E146" s="5" t="str">
        <f>_xll.AtlasFormulas.AtlasFunctions.AtlasTable("UAT",DataAreaId,"T.InventTable","%ItemName","","","","","","","ItemId",$D146)</f>
        <v/>
      </c>
      <c r="F146" s="18" t="str">
        <f>_xll.AtlasFormulas.AtlasFunctions.AtlasTable("UAT","UNI","T.InventTable","%ItemName","","","","","","","ItemId",$D146)</f>
        <v/>
      </c>
      <c r="G146" s="19" t="s">
        <v>55</v>
      </c>
      <c r="H146" s="5"/>
      <c r="I146" s="5"/>
      <c r="J146" s="19">
        <v>671012</v>
      </c>
      <c r="K146" s="18" t="str">
        <f>_xll.AtlasFormulas.AtlasFunctions.AtlasTable("UAT",DataAreaId,"T.LedgerTable","%AccountName","","","","","","","AccountNum",$J146)</f>
        <v>Intra-Company Charges - out</v>
      </c>
      <c r="L146" s="5"/>
      <c r="M146" s="5"/>
      <c r="N146" s="5" t="str">
        <f>_xll.AtlasFormulas.AtlasFunctions.AtlasTable("UAT",DataAreaId,"T.LedgerTable","%BlockedInJournal","","","","","","","AccountNum",$J146)</f>
        <v>No</v>
      </c>
    </row>
    <row r="147" spans="1:14">
      <c r="A147" s="5" t="s">
        <v>609</v>
      </c>
      <c r="B147" s="19" t="s">
        <v>108</v>
      </c>
      <c r="C147" s="19" t="s">
        <v>55</v>
      </c>
      <c r="D147" s="19" t="s">
        <v>796</v>
      </c>
      <c r="E147" s="5" t="str">
        <f>_xll.AtlasFormulas.AtlasFunctions.AtlasTable("UAT",DataAreaId,"T.InventTable","%ItemName","","","","","","","ItemId",$D147)</f>
        <v/>
      </c>
      <c r="F147" s="18" t="str">
        <f>_xll.AtlasFormulas.AtlasFunctions.AtlasTable("UAT","UNI","T.InventTable","%ItemName","","","","","","","ItemId",$D147)</f>
        <v/>
      </c>
      <c r="G147" s="19" t="s">
        <v>55</v>
      </c>
      <c r="H147" s="5"/>
      <c r="I147" s="5"/>
      <c r="J147" s="19">
        <v>671012</v>
      </c>
      <c r="K147" s="18" t="str">
        <f>_xll.AtlasFormulas.AtlasFunctions.AtlasTable("UAT",DataAreaId,"T.LedgerTable","%AccountName","","","","","","","AccountNum",$J147)</f>
        <v>Intra-Company Charges - out</v>
      </c>
      <c r="L147" s="5"/>
      <c r="M147" s="5"/>
      <c r="N147" s="5" t="str">
        <f>_xll.AtlasFormulas.AtlasFunctions.AtlasTable("UAT",DataAreaId,"T.LedgerTable","%BlockedInJournal","","","","","","","AccountNum",$J147)</f>
        <v>No</v>
      </c>
    </row>
    <row r="148" spans="1:14">
      <c r="A148" s="5" t="s">
        <v>609</v>
      </c>
      <c r="B148" s="19" t="s">
        <v>108</v>
      </c>
      <c r="C148" s="19" t="s">
        <v>55</v>
      </c>
      <c r="D148" s="19" t="s">
        <v>796</v>
      </c>
      <c r="E148" s="5" t="str">
        <f>_xll.AtlasFormulas.AtlasFunctions.AtlasTable("UAT",DataAreaId,"T.InventTable","%ItemName","","","","","","","ItemId",$D148)</f>
        <v/>
      </c>
      <c r="F148" s="18" t="str">
        <f>_xll.AtlasFormulas.AtlasFunctions.AtlasTable("UAT","UNI","T.InventTable","%ItemName","","","","","","","ItemId",$D148)</f>
        <v/>
      </c>
      <c r="G148" s="19" t="s">
        <v>56</v>
      </c>
      <c r="H148" s="5"/>
      <c r="I148" s="5"/>
      <c r="J148" s="19">
        <v>403000</v>
      </c>
      <c r="K148" s="18" t="str">
        <f>_xll.AtlasFormulas.AtlasFunctions.AtlasTable("UAT",DataAreaId,"T.LedgerTable","%AccountName","","","","","","","AccountNum",$J148)</f>
        <v>Non-product revenues</v>
      </c>
      <c r="L148" s="5"/>
      <c r="M148" s="5"/>
      <c r="N148" s="5" t="str">
        <f>_xll.AtlasFormulas.AtlasFunctions.AtlasTable("UAT",DataAreaId,"T.LedgerTable","%BlockedInJournal","","","","","","","AccountNum",$J148)</f>
        <v>No</v>
      </c>
    </row>
    <row r="149" spans="1:14">
      <c r="A149" s="5" t="s">
        <v>609</v>
      </c>
      <c r="B149" s="19" t="s">
        <v>827</v>
      </c>
      <c r="C149" s="19" t="s">
        <v>56</v>
      </c>
      <c r="D149" s="19"/>
      <c r="E149" s="5" t="str">
        <f>_xll.AtlasFormulas.AtlasFunctions.AtlasTable("UAT",DataAreaId,"T.InventTable","%ItemName","","","","","","","ItemId",$D149)</f>
        <v/>
      </c>
      <c r="F149" s="18" t="str">
        <f>_xll.AtlasFormulas.AtlasFunctions.AtlasTable("UAT","UNI","T.InventTable","%ItemName","","","","","","","ItemId",$D149)</f>
        <v/>
      </c>
      <c r="G149" s="19" t="s">
        <v>56</v>
      </c>
      <c r="H149" s="5"/>
      <c r="I149" s="5"/>
      <c r="J149" s="19">
        <v>401110</v>
      </c>
      <c r="K149" s="18" t="str">
        <f>_xll.AtlasFormulas.AtlasFunctions.AtlasTable("UAT",DataAreaId,"T.LedgerTable","%AccountName","","","","","","","AccountNum",$J149)</f>
        <v>Sales revenue accrual</v>
      </c>
      <c r="L149" s="5"/>
      <c r="M149" s="5"/>
      <c r="N149" s="5" t="str">
        <f>_xll.AtlasFormulas.AtlasFunctions.AtlasTable("UAT",DataAreaId,"T.LedgerTable","%BlockedInJournal","","","","","","","AccountNum",$J149)</f>
        <v>No</v>
      </c>
    </row>
    <row r="150" spans="1:14">
      <c r="A150" s="5" t="s">
        <v>609</v>
      </c>
      <c r="B150" s="19" t="s">
        <v>828</v>
      </c>
      <c r="C150" s="19" t="s">
        <v>56</v>
      </c>
      <c r="D150" s="19"/>
      <c r="E150" s="5" t="str">
        <f>_xll.AtlasFormulas.AtlasFunctions.AtlasTable("UAT",DataAreaId,"T.InventTable","%ItemName","","","","","","","ItemId",$D150)</f>
        <v/>
      </c>
      <c r="F150" s="18" t="str">
        <f>_xll.AtlasFormulas.AtlasFunctions.AtlasTable("UAT","UNI","T.InventTable","%ItemName","","","","","","","ItemId",$D150)</f>
        <v/>
      </c>
      <c r="G150" s="19" t="s">
        <v>56</v>
      </c>
      <c r="H150" s="5"/>
      <c r="I150" s="5"/>
      <c r="J150" s="19">
        <v>120010</v>
      </c>
      <c r="K150" s="18" t="str">
        <f>_xll.AtlasFormulas.AtlasFunctions.AtlasTable("UAT",DataAreaId,"T.LedgerTable","%AccountName","","","","","","","AccountNum",$J150)</f>
        <v>Accounts receivable - Clearing</v>
      </c>
      <c r="L150" s="5"/>
      <c r="M150" s="5"/>
      <c r="N150" s="5" t="str">
        <f>_xll.AtlasFormulas.AtlasFunctions.AtlasTable("UAT",DataAreaId,"T.LedgerTable","%BlockedInJournal","","","","","","","AccountNum",$J150)</f>
        <v>No</v>
      </c>
    </row>
    <row r="151" spans="1:14">
      <c r="A151" s="5"/>
      <c r="B151" s="19" t="s">
        <v>829</v>
      </c>
      <c r="C151" s="19" t="s">
        <v>56</v>
      </c>
      <c r="D151" s="19"/>
      <c r="E151" s="5" t="str">
        <f>_xll.AtlasFormulas.AtlasFunctions.AtlasTable("UAT",DataAreaId,"T.InventTable","%ItemName","","","","","","","ItemId",$D151)</f>
        <v/>
      </c>
      <c r="F151" s="18" t="str">
        <f>_xll.AtlasFormulas.AtlasFunctions.AtlasTable("UAT","UNI","T.InventTable","%ItemName","","","","","","","ItemId",$D151)</f>
        <v/>
      </c>
      <c r="G151" s="19" t="s">
        <v>56</v>
      </c>
      <c r="H151" s="5"/>
      <c r="I151" s="5"/>
      <c r="J151" s="19">
        <v>210010</v>
      </c>
      <c r="K151" s="18" t="str">
        <f>_xll.AtlasFormulas.AtlasFunctions.AtlasTable("UAT",DataAreaId,"T.LedgerTable","%AccountName","","","","","","","AccountNum",$J151)</f>
        <v>Accounts payable - clearing</v>
      </c>
      <c r="L151" s="5"/>
      <c r="M151" s="5"/>
      <c r="N151" s="5" t="str">
        <f>_xll.AtlasFormulas.AtlasFunctions.AtlasTable("UAT",DataAreaId,"T.LedgerTable","%BlockedInJournal","","","","","","","AccountNum",$J151)</f>
        <v>No</v>
      </c>
    </row>
    <row r="152" spans="1:14">
      <c r="A152" s="5"/>
      <c r="B152" s="19" t="s">
        <v>830</v>
      </c>
      <c r="C152" s="19" t="s">
        <v>54</v>
      </c>
      <c r="D152" s="19" t="s">
        <v>798</v>
      </c>
      <c r="E152" s="5" t="str">
        <f>_xll.AtlasFormulas.AtlasFunctions.AtlasTable("UAT",DataAreaId,"T.InventTable","%ItemName","","","","","","","ItemId",$D152)</f>
        <v/>
      </c>
      <c r="F152" s="18" t="str">
        <f>_xll.AtlasFormulas.AtlasFunctions.AtlasTable("UAT","UNI","T.InventTable","%ItemName","","","","","","","ItemId",$D152)</f>
        <v>Adv - cat</v>
      </c>
      <c r="G152" s="19" t="s">
        <v>56</v>
      </c>
      <c r="H152" s="5"/>
      <c r="I152" s="5"/>
      <c r="J152" s="19">
        <v>511000</v>
      </c>
      <c r="K152" s="18" t="str">
        <f>_xll.AtlasFormulas.AtlasFunctions.AtlasTable("UAT",DataAreaId,"T.LedgerTable","%AccountName","","","","","","","AccountNum",$J152)</f>
        <v>Adv - catalogs &amp; price lists</v>
      </c>
      <c r="L152" s="5"/>
      <c r="M152" s="5"/>
      <c r="N152" s="5" t="str">
        <f>_xll.AtlasFormulas.AtlasFunctions.AtlasTable("UAT",DataAreaId,"T.LedgerTable","%BlockedInJournal","","","","","","","AccountNum",$J152)</f>
        <v>No</v>
      </c>
    </row>
    <row r="153" spans="1:14">
      <c r="A153" s="5" t="s">
        <v>110</v>
      </c>
      <c r="B153" s="19" t="s">
        <v>830</v>
      </c>
      <c r="C153" s="19" t="s">
        <v>54</v>
      </c>
      <c r="D153" s="19" t="s">
        <v>799</v>
      </c>
      <c r="E153" s="5" t="str">
        <f>_xll.AtlasFormulas.AtlasFunctions.AtlasTable("UAT",DataAreaId,"T.InventTable","%ItemName","","","","","","","ItemId",$D153)</f>
        <v/>
      </c>
      <c r="F153" s="18" t="str">
        <f>_xll.AtlasFormulas.AtlasFunctions.AtlasTable("UAT","UNI","T.InventTable","%ItemName","","","","","","","ItemId",$D153)</f>
        <v>Adv - lit</v>
      </c>
      <c r="G153" s="19" t="s">
        <v>56</v>
      </c>
      <c r="H153" s="5"/>
      <c r="I153" s="5"/>
      <c r="J153" s="19">
        <v>511200</v>
      </c>
      <c r="K153" s="18" t="str">
        <f>_xll.AtlasFormulas.AtlasFunctions.AtlasTable("UAT",DataAreaId,"T.LedgerTable","%AccountName","","","","","","","AccountNum",$J153)</f>
        <v>Adv - consumer literature</v>
      </c>
      <c r="L153" s="5"/>
      <c r="M153" s="5"/>
      <c r="N153" s="5" t="str">
        <f>_xll.AtlasFormulas.AtlasFunctions.AtlasTable("UAT",DataAreaId,"T.LedgerTable","%BlockedInJournal","","","","","","","AccountNum",$J153)</f>
        <v>No</v>
      </c>
    </row>
    <row r="154" spans="1:14">
      <c r="A154" s="5" t="s">
        <v>110</v>
      </c>
      <c r="B154" s="19" t="s">
        <v>830</v>
      </c>
      <c r="C154" s="19" t="s">
        <v>54</v>
      </c>
      <c r="D154" s="19" t="s">
        <v>800</v>
      </c>
      <c r="E154" s="5" t="str">
        <f>_xll.AtlasFormulas.AtlasFunctions.AtlasTable("UAT",DataAreaId,"T.InventTable","%ItemName","","","","","","","ItemId",$D154)</f>
        <v/>
      </c>
      <c r="F154" s="18" t="str">
        <f>_xll.AtlasFormulas.AtlasFunctions.AtlasTable("UAT","UNI","T.InventTable","%ItemName","","","","","","","ItemId",$D154)</f>
        <v>Adv - sls prom</v>
      </c>
      <c r="G154" s="19" t="s">
        <v>56</v>
      </c>
      <c r="H154" s="5"/>
      <c r="I154" s="5"/>
      <c r="J154" s="19">
        <v>511700</v>
      </c>
      <c r="K154" s="18" t="str">
        <f>_xll.AtlasFormulas.AtlasFunctions.AtlasTable("UAT",DataAreaId,"T.LedgerTable","%AccountName","","","","","","","AccountNum",$J154)</f>
        <v>Adv - sales promotions</v>
      </c>
      <c r="L154" s="5"/>
      <c r="M154" s="5"/>
      <c r="N154" s="5" t="str">
        <f>_xll.AtlasFormulas.AtlasFunctions.AtlasTable("UAT",DataAreaId,"T.LedgerTable","%BlockedInJournal","","","","","","","AccountNum",$J154)</f>
        <v>No</v>
      </c>
    </row>
    <row r="155" spans="1:14">
      <c r="A155" s="5" t="s">
        <v>110</v>
      </c>
      <c r="B155" s="19" t="s">
        <v>830</v>
      </c>
      <c r="C155" s="19" t="s">
        <v>54</v>
      </c>
      <c r="D155" s="19" t="s">
        <v>9</v>
      </c>
      <c r="E155" s="5" t="str">
        <f>_xll.AtlasFormulas.AtlasFunctions.AtlasTable("UAT",DataAreaId,"T.InventTable","%ItemName","","","","","","","ItemId",$D155)</f>
        <v/>
      </c>
      <c r="F155" s="18" t="str">
        <f>_xll.AtlasFormulas.AtlasFunctions.AtlasTable("UAT","UNI","T.InventTable","%ItemName","","","","","","","ItemId",$D155)</f>
        <v>Automobiles</v>
      </c>
      <c r="G155" s="19" t="s">
        <v>56</v>
      </c>
      <c r="H155" s="5"/>
      <c r="I155" s="5"/>
      <c r="J155" s="19">
        <v>172300</v>
      </c>
      <c r="K155" s="18" t="str">
        <f>_xll.AtlasFormulas.AtlasFunctions.AtlasTable("UAT",DataAreaId,"T.LedgerTable","%AccountName","","","","","","","AccountNum",$J155)</f>
        <v>Automobiles</v>
      </c>
      <c r="L155" s="5"/>
      <c r="M155" s="5"/>
      <c r="N155" s="5" t="str">
        <f>_xll.AtlasFormulas.AtlasFunctions.AtlasTable("UAT",DataAreaId,"T.LedgerTable","%BlockedInJournal","","","","","","","AccountNum",$J155)</f>
        <v>No</v>
      </c>
    </row>
    <row r="156" spans="1:14">
      <c r="A156" s="5" t="s">
        <v>110</v>
      </c>
      <c r="B156" s="19" t="s">
        <v>830</v>
      </c>
      <c r="C156" s="19" t="s">
        <v>54</v>
      </c>
      <c r="D156" s="19" t="s">
        <v>801</v>
      </c>
      <c r="E156" s="5" t="str">
        <f>_xll.AtlasFormulas.AtlasFunctions.AtlasTable("UAT",DataAreaId,"T.InventTable","%ItemName","","","","","","","ItemId",$D156)</f>
        <v/>
      </c>
      <c r="F156" s="18" t="str">
        <f>_xll.AtlasFormulas.AtlasFunctions.AtlasTable("UAT","UNI","T.InventTable","%ItemName","","","","","","","ItemId",$D156)</f>
        <v>Comp - hardware</v>
      </c>
      <c r="G156" s="19" t="s">
        <v>56</v>
      </c>
      <c r="H156" s="5"/>
      <c r="I156" s="5"/>
      <c r="J156" s="19">
        <v>581000</v>
      </c>
      <c r="K156" s="18" t="str">
        <f>_xll.AtlasFormulas.AtlasFunctions.AtlasTable("UAT",DataAreaId,"T.LedgerTable","%AccountName","","","","","","","AccountNum",$J156)</f>
        <v>Computers - hardware</v>
      </c>
      <c r="L156" s="5"/>
      <c r="M156" s="5"/>
      <c r="N156" s="5" t="str">
        <f>_xll.AtlasFormulas.AtlasFunctions.AtlasTable("UAT",DataAreaId,"T.LedgerTable","%BlockedInJournal","","","","","","","AccountNum",$J156)</f>
        <v>No</v>
      </c>
    </row>
    <row r="157" spans="1:14">
      <c r="A157" s="5" t="s">
        <v>110</v>
      </c>
      <c r="B157" s="19" t="s">
        <v>830</v>
      </c>
      <c r="C157" s="19" t="s">
        <v>54</v>
      </c>
      <c r="D157" s="19" t="s">
        <v>802</v>
      </c>
      <c r="E157" s="5" t="str">
        <f>_xll.AtlasFormulas.AtlasFunctions.AtlasTable("UAT",DataAreaId,"T.InventTable","%ItemName","","","","","","","ItemId",$D157)</f>
        <v/>
      </c>
      <c r="F157" s="18" t="str">
        <f>_xll.AtlasFormulas.AtlasFunctions.AtlasTable("UAT","UNI","T.InventTable","%ItemName","","","","","","","ItemId",$D157)</f>
        <v>Comp - other</v>
      </c>
      <c r="G157" s="19" t="s">
        <v>56</v>
      </c>
      <c r="H157" s="5"/>
      <c r="I157" s="5"/>
      <c r="J157" s="19">
        <v>589000</v>
      </c>
      <c r="K157" s="18" t="str">
        <f>_xll.AtlasFormulas.AtlasFunctions.AtlasTable("UAT",DataAreaId,"T.LedgerTable","%AccountName","","","","","","","AccountNum",$J157)</f>
        <v>Computers - other</v>
      </c>
      <c r="L157" s="5"/>
      <c r="M157" s="5"/>
      <c r="N157" s="5" t="str">
        <f>_xll.AtlasFormulas.AtlasFunctions.AtlasTable("UAT",DataAreaId,"T.LedgerTable","%BlockedInJournal","","","","","","","AccountNum",$J157)</f>
        <v>No</v>
      </c>
    </row>
    <row r="158" spans="1:14">
      <c r="A158" s="5" t="s">
        <v>110</v>
      </c>
      <c r="B158" s="19" t="s">
        <v>830</v>
      </c>
      <c r="C158" s="19" t="s">
        <v>54</v>
      </c>
      <c r="D158" s="19" t="s">
        <v>803</v>
      </c>
      <c r="E158" s="5" t="str">
        <f>_xll.AtlasFormulas.AtlasFunctions.AtlasTable("UAT",DataAreaId,"T.InventTable","%ItemName","","","","","","","ItemId",$D158)</f>
        <v/>
      </c>
      <c r="F158" s="18" t="str">
        <f>_xll.AtlasFormulas.AtlasFunctions.AtlasTable("UAT","UNI","T.InventTable","%ItemName","","","","","","","ItemId",$D158)</f>
        <v>Comp - software</v>
      </c>
      <c r="G158" s="19" t="s">
        <v>56</v>
      </c>
      <c r="H158" s="5"/>
      <c r="I158" s="5"/>
      <c r="J158" s="19">
        <v>582000</v>
      </c>
      <c r="K158" s="18" t="str">
        <f>_xll.AtlasFormulas.AtlasFunctions.AtlasTable("UAT",DataAreaId,"T.LedgerTable","%AccountName","","","","","","","AccountNum",$J158)</f>
        <v>Computers – Software Subscriptions</v>
      </c>
      <c r="L158" s="5"/>
      <c r="M158" s="5"/>
      <c r="N158" s="5" t="str">
        <f>_xll.AtlasFormulas.AtlasFunctions.AtlasTable("UAT",DataAreaId,"T.LedgerTable","%BlockedInJournal","","","","","","","AccountNum",$J158)</f>
        <v>No</v>
      </c>
    </row>
    <row r="159" spans="1:14">
      <c r="A159" s="5" t="s">
        <v>110</v>
      </c>
      <c r="B159" s="19" t="s">
        <v>830</v>
      </c>
      <c r="C159" s="19" t="s">
        <v>54</v>
      </c>
      <c r="D159" s="19" t="s">
        <v>1632</v>
      </c>
      <c r="E159" s="5" t="str">
        <f>_xll.AtlasFormulas.AtlasFunctions.AtlasTable("UAT",DataAreaId,"T.InventTable","%ItemName","","","","","","","ItemId",$D159)</f>
        <v>Fixed Asset Item</v>
      </c>
      <c r="F159" s="18" t="str">
        <f>_xll.AtlasFormulas.AtlasFunctions.AtlasTable("UAT","UNI","T.InventTable","%ItemName","","","","","","","ItemId",$D159)</f>
        <v>Fixed Asset Item</v>
      </c>
      <c r="G159" s="19" t="s">
        <v>56</v>
      </c>
      <c r="H159" s="5"/>
      <c r="I159" s="5"/>
      <c r="J159" s="19">
        <v>179001</v>
      </c>
      <c r="K159" s="18" t="str">
        <f>_xll.AtlasFormulas.AtlasFunctions.AtlasTable("UAT",DataAreaId,"T.LedgerTable","%AccountName","","","","","","","AccountNum",$J159)</f>
        <v>Capital projects-in-process 2</v>
      </c>
      <c r="L159" s="5"/>
      <c r="M159" s="5"/>
      <c r="N159" s="5" t="str">
        <f>_xll.AtlasFormulas.AtlasFunctions.AtlasTable("UAT",DataAreaId,"T.LedgerTable","%BlockedInJournal","","","","","","","AccountNum",$J159)</f>
        <v>No</v>
      </c>
    </row>
    <row r="160" spans="1:14">
      <c r="A160" s="5" t="s">
        <v>110</v>
      </c>
      <c r="B160" s="19" t="s">
        <v>830</v>
      </c>
      <c r="C160" s="19" t="s">
        <v>54</v>
      </c>
      <c r="D160" s="19" t="s">
        <v>804</v>
      </c>
      <c r="E160" s="5" t="str">
        <f>_xll.AtlasFormulas.AtlasFunctions.AtlasTable("UAT",DataAreaId,"T.InventTable","%ItemName","","","","","","","ItemId",$D160)</f>
        <v/>
      </c>
      <c r="F160" s="18" t="str">
        <f>_xll.AtlasFormulas.AtlasFunctions.AtlasTable("UAT","UNI","T.InventTable","%ItemName","","","","","","","ItemId",$D160)</f>
        <v>Factory Equipment</v>
      </c>
      <c r="G160" s="19" t="s">
        <v>56</v>
      </c>
      <c r="H160" s="5"/>
      <c r="I160" s="5"/>
      <c r="J160" s="19">
        <v>172000</v>
      </c>
      <c r="K160" s="18" t="str">
        <f>_xll.AtlasFormulas.AtlasFunctions.AtlasTable("UAT",DataAreaId,"T.LedgerTable","%AccountName","","","","","","","AccountNum",$J160)</f>
        <v>Factory equipment</v>
      </c>
      <c r="L160" s="5"/>
      <c r="M160" s="5"/>
      <c r="N160" s="5" t="str">
        <f>_xll.AtlasFormulas.AtlasFunctions.AtlasTable("UAT",DataAreaId,"T.LedgerTable","%BlockedInJournal","","","","","","","AccountNum",$J160)</f>
        <v>No</v>
      </c>
    </row>
    <row r="161" spans="1:14">
      <c r="A161" s="5" t="s">
        <v>110</v>
      </c>
      <c r="B161" s="19" t="s">
        <v>830</v>
      </c>
      <c r="C161" s="19" t="s">
        <v>54</v>
      </c>
      <c r="D161" s="19" t="s">
        <v>789</v>
      </c>
      <c r="E161" s="5" t="str">
        <f>_xll.AtlasFormulas.AtlasFunctions.AtlasTable("UAT",DataAreaId,"T.InventTable","%ItemName","","","","","","","ItemId",$D161)</f>
        <v/>
      </c>
      <c r="F161" s="18" t="str">
        <f>_xll.AtlasFormulas.AtlasFunctions.AtlasTable("UAT","UNI","T.InventTable","%ItemName","","","","","","","ItemId",$D161)</f>
        <v>Hand tools - large</v>
      </c>
      <c r="G161" s="19" t="s">
        <v>56</v>
      </c>
      <c r="H161" s="5"/>
      <c r="I161" s="5"/>
      <c r="J161" s="19">
        <v>792000</v>
      </c>
      <c r="K161" s="18" t="str">
        <f>_xll.AtlasFormulas.AtlasFunctions.AtlasTable("UAT",DataAreaId,"T.LedgerTable","%AccountName","","","","","","","AccountNum",$J161)</f>
        <v>Hand tools - large &gt;$500</v>
      </c>
      <c r="L161" s="5"/>
      <c r="M161" s="5"/>
      <c r="N161" s="5" t="str">
        <f>_xll.AtlasFormulas.AtlasFunctions.AtlasTable("UAT",DataAreaId,"T.LedgerTable","%BlockedInJournal","","","","","","","AccountNum",$J161)</f>
        <v>No</v>
      </c>
    </row>
    <row r="162" spans="1:14">
      <c r="A162" s="5" t="s">
        <v>110</v>
      </c>
      <c r="B162" s="19" t="s">
        <v>830</v>
      </c>
      <c r="C162" s="19" t="s">
        <v>54</v>
      </c>
      <c r="D162" s="19" t="s">
        <v>790</v>
      </c>
      <c r="E162" s="5" t="str">
        <f>_xll.AtlasFormulas.AtlasFunctions.AtlasTable("UAT",DataAreaId,"T.InventTable","%ItemName","","","","","","","ItemId",$D162)</f>
        <v/>
      </c>
      <c r="F162" s="18" t="str">
        <f>_xll.AtlasFormulas.AtlasFunctions.AtlasTable("UAT","UNI","T.InventTable","%ItemName","","","","","","","ItemId",$D162)</f>
        <v>Hand tools - small</v>
      </c>
      <c r="G162" s="19" t="s">
        <v>56</v>
      </c>
      <c r="H162" s="5"/>
      <c r="I162" s="5"/>
      <c r="J162" s="19">
        <v>791000</v>
      </c>
      <c r="K162" s="18" t="str">
        <f>_xll.AtlasFormulas.AtlasFunctions.AtlasTable("UAT",DataAreaId,"T.LedgerTable","%AccountName","","","","","","","AccountNum",$J162)</f>
        <v>Hand tools - small &lt;=$500</v>
      </c>
      <c r="L162" s="5"/>
      <c r="M162" s="5"/>
      <c r="N162" s="5" t="str">
        <f>_xll.AtlasFormulas.AtlasFunctions.AtlasTable("UAT",DataAreaId,"T.LedgerTable","%BlockedInJournal","","","","","","","AccountNum",$J162)</f>
        <v>No</v>
      </c>
    </row>
    <row r="163" spans="1:14">
      <c r="A163" s="5" t="s">
        <v>110</v>
      </c>
      <c r="B163" s="19" t="s">
        <v>830</v>
      </c>
      <c r="C163" s="19" t="s">
        <v>54</v>
      </c>
      <c r="D163" s="19" t="s">
        <v>805</v>
      </c>
      <c r="E163" s="5" t="str">
        <f>_xll.AtlasFormulas.AtlasFunctions.AtlasTable("UAT",DataAreaId,"T.InventTable","%ItemName","","","","","","","ItemId",$D163)</f>
        <v/>
      </c>
      <c r="F163" s="18" t="str">
        <f>_xll.AtlasFormulas.AtlasFunctions.AtlasTable("UAT","UNI","T.InventTable","%ItemName","","","","","","","ItemId",$D163)</f>
        <v>Leased Equipment</v>
      </c>
      <c r="G163" s="19" t="s">
        <v>56</v>
      </c>
      <c r="H163" s="5"/>
      <c r="I163" s="5"/>
      <c r="J163" s="19">
        <v>172100</v>
      </c>
      <c r="K163" s="18" t="str">
        <f>_xll.AtlasFormulas.AtlasFunctions.AtlasTable("UAT",DataAreaId,"T.LedgerTable","%AccountName","","","","","","","AccountNum",$J163)</f>
        <v>Leased equipment</v>
      </c>
      <c r="L163" s="5"/>
      <c r="M163" s="5"/>
      <c r="N163" s="5" t="str">
        <f>_xll.AtlasFormulas.AtlasFunctions.AtlasTable("UAT",DataAreaId,"T.LedgerTable","%BlockedInJournal","","","","","","","AccountNum",$J163)</f>
        <v>No</v>
      </c>
    </row>
    <row r="164" spans="1:14">
      <c r="A164" s="5" t="s">
        <v>110</v>
      </c>
      <c r="B164" s="19" t="s">
        <v>830</v>
      </c>
      <c r="C164" s="19" t="s">
        <v>54</v>
      </c>
      <c r="D164" s="19" t="s">
        <v>806</v>
      </c>
      <c r="E164" s="5" t="str">
        <f>_xll.AtlasFormulas.AtlasFunctions.AtlasTable("UAT",DataAreaId,"T.InventTable","%ItemName","","","","","","","ItemId",$D164)</f>
        <v/>
      </c>
      <c r="F164" s="18" t="str">
        <f>_xll.AtlasFormulas.AtlasFunctions.AtlasTable("UAT","UNI","T.InventTable","%ItemName","","","","","","","ItemId",$D164)</f>
        <v>Leasehold Imp</v>
      </c>
      <c r="G164" s="19" t="s">
        <v>56</v>
      </c>
      <c r="H164" s="5"/>
      <c r="I164" s="5"/>
      <c r="J164" s="19">
        <v>171200</v>
      </c>
      <c r="K164" s="18" t="str">
        <f>_xll.AtlasFormulas.AtlasFunctions.AtlasTable("UAT",DataAreaId,"T.LedgerTable","%AccountName","","","","","","","AccountNum",$J164)</f>
        <v>Leasehold improvements</v>
      </c>
      <c r="L164" s="5"/>
      <c r="M164" s="5"/>
      <c r="N164" s="5" t="str">
        <f>_xll.AtlasFormulas.AtlasFunctions.AtlasTable("UAT",DataAreaId,"T.LedgerTable","%BlockedInJournal","","","","","","","AccountNum",$J164)</f>
        <v>No</v>
      </c>
    </row>
    <row r="165" spans="1:14">
      <c r="A165" s="5" t="s">
        <v>110</v>
      </c>
      <c r="B165" s="19" t="s">
        <v>830</v>
      </c>
      <c r="C165" s="19" t="s">
        <v>54</v>
      </c>
      <c r="D165" s="19" t="s">
        <v>807</v>
      </c>
      <c r="E165" s="5" t="str">
        <f>_xll.AtlasFormulas.AtlasFunctions.AtlasTable("UAT",DataAreaId,"T.InventTable","%ItemName","","","","","","","ItemId",$D165)</f>
        <v/>
      </c>
      <c r="F165" s="18" t="str">
        <f>_xll.AtlasFormulas.AtlasFunctions.AtlasTable("UAT","UNI","T.InventTable","%ItemName","","","","","","","ItemId",$D165)</f>
        <v>Office Equipment</v>
      </c>
      <c r="G165" s="19" t="s">
        <v>56</v>
      </c>
      <c r="H165" s="5"/>
      <c r="I165" s="5"/>
      <c r="J165" s="19">
        <v>172400</v>
      </c>
      <c r="K165" s="18" t="str">
        <f>_xll.AtlasFormulas.AtlasFunctions.AtlasTable("UAT",DataAreaId,"T.LedgerTable","%AccountName","","","","","","","AccountNum",$J165)</f>
        <v>Office equipment</v>
      </c>
      <c r="L165" s="5"/>
      <c r="M165" s="5"/>
      <c r="N165" s="5" t="str">
        <f>_xll.AtlasFormulas.AtlasFunctions.AtlasTable("UAT",DataAreaId,"T.LedgerTable","%BlockedInJournal","","","","","","","AccountNum",$J165)</f>
        <v>No</v>
      </c>
    </row>
    <row r="166" spans="1:14">
      <c r="A166" s="5" t="s">
        <v>110</v>
      </c>
      <c r="B166" s="19" t="s">
        <v>830</v>
      </c>
      <c r="C166" s="19" t="s">
        <v>54</v>
      </c>
      <c r="D166" s="19" t="s">
        <v>103</v>
      </c>
      <c r="E166" s="5" t="str">
        <f>_xll.AtlasFormulas.AtlasFunctions.AtlasTable("UAT",DataAreaId,"T.InventTable","%ItemName","","","","","","","ItemId",$D166)</f>
        <v/>
      </c>
      <c r="F166" s="18" t="str">
        <f>_xll.AtlasFormulas.AtlasFunctions.AtlasTable("UAT","UNI","T.InventTable","%ItemName","","","","","","","ItemId",$D166)</f>
        <v>Pallets</v>
      </c>
      <c r="G166" s="19" t="s">
        <v>56</v>
      </c>
      <c r="H166" s="5"/>
      <c r="I166" s="5"/>
      <c r="J166" s="19">
        <v>503000</v>
      </c>
      <c r="K166" s="18" t="str">
        <f>_xll.AtlasFormulas.AtlasFunctions.AtlasTable("UAT",DataAreaId,"T.LedgerTable","%AccountName","","","","","","","AccountNum",$J166)</f>
        <v>Pallets</v>
      </c>
      <c r="L166" s="5"/>
      <c r="M166" s="5"/>
      <c r="N166" s="5" t="str">
        <f>_xll.AtlasFormulas.AtlasFunctions.AtlasTable("UAT",DataAreaId,"T.LedgerTable","%BlockedInJournal","","","","","","","AccountNum",$J166)</f>
        <v>No</v>
      </c>
    </row>
    <row r="167" spans="1:14">
      <c r="A167" s="5" t="s">
        <v>110</v>
      </c>
      <c r="B167" s="19" t="s">
        <v>830</v>
      </c>
      <c r="C167" s="19" t="s">
        <v>54</v>
      </c>
      <c r="D167" s="19" t="s">
        <v>808</v>
      </c>
      <c r="E167" s="5" t="str">
        <f>_xll.AtlasFormulas.AtlasFunctions.AtlasTable("UAT",DataAreaId,"T.InventTable","%ItemName","","","","","","","ItemId",$D167)</f>
        <v/>
      </c>
      <c r="F167" s="18" t="str">
        <f>_xll.AtlasFormulas.AtlasFunctions.AtlasTable("UAT","UNI","T.InventTable","%ItemName","","","","","","","ItemId",$D167)</f>
        <v/>
      </c>
      <c r="G167" s="19" t="s">
        <v>56</v>
      </c>
      <c r="H167" s="5"/>
      <c r="I167" s="5"/>
      <c r="J167" s="19">
        <v>501000</v>
      </c>
      <c r="K167" s="18" t="str">
        <f>_xll.AtlasFormulas.AtlasFunctions.AtlasTable("UAT",DataAreaId,"T.LedgerTable","%AccountName","","","","","","","AccountNum",$J167)</f>
        <v>Staples and stitching wire</v>
      </c>
      <c r="L167" s="5"/>
      <c r="M167" s="5"/>
      <c r="N167" s="5" t="str">
        <f>_xll.AtlasFormulas.AtlasFunctions.AtlasTable("UAT",DataAreaId,"T.LedgerTable","%BlockedInJournal","","","","","","","AccountNum",$J167)</f>
        <v>No</v>
      </c>
    </row>
    <row r="168" spans="1:14">
      <c r="A168" s="5" t="s">
        <v>110</v>
      </c>
      <c r="B168" s="19" t="s">
        <v>830</v>
      </c>
      <c r="C168" s="19" t="s">
        <v>54</v>
      </c>
      <c r="D168" s="19" t="s">
        <v>104</v>
      </c>
      <c r="E168" s="5" t="str">
        <f>_xll.AtlasFormulas.AtlasFunctions.AtlasTable("UAT",DataAreaId,"T.InventTable","%ItemName","","","","","","","ItemId",$D168)</f>
        <v/>
      </c>
      <c r="F168" s="18" t="str">
        <f>_xll.AtlasFormulas.AtlasFunctions.AtlasTable("UAT","UNI","T.InventTable","%ItemName","","","","","","","ItemId",$D168)</f>
        <v>Strapping &amp; clips</v>
      </c>
      <c r="G168" s="19" t="s">
        <v>56</v>
      </c>
      <c r="H168" s="5"/>
      <c r="I168" s="5"/>
      <c r="J168" s="19">
        <v>507000</v>
      </c>
      <c r="K168" s="18" t="str">
        <f>_xll.AtlasFormulas.AtlasFunctions.AtlasTable("UAT",DataAreaId,"T.LedgerTable","%AccountName","","","","","","","AccountNum",$J168)</f>
        <v>Strapping &amp; clips</v>
      </c>
      <c r="L168" s="5"/>
      <c r="M168" s="5"/>
      <c r="N168" s="5" t="str">
        <f>_xll.AtlasFormulas.AtlasFunctions.AtlasTable("UAT",DataAreaId,"T.LedgerTable","%BlockedInJournal","","","","","","","AccountNum",$J168)</f>
        <v>No</v>
      </c>
    </row>
    <row r="169" spans="1:14">
      <c r="A169" s="5" t="s">
        <v>110</v>
      </c>
      <c r="B169" s="19" t="s">
        <v>830</v>
      </c>
      <c r="C169" s="19" t="s">
        <v>54</v>
      </c>
      <c r="D169" s="19" t="s">
        <v>809</v>
      </c>
      <c r="E169" s="5" t="str">
        <f>_xll.AtlasFormulas.AtlasFunctions.AtlasTable("UAT",DataAreaId,"T.InventTable","%ItemName","","","","","","","ItemId",$D169)</f>
        <v/>
      </c>
      <c r="F169" s="18" t="str">
        <f>_xll.AtlasFormulas.AtlasFunctions.AtlasTable("UAT","UNI","T.InventTable","%ItemName","","","","","","","ItemId",$D169)</f>
        <v>Truck-Forklifts</v>
      </c>
      <c r="G169" s="19" t="s">
        <v>56</v>
      </c>
      <c r="H169" s="5"/>
      <c r="I169" s="5"/>
      <c r="J169" s="19">
        <v>172200</v>
      </c>
      <c r="K169" s="18" t="str">
        <f>_xll.AtlasFormulas.AtlasFunctions.AtlasTable("UAT",DataAreaId,"T.LedgerTable","%AccountName","","","","","","","AccountNum",$J169)</f>
        <v>Trucks, trailers, forklifts</v>
      </c>
      <c r="L169" s="5"/>
      <c r="M169" s="5"/>
      <c r="N169" s="5" t="str">
        <f>_xll.AtlasFormulas.AtlasFunctions.AtlasTable("UAT",DataAreaId,"T.LedgerTable","%BlockedInJournal","","","","","","","AccountNum",$J169)</f>
        <v>No</v>
      </c>
    </row>
    <row r="170" spans="1:14">
      <c r="A170" s="5" t="s">
        <v>110</v>
      </c>
      <c r="B170" s="19" t="s">
        <v>830</v>
      </c>
      <c r="C170" s="19" t="s">
        <v>55</v>
      </c>
      <c r="D170" s="19" t="s">
        <v>796</v>
      </c>
      <c r="E170" s="5" t="str">
        <f>_xll.AtlasFormulas.AtlasFunctions.AtlasTable("UAT",DataAreaId,"T.InventTable","%ItemName","","","","","","","ItemId",$D170)</f>
        <v/>
      </c>
      <c r="F170" s="18" t="str">
        <f>_xll.AtlasFormulas.AtlasFunctions.AtlasTable("UAT","UNI","T.InventTable","%ItemName","","","","","","","ItemId",$D170)</f>
        <v/>
      </c>
      <c r="G170" s="19" t="s">
        <v>56</v>
      </c>
      <c r="H170" s="5"/>
      <c r="I170" s="5"/>
      <c r="J170" s="19">
        <v>779000</v>
      </c>
      <c r="K170" s="18" t="str">
        <f>_xll.AtlasFormulas.AtlasFunctions.AtlasTable("UAT",DataAreaId,"T.LedgerTable","%AccountName","","","","","","","AccountNum",$J170)</f>
        <v>Supplies - other</v>
      </c>
      <c r="L170" s="5"/>
      <c r="M170" s="5"/>
      <c r="N170" s="5" t="str">
        <f>_xll.AtlasFormulas.AtlasFunctions.AtlasTable("UAT",DataAreaId,"T.LedgerTable","%BlockedInJournal","","","","","","","AccountNum",$J170)</f>
        <v>No</v>
      </c>
    </row>
    <row r="171" spans="1:14">
      <c r="A171" s="5" t="s">
        <v>110</v>
      </c>
      <c r="B171" s="19" t="s">
        <v>831</v>
      </c>
      <c r="C171" s="19" t="s">
        <v>56</v>
      </c>
      <c r="D171" s="19"/>
      <c r="E171" s="5" t="str">
        <f>_xll.AtlasFormulas.AtlasFunctions.AtlasTable("UAT",DataAreaId,"T.InventTable","%ItemName","","","","","","","ItemId",$D171)</f>
        <v/>
      </c>
      <c r="F171" s="18" t="str">
        <f>_xll.AtlasFormulas.AtlasFunctions.AtlasTable("UAT","UNI","T.InventTable","%ItemName","","","","","","","ItemId",$D171)</f>
        <v/>
      </c>
      <c r="G171" s="19" t="s">
        <v>56</v>
      </c>
      <c r="H171" s="5"/>
      <c r="I171" s="5"/>
      <c r="J171" s="19">
        <v>410025</v>
      </c>
      <c r="K171" s="18" t="str">
        <f>_xll.AtlasFormulas.AtlasFunctions.AtlasTable("UAT",DataAreaId,"T.LedgerTable","%AccountName","","","","","","","AccountNum",$J171)</f>
        <v>Warehouse Transfers to AX Location</v>
      </c>
      <c r="L171" s="5"/>
      <c r="M171" s="5"/>
      <c r="N171" s="5" t="str">
        <f>_xll.AtlasFormulas.AtlasFunctions.AtlasTable("UAT",DataAreaId,"T.LedgerTable","%BlockedInJournal","","","","","","","AccountNum",$J171)</f>
        <v>No</v>
      </c>
    </row>
    <row r="172" spans="1:14">
      <c r="A172" s="5" t="s">
        <v>842</v>
      </c>
      <c r="B172" s="19" t="s">
        <v>832</v>
      </c>
      <c r="C172" s="19" t="s">
        <v>56</v>
      </c>
      <c r="D172" s="19"/>
      <c r="E172" s="5" t="str">
        <f>_xll.AtlasFormulas.AtlasFunctions.AtlasTable("UAT",DataAreaId,"T.InventTable","%ItemName","","","","","","","ItemId",$D172)</f>
        <v/>
      </c>
      <c r="F172" s="18" t="str">
        <f>_xll.AtlasFormulas.AtlasFunctions.AtlasTable("UAT","UNI","T.InventTable","%ItemName","","","","","","","ItemId",$D172)</f>
        <v/>
      </c>
      <c r="G172" s="19" t="s">
        <v>56</v>
      </c>
      <c r="H172" s="5"/>
      <c r="I172" s="5"/>
      <c r="J172" s="19">
        <v>469000</v>
      </c>
      <c r="K172" s="18" t="str">
        <f>_xll.AtlasFormulas.AtlasFunctions.AtlasTable("UAT",DataAreaId,"T.LedgerTable","%AccountName","","","","","","","AccountNum",$J172)</f>
        <v>Pkg - other</v>
      </c>
      <c r="L172" s="5"/>
      <c r="M172" s="5"/>
      <c r="N172" s="5" t="str">
        <f>_xll.AtlasFormulas.AtlasFunctions.AtlasTable("UAT",DataAreaId,"T.LedgerTable","%BlockedInJournal","","","","","","","AccountNum",$J172)</f>
        <v>No</v>
      </c>
    </row>
    <row r="173" spans="1:14">
      <c r="A173" s="5" t="s">
        <v>842</v>
      </c>
      <c r="B173" s="19" t="s">
        <v>833</v>
      </c>
      <c r="C173" s="19" t="s">
        <v>56</v>
      </c>
      <c r="D173" s="19"/>
      <c r="E173" s="5" t="str">
        <f>_xll.AtlasFormulas.AtlasFunctions.AtlasTable("UAT",DataAreaId,"T.InventTable","%ItemName","","","","","","","ItemId",$D173)</f>
        <v/>
      </c>
      <c r="F173" s="18" t="str">
        <f>_xll.AtlasFormulas.AtlasFunctions.AtlasTable("UAT","UNI","T.InventTable","%ItemName","","","","","","","ItemId",$D173)</f>
        <v/>
      </c>
      <c r="G173" s="19" t="s">
        <v>56</v>
      </c>
      <c r="H173" s="5"/>
      <c r="I173" s="5"/>
      <c r="J173" s="19">
        <v>599003</v>
      </c>
      <c r="K173" s="18" t="str">
        <f>_xll.AtlasFormulas.AtlasFunctions.AtlasTable("UAT",DataAreaId,"T.LedgerTable","%AccountName","","","","","","","AccountNum",$J173)</f>
        <v>Production price variance - System</v>
      </c>
      <c r="L173" s="5"/>
      <c r="M173" s="5"/>
      <c r="N173" s="5" t="str">
        <f>_xll.AtlasFormulas.AtlasFunctions.AtlasTable("UAT",DataAreaId,"T.LedgerTable","%BlockedInJournal","","","","","","","AccountNum",$J173)</f>
        <v>No</v>
      </c>
    </row>
    <row r="174" spans="1:14">
      <c r="A174" s="5" t="s">
        <v>842</v>
      </c>
      <c r="B174" s="19" t="s">
        <v>834</v>
      </c>
      <c r="C174" s="19" t="s">
        <v>55</v>
      </c>
      <c r="D174" s="19" t="s">
        <v>792</v>
      </c>
      <c r="E174" s="5" t="str">
        <f>_xll.AtlasFormulas.AtlasFunctions.AtlasTable("UAT",DataAreaId,"T.InventTable","%ItemName","","","","","","","ItemId",$D174)</f>
        <v/>
      </c>
      <c r="F174" s="18" t="str">
        <f>_xll.AtlasFormulas.AtlasFunctions.AtlasTable("UAT","UNI","T.InventTable","%ItemName","","","","","","","ItemId",$D174)</f>
        <v/>
      </c>
      <c r="G174" s="19" t="s">
        <v>56</v>
      </c>
      <c r="H174" s="5"/>
      <c r="I174" s="5"/>
      <c r="J174" s="19">
        <v>495020</v>
      </c>
      <c r="K174" s="18" t="str">
        <f>_xll.AtlasFormulas.AtlasFunctions.AtlasTable("UAT",DataAreaId,"T.LedgerTable","%AccountName","","","","","","","AccountNum",$J174)</f>
        <v>Inventory change - components/wip</v>
      </c>
      <c r="L174" s="5"/>
      <c r="M174" s="5"/>
      <c r="N174" s="5" t="str">
        <f>_xll.AtlasFormulas.AtlasFunctions.AtlasTable("UAT",DataAreaId,"T.LedgerTable","%BlockedInJournal","","","","","","","AccountNum",$J174)</f>
        <v>No</v>
      </c>
    </row>
    <row r="175" spans="1:14">
      <c r="A175" s="5" t="s">
        <v>111</v>
      </c>
      <c r="B175" s="19" t="s">
        <v>834</v>
      </c>
      <c r="C175" s="19" t="s">
        <v>55</v>
      </c>
      <c r="D175" s="19" t="s">
        <v>794</v>
      </c>
      <c r="E175" s="5" t="str">
        <f>_xll.AtlasFormulas.AtlasFunctions.AtlasTable("UAT",DataAreaId,"T.InventTable","%ItemName","","","","","","","ItemId",$D175)</f>
        <v/>
      </c>
      <c r="F175" s="18" t="str">
        <f>_xll.AtlasFormulas.AtlasFunctions.AtlasTable("UAT","UNI","T.InventTable","%ItemName","","","","","","","ItemId",$D175)</f>
        <v/>
      </c>
      <c r="G175" s="19" t="s">
        <v>56</v>
      </c>
      <c r="H175" s="5"/>
      <c r="I175" s="5"/>
      <c r="J175" s="19">
        <v>495030</v>
      </c>
      <c r="K175" s="18" t="str">
        <f>_xll.AtlasFormulas.AtlasFunctions.AtlasTable("UAT",DataAreaId,"T.LedgerTable","%AccountName","","","","","","","AccountNum",$J175)</f>
        <v>Inventory change - finished goods</v>
      </c>
      <c r="L175" s="5"/>
      <c r="M175" s="5"/>
      <c r="N175" s="5" t="str">
        <f>_xll.AtlasFormulas.AtlasFunctions.AtlasTable("UAT",DataAreaId,"T.LedgerTable","%BlockedInJournal","","","","","","","AccountNum",$J175)</f>
        <v>No</v>
      </c>
    </row>
    <row r="176" spans="1:14">
      <c r="A176" s="5" t="s">
        <v>111</v>
      </c>
      <c r="B176" s="19" t="s">
        <v>835</v>
      </c>
      <c r="C176" s="19" t="s">
        <v>55</v>
      </c>
      <c r="D176" s="19" t="s">
        <v>792</v>
      </c>
      <c r="E176" s="5" t="str">
        <f>_xll.AtlasFormulas.AtlasFunctions.AtlasTable("UAT",DataAreaId,"T.InventTable","%ItemName","","","","","","","ItemId",$D176)</f>
        <v/>
      </c>
      <c r="F176" s="18" t="str">
        <f>_xll.AtlasFormulas.AtlasFunctions.AtlasTable("UAT","UNI","T.InventTable","%ItemName","","","","","","","ItemId",$D176)</f>
        <v/>
      </c>
      <c r="G176" s="19" t="s">
        <v>56</v>
      </c>
      <c r="H176" s="5"/>
      <c r="I176" s="5"/>
      <c r="J176" s="19">
        <v>495020</v>
      </c>
      <c r="K176" s="18" t="str">
        <f>_xll.AtlasFormulas.AtlasFunctions.AtlasTable("UAT",DataAreaId,"T.LedgerTable","%AccountName","","","","","","","AccountNum",$J176)</f>
        <v>Inventory change - components/wip</v>
      </c>
      <c r="L176" s="5"/>
      <c r="M176" s="5"/>
      <c r="N176" s="5" t="str">
        <f>_xll.AtlasFormulas.AtlasFunctions.AtlasTable("UAT",DataAreaId,"T.LedgerTable","%BlockedInJournal","","","","","","","AccountNum",$J176)</f>
        <v>No</v>
      </c>
    </row>
    <row r="177" spans="1:14">
      <c r="A177" s="5" t="s">
        <v>111</v>
      </c>
      <c r="B177" s="19" t="s">
        <v>835</v>
      </c>
      <c r="C177" s="19" t="s">
        <v>55</v>
      </c>
      <c r="D177" s="19" t="s">
        <v>794</v>
      </c>
      <c r="E177" s="5" t="str">
        <f>_xll.AtlasFormulas.AtlasFunctions.AtlasTable("UAT",DataAreaId,"T.InventTable","%ItemName","","","","","","","ItemId",$D177)</f>
        <v/>
      </c>
      <c r="F177" s="18" t="str">
        <f>_xll.AtlasFormulas.AtlasFunctions.AtlasTable("UAT","UNI","T.InventTable","%ItemName","","","","","","","ItemId",$D177)</f>
        <v/>
      </c>
      <c r="G177" s="19" t="s">
        <v>56</v>
      </c>
      <c r="H177" s="5"/>
      <c r="I177" s="5"/>
      <c r="J177" s="19">
        <v>495030</v>
      </c>
      <c r="K177" s="18" t="str">
        <f>_xll.AtlasFormulas.AtlasFunctions.AtlasTable("UAT",DataAreaId,"T.LedgerTable","%AccountName","","","","","","","AccountNum",$J177)</f>
        <v>Inventory change - finished goods</v>
      </c>
      <c r="L177" s="5"/>
      <c r="M177" s="5"/>
      <c r="N177" s="5" t="str">
        <f>_xll.AtlasFormulas.AtlasFunctions.AtlasTable("UAT",DataAreaId,"T.LedgerTable","%BlockedInJournal","","","","","","","AccountNum",$J177)</f>
        <v>No</v>
      </c>
    </row>
    <row r="178" spans="1:14">
      <c r="A178" s="5" t="s">
        <v>111</v>
      </c>
      <c r="B178" s="19" t="s">
        <v>836</v>
      </c>
      <c r="C178" s="19" t="s">
        <v>56</v>
      </c>
      <c r="D178" s="19"/>
      <c r="E178" s="5" t="str">
        <f>_xll.AtlasFormulas.AtlasFunctions.AtlasTable("UAT",DataAreaId,"T.InventTable","%ItemName","","","","","","","ItemId",$D178)</f>
        <v/>
      </c>
      <c r="F178" s="18" t="str">
        <f>_xll.AtlasFormulas.AtlasFunctions.AtlasTable("UAT","UNI","T.InventTable","%ItemName","","","","","","","ItemId",$D178)</f>
        <v/>
      </c>
      <c r="G178" s="19" t="s">
        <v>56</v>
      </c>
      <c r="H178" s="5"/>
      <c r="I178" s="5"/>
      <c r="J178" s="19">
        <v>599008</v>
      </c>
      <c r="K178" s="18" t="str">
        <f>_xll.AtlasFormulas.AtlasFunctions.AtlasTable("UAT",DataAreaId,"T.LedgerTable","%AccountName","","","","","","","AccountNum",$J178)</f>
        <v>Cost Change Variance - System</v>
      </c>
      <c r="L178" s="5"/>
      <c r="M178" s="5"/>
      <c r="N178" s="5" t="str">
        <f>_xll.AtlasFormulas.AtlasFunctions.AtlasTable("UAT",DataAreaId,"T.LedgerTable","%BlockedInJournal","","","","","","","AccountNum",$J178)</f>
        <v>No</v>
      </c>
    </row>
    <row r="179" spans="1:14">
      <c r="A179" s="5" t="s">
        <v>842</v>
      </c>
      <c r="B179" s="19" t="s">
        <v>837</v>
      </c>
      <c r="C179" s="19" t="s">
        <v>56</v>
      </c>
      <c r="D179" s="19"/>
      <c r="E179" s="5" t="str">
        <f>_xll.AtlasFormulas.AtlasFunctions.AtlasTable("UAT",DataAreaId,"T.InventTable","%ItemName","","","","","","","ItemId",$D179)</f>
        <v/>
      </c>
      <c r="F179" s="18" t="str">
        <f>_xll.AtlasFormulas.AtlasFunctions.AtlasTable("UAT","UNI","T.InventTable","%ItemName","","","","","","","ItemId",$D179)</f>
        <v/>
      </c>
      <c r="G179" s="19" t="s">
        <v>56</v>
      </c>
      <c r="H179" s="5"/>
      <c r="I179" s="5"/>
      <c r="J179" s="19">
        <v>599001</v>
      </c>
      <c r="K179" s="18" t="str">
        <f>_xll.AtlasFormulas.AtlasFunctions.AtlasTable("UAT",DataAreaId,"T.LedgerTable","%AccountName","","","","","","","AccountNum",$J179)</f>
        <v>Production lot size variance - System</v>
      </c>
      <c r="L179" s="5"/>
      <c r="M179" s="5"/>
      <c r="N179" s="5" t="str">
        <f>_xll.AtlasFormulas.AtlasFunctions.AtlasTable("UAT",DataAreaId,"T.LedgerTable","%BlockedInJournal","","","","","","","AccountNum",$J179)</f>
        <v>No</v>
      </c>
    </row>
    <row r="180" spans="1:14">
      <c r="A180" s="5" t="s">
        <v>842</v>
      </c>
      <c r="B180" s="19" t="s">
        <v>838</v>
      </c>
      <c r="C180" s="19" t="s">
        <v>56</v>
      </c>
      <c r="D180" s="19"/>
      <c r="E180" s="5" t="str">
        <f>_xll.AtlasFormulas.AtlasFunctions.AtlasTable("UAT",DataAreaId,"T.InventTable","%ItemName","","","","","","","ItemId",$D180)</f>
        <v/>
      </c>
      <c r="F180" s="18" t="str">
        <f>_xll.AtlasFormulas.AtlasFunctions.AtlasTable("UAT","UNI","T.InventTable","%ItemName","","","","","","","ItemId",$D180)</f>
        <v/>
      </c>
      <c r="G180" s="19" t="s">
        <v>56</v>
      </c>
      <c r="H180" s="5"/>
      <c r="I180" s="5"/>
      <c r="J180" s="19">
        <v>599004</v>
      </c>
      <c r="K180" s="18" t="str">
        <f>_xll.AtlasFormulas.AtlasFunctions.AtlasTable("UAT",DataAreaId,"T.LedgerTable","%AccountName","","","","","","","AccountNum",$J180)</f>
        <v>Production quantity variance - System</v>
      </c>
      <c r="L180" s="5"/>
      <c r="M180" s="5"/>
      <c r="N180" s="5" t="str">
        <f>_xll.AtlasFormulas.AtlasFunctions.AtlasTable("UAT",DataAreaId,"T.LedgerTable","%BlockedInJournal","","","","","","","AccountNum",$J180)</f>
        <v>No</v>
      </c>
    </row>
    <row r="181" spans="1:14">
      <c r="A181" s="5" t="s">
        <v>842</v>
      </c>
      <c r="B181" s="19" t="s">
        <v>839</v>
      </c>
      <c r="C181" s="19" t="s">
        <v>56</v>
      </c>
      <c r="D181" s="19"/>
      <c r="E181" s="5" t="str">
        <f>_xll.AtlasFormulas.AtlasFunctions.AtlasTable("UAT",DataAreaId,"T.InventTable","%ItemName","","","","","","","ItemId",$D181)</f>
        <v/>
      </c>
      <c r="F181" s="18" t="str">
        <f>_xll.AtlasFormulas.AtlasFunctions.AtlasTable("UAT","UNI","T.InventTable","%ItemName","","","","","","","ItemId",$D181)</f>
        <v/>
      </c>
      <c r="G181" s="19" t="s">
        <v>56</v>
      </c>
      <c r="H181" s="5"/>
      <c r="I181" s="5"/>
      <c r="J181" s="19">
        <v>599005</v>
      </c>
      <c r="K181" s="18" t="str">
        <f>_xll.AtlasFormulas.AtlasFunctions.AtlasTable("UAT",DataAreaId,"T.LedgerTable","%AccountName","","","","","","","AccountNum",$J181)</f>
        <v>Production substitution variance - System</v>
      </c>
      <c r="L181" s="5"/>
      <c r="M181" s="5"/>
      <c r="N181" s="5" t="str">
        <f>_xll.AtlasFormulas.AtlasFunctions.AtlasTable("UAT",DataAreaId,"T.LedgerTable","%BlockedInJournal","","","","","","","AccountNum",$J181)</f>
        <v>No</v>
      </c>
    </row>
    <row r="182" spans="1:14">
      <c r="A182" s="5" t="s">
        <v>842</v>
      </c>
      <c r="B182" s="19" t="s">
        <v>840</v>
      </c>
      <c r="C182" s="19" t="s">
        <v>56</v>
      </c>
      <c r="D182" s="19"/>
      <c r="E182" s="5" t="str">
        <f>_xll.AtlasFormulas.AtlasFunctions.AtlasTable("UAT",DataAreaId,"T.InventTable","%ItemName","","","","","","","ItemId",$D182)</f>
        <v/>
      </c>
      <c r="F182" s="18" t="str">
        <f>_xll.AtlasFormulas.AtlasFunctions.AtlasTable("UAT","UNI","T.InventTable","%ItemName","","","","","","","ItemId",$D182)</f>
        <v/>
      </c>
      <c r="G182" s="19" t="s">
        <v>56</v>
      </c>
      <c r="H182" s="5"/>
      <c r="I182" s="5"/>
      <c r="J182" s="19">
        <v>599000</v>
      </c>
      <c r="K182" s="18" t="str">
        <f>_xll.AtlasFormulas.AtlasFunctions.AtlasTable("UAT",DataAreaId,"T.LedgerTable","%AccountName","","","","","","","AccountNum",$J182)</f>
        <v>Inventory cost variance - System</v>
      </c>
      <c r="L182" s="5"/>
      <c r="M182" s="5"/>
      <c r="N182" s="5" t="str">
        <f>_xll.AtlasFormulas.AtlasFunctions.AtlasTable("UAT",DataAreaId,"T.LedgerTable","%BlockedInJournal","","","","","","","AccountNum",$J182)</f>
        <v>No</v>
      </c>
    </row>
    <row r="183" spans="1:14">
      <c r="A183" s="5" t="s">
        <v>842</v>
      </c>
      <c r="B183" s="19" t="s">
        <v>1633</v>
      </c>
      <c r="C183" s="19" t="s">
        <v>54</v>
      </c>
      <c r="D183" s="19" t="s">
        <v>1632</v>
      </c>
      <c r="E183" s="5" t="str">
        <f>_xll.AtlasFormulas.AtlasFunctions.AtlasTable("UAT",DataAreaId,"T.InventTable","%ItemName","","","","","","","ItemId",$D183)</f>
        <v>Fixed Asset Item</v>
      </c>
      <c r="F183" s="18" t="str">
        <f>_xll.AtlasFormulas.AtlasFunctions.AtlasTable("UAT","UNI","T.InventTable","%ItemName","","","","","","","ItemId",$D183)</f>
        <v>Fixed Asset Item</v>
      </c>
      <c r="G183" s="19" t="s">
        <v>56</v>
      </c>
      <c r="H183" s="5"/>
      <c r="I183" s="5"/>
      <c r="J183" s="19">
        <v>179001</v>
      </c>
      <c r="K183" s="18" t="str">
        <f>_xll.AtlasFormulas.AtlasFunctions.AtlasTable("UAT",DataAreaId,"T.LedgerTable","%AccountName","","","","","","","AccountNum",$J183)</f>
        <v>Capital projects-in-process 2</v>
      </c>
      <c r="L183" s="5"/>
      <c r="M183" s="5"/>
      <c r="N183" s="5" t="str">
        <f>_xll.AtlasFormulas.AtlasFunctions.AtlasTable("UAT",DataAreaId,"T.LedgerTable","%BlockedInJournal","","","","","","","AccountNum",$J183)</f>
        <v>No</v>
      </c>
    </row>
    <row r="184" spans="1:14">
      <c r="A184" s="5"/>
      <c r="B184" s="19" t="s">
        <v>1634</v>
      </c>
      <c r="C184" s="19" t="s">
        <v>54</v>
      </c>
      <c r="D184" s="19" t="s">
        <v>1632</v>
      </c>
      <c r="E184" s="5" t="str">
        <f>_xll.AtlasFormulas.AtlasFunctions.AtlasTable("UAT",DataAreaId,"T.InventTable","%ItemName","","","","","","","ItemId",$D184)</f>
        <v>Fixed Asset Item</v>
      </c>
      <c r="F184" s="18" t="str">
        <f>_xll.AtlasFormulas.AtlasFunctions.AtlasTable("UAT","UNI","T.InventTable","%ItemName","","","","","","","ItemId",$D184)</f>
        <v>Fixed Asset Item</v>
      </c>
      <c r="G184" s="19" t="s">
        <v>56</v>
      </c>
      <c r="H184" s="5"/>
      <c r="I184" s="5"/>
      <c r="J184" s="19">
        <v>179001</v>
      </c>
      <c r="K184" s="18" t="str">
        <f>_xll.AtlasFormulas.AtlasFunctions.AtlasTable("UAT",DataAreaId,"T.LedgerTable","%AccountName","","","","","","","AccountNum",$J184)</f>
        <v>Capital projects-in-process 2</v>
      </c>
      <c r="L184" s="5"/>
      <c r="M184" s="5"/>
      <c r="N184" s="5" t="str">
        <f>_xll.AtlasFormulas.AtlasFunctions.AtlasTable("UAT",DataAreaId,"T.LedgerTable","%BlockedInJournal","","","","","","","AccountNum",$J184)</f>
        <v>No</v>
      </c>
    </row>
    <row r="185" spans="1:14">
      <c r="A185" s="5"/>
      <c r="B185" s="19" t="s">
        <v>1427</v>
      </c>
      <c r="C185" s="19" t="s">
        <v>56</v>
      </c>
      <c r="D185" s="19"/>
      <c r="E185" s="5" t="str">
        <f>_xll.AtlasFormulas.AtlasFunctions.AtlasTable("UAT",DataAreaId,"T.InventTable","%ItemName","","","","","","","ItemId",$D185)</f>
        <v/>
      </c>
      <c r="F185" s="18" t="str">
        <f>_xll.AtlasFormulas.AtlasFunctions.AtlasTable("UAT","UNI","T.InventTable","%ItemName","","","","","","","ItemId",$D185)</f>
        <v/>
      </c>
      <c r="G185" s="19" t="s">
        <v>56</v>
      </c>
      <c r="H185" s="5"/>
      <c r="I185" s="5"/>
      <c r="J185" s="19">
        <v>132600</v>
      </c>
      <c r="K185" s="18" t="str">
        <f>_xll.AtlasFormulas.AtlasFunctions.AtlasTable("UAT",DataAreaId,"T.LedgerTable","%AccountName","","","","","","","AccountNum",$J185)</f>
        <v>TPP in Inventory</v>
      </c>
      <c r="L185" s="5"/>
      <c r="M185" s="5"/>
      <c r="N185" s="5" t="str">
        <f>_xll.AtlasFormulas.AtlasFunctions.AtlasTable("UAT",DataAreaId,"T.LedgerTable","%BlockedInJournal","","","","","","","AccountNum",$J185)</f>
        <v>Yes</v>
      </c>
    </row>
    <row r="186" spans="1:14">
      <c r="A186" s="5"/>
      <c r="B186" s="19" t="s">
        <v>1428</v>
      </c>
      <c r="C186" s="19" t="s">
        <v>56</v>
      </c>
      <c r="D186" s="19"/>
      <c r="E186" s="5" t="str">
        <f>_xll.AtlasFormulas.AtlasFunctions.AtlasTable("UAT",DataAreaId,"T.InventTable","%ItemName","","","","","","","ItemId",$D186)</f>
        <v/>
      </c>
      <c r="F186" s="18" t="str">
        <f>_xll.AtlasFormulas.AtlasFunctions.AtlasTable("UAT","UNI","T.InventTable","%ItemName","","","","","","","ItemId",$D186)</f>
        <v/>
      </c>
      <c r="G186" s="19" t="s">
        <v>56</v>
      </c>
      <c r="H186" s="5"/>
      <c r="I186" s="5"/>
      <c r="J186" s="19">
        <v>497001</v>
      </c>
      <c r="K186" s="18" t="str">
        <f>_xll.AtlasFormulas.AtlasFunctions.AtlasTable("UAT",DataAreaId,"T.LedgerTable","%AccountName","","","","","","","AccountNum",$J186)</f>
        <v>Inventory Chg- TPP</v>
      </c>
      <c r="L186" s="5"/>
      <c r="M186" s="5"/>
      <c r="N186" s="5" t="str">
        <f>_xll.AtlasFormulas.AtlasFunctions.AtlasTable("UAT",DataAreaId,"T.LedgerTable","%BlockedInJournal","","","","","","","AccountNum",$J186)</f>
        <v>No</v>
      </c>
    </row>
    <row r="187" spans="1:14">
      <c r="A187" s="5"/>
      <c r="B187" s="19" t="s">
        <v>1429</v>
      </c>
      <c r="C187" s="19" t="s">
        <v>56</v>
      </c>
      <c r="D187" s="19"/>
      <c r="E187" s="5" t="str">
        <f>_xll.AtlasFormulas.AtlasFunctions.AtlasTable("UAT",DataAreaId,"T.InventTable","%ItemName","","","","","","","ItemId",$D187)</f>
        <v/>
      </c>
      <c r="F187" s="18" t="str">
        <f>_xll.AtlasFormulas.AtlasFunctions.AtlasTable("UAT","UNI","T.InventTable","%ItemName","","","","","","","ItemId",$D187)</f>
        <v/>
      </c>
      <c r="G187" s="19" t="s">
        <v>56</v>
      </c>
      <c r="H187" s="5"/>
      <c r="I187" s="5"/>
      <c r="J187" s="19">
        <v>132600</v>
      </c>
      <c r="K187" s="18" t="str">
        <f>_xll.AtlasFormulas.AtlasFunctions.AtlasTable("UAT",DataAreaId,"T.LedgerTable","%AccountName","","","","","","","AccountNum",$J187)</f>
        <v>TPP in Inventory</v>
      </c>
      <c r="L187" s="5"/>
      <c r="M187" s="5"/>
      <c r="N187" s="5" t="str">
        <f>_xll.AtlasFormulas.AtlasFunctions.AtlasTable("UAT",DataAreaId,"T.LedgerTable","%BlockedInJournal","","","","","","","AccountNum",$J187)</f>
        <v>Yes</v>
      </c>
    </row>
    <row r="188" spans="1:14">
      <c r="A188" s="5"/>
      <c r="B188" s="19" t="s">
        <v>1430</v>
      </c>
      <c r="C188" s="19" t="s">
        <v>56</v>
      </c>
      <c r="D188" s="19"/>
      <c r="E188" s="5" t="str">
        <f>_xll.AtlasFormulas.AtlasFunctions.AtlasTable("UAT",DataAreaId,"T.InventTable","%ItemName","","","","","","","ItemId",$D188)</f>
        <v/>
      </c>
      <c r="F188" s="18" t="str">
        <f>_xll.AtlasFormulas.AtlasFunctions.AtlasTable("UAT","UNI","T.InventTable","%ItemName","","","","","","","ItemId",$D188)</f>
        <v/>
      </c>
      <c r="G188" s="19" t="s">
        <v>56</v>
      </c>
      <c r="H188" s="5"/>
      <c r="I188" s="5"/>
      <c r="J188" s="19">
        <v>497001</v>
      </c>
      <c r="K188" s="18" t="str">
        <f>_xll.AtlasFormulas.AtlasFunctions.AtlasTable("UAT",DataAreaId,"T.LedgerTable","%AccountName","","","","","","","AccountNum",$J188)</f>
        <v>Inventory Chg- TPP</v>
      </c>
      <c r="L188" s="5"/>
      <c r="M188" s="5"/>
      <c r="N188" s="5" t="str">
        <f>_xll.AtlasFormulas.AtlasFunctions.AtlasTable("UAT",DataAreaId,"T.LedgerTable","%BlockedInJournal","","","","","","","AccountNum",$J188)</f>
        <v>No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C15" sqref="C15"/>
    </sheetView>
  </sheetViews>
  <sheetFormatPr defaultRowHeight="15"/>
  <cols>
    <col min="1" max="1" width="45.5703125" customWidth="1"/>
    <col min="2" max="2" width="14.28515625" customWidth="1"/>
    <col min="3" max="3" width="18" customWidth="1"/>
    <col min="4" max="4" width="16.7109375" customWidth="1"/>
    <col min="5" max="5" width="20.85546875" customWidth="1"/>
    <col min="6" max="6" width="18" customWidth="1"/>
    <col min="7" max="7" width="16.7109375" customWidth="1"/>
  </cols>
  <sheetData>
    <row r="1" spans="1:6" ht="22.5">
      <c r="A1" s="6" t="s">
        <v>575</v>
      </c>
      <c r="B1" s="6"/>
      <c r="C1" s="6"/>
      <c r="D1" s="6"/>
      <c r="E1" s="6"/>
      <c r="F1" s="6"/>
    </row>
    <row r="2" spans="1:6">
      <c r="A2" s="4" t="s">
        <v>84</v>
      </c>
      <c r="B2" s="4" t="s">
        <v>576</v>
      </c>
      <c r="C2" s="4" t="s">
        <v>264</v>
      </c>
      <c r="D2" s="4" t="s">
        <v>0</v>
      </c>
      <c r="E2" s="4" t="s">
        <v>577</v>
      </c>
      <c r="F2" s="4" t="s">
        <v>578</v>
      </c>
    </row>
    <row r="3" spans="1:6">
      <c r="A3" s="3" t="s">
        <v>1066</v>
      </c>
      <c r="B3" s="3" t="s">
        <v>55</v>
      </c>
      <c r="C3" s="3" t="s">
        <v>1431</v>
      </c>
      <c r="D3" s="3" t="s">
        <v>327</v>
      </c>
      <c r="E3" s="13" t="s">
        <v>605</v>
      </c>
      <c r="F3" s="3" t="s">
        <v>579</v>
      </c>
    </row>
    <row r="4" spans="1:6">
      <c r="A4" s="3" t="s">
        <v>1066</v>
      </c>
      <c r="B4" s="3" t="s">
        <v>55</v>
      </c>
      <c r="C4" s="3" t="s">
        <v>1432</v>
      </c>
      <c r="D4" s="3" t="s">
        <v>719</v>
      </c>
      <c r="E4" s="13" t="s">
        <v>605</v>
      </c>
      <c r="F4" s="3" t="s">
        <v>579</v>
      </c>
    </row>
    <row r="5" spans="1:6">
      <c r="A5" s="3" t="s">
        <v>1066</v>
      </c>
      <c r="B5" s="3" t="s">
        <v>55</v>
      </c>
      <c r="C5" s="3" t="s">
        <v>1433</v>
      </c>
      <c r="D5" s="3" t="s">
        <v>311</v>
      </c>
      <c r="E5" s="13" t="s">
        <v>605</v>
      </c>
      <c r="F5" s="3" t="s">
        <v>579</v>
      </c>
    </row>
    <row r="6" spans="1:6">
      <c r="A6" s="3" t="s">
        <v>1066</v>
      </c>
      <c r="B6" s="3" t="s">
        <v>55</v>
      </c>
      <c r="C6" s="3" t="s">
        <v>1434</v>
      </c>
      <c r="D6" s="3" t="s">
        <v>311</v>
      </c>
      <c r="E6" s="13" t="s">
        <v>605</v>
      </c>
      <c r="F6" s="3" t="s">
        <v>579</v>
      </c>
    </row>
    <row r="7" spans="1:6">
      <c r="A7" s="3" t="s">
        <v>1066</v>
      </c>
      <c r="B7" s="3" t="s">
        <v>55</v>
      </c>
      <c r="C7" s="3" t="s">
        <v>1435</v>
      </c>
      <c r="D7" s="3" t="s">
        <v>740</v>
      </c>
      <c r="E7" s="13" t="s">
        <v>605</v>
      </c>
      <c r="F7" s="3" t="s">
        <v>579</v>
      </c>
    </row>
    <row r="8" spans="1:6">
      <c r="A8" s="3" t="s">
        <v>1066</v>
      </c>
      <c r="B8" s="3" t="s">
        <v>55</v>
      </c>
      <c r="C8" s="3" t="s">
        <v>1635</v>
      </c>
      <c r="D8" s="3" t="s">
        <v>885</v>
      </c>
      <c r="E8" s="13" t="s">
        <v>605</v>
      </c>
      <c r="F8" s="3" t="s">
        <v>579</v>
      </c>
    </row>
    <row r="9" spans="1:6">
      <c r="A9" s="3" t="s">
        <v>1066</v>
      </c>
      <c r="B9" s="3" t="s">
        <v>55</v>
      </c>
      <c r="C9" s="3" t="s">
        <v>1436</v>
      </c>
      <c r="D9" s="3" t="s">
        <v>311</v>
      </c>
      <c r="E9" s="13" t="s">
        <v>605</v>
      </c>
      <c r="F9" s="3" t="s">
        <v>579</v>
      </c>
    </row>
    <row r="10" spans="1:6">
      <c r="A10" s="3" t="s">
        <v>1066</v>
      </c>
      <c r="B10" s="3" t="s">
        <v>55</v>
      </c>
      <c r="C10" s="3" t="s">
        <v>1437</v>
      </c>
      <c r="D10" s="3" t="s">
        <v>448</v>
      </c>
      <c r="E10" s="13" t="s">
        <v>605</v>
      </c>
      <c r="F10" s="3" t="s">
        <v>579</v>
      </c>
    </row>
    <row r="11" spans="1:6">
      <c r="A11" s="3" t="s">
        <v>1066</v>
      </c>
      <c r="B11" s="3" t="s">
        <v>55</v>
      </c>
      <c r="C11" s="3" t="s">
        <v>1438</v>
      </c>
      <c r="D11" s="3" t="s">
        <v>328</v>
      </c>
      <c r="E11" s="13" t="s">
        <v>605</v>
      </c>
      <c r="F11" s="3" t="s">
        <v>579</v>
      </c>
    </row>
    <row r="12" spans="1:6">
      <c r="A12" s="3" t="s">
        <v>1066</v>
      </c>
      <c r="B12" s="3" t="s">
        <v>55</v>
      </c>
      <c r="C12" s="3" t="s">
        <v>1636</v>
      </c>
      <c r="D12" s="3" t="s">
        <v>684</v>
      </c>
      <c r="E12" s="13" t="s">
        <v>605</v>
      </c>
      <c r="F12" s="3" t="s">
        <v>579</v>
      </c>
    </row>
    <row r="13" spans="1:6">
      <c r="A13" s="3" t="s">
        <v>1066</v>
      </c>
      <c r="B13" s="3" t="s">
        <v>55</v>
      </c>
      <c r="C13" s="3" t="s">
        <v>1439</v>
      </c>
      <c r="D13" s="3" t="s">
        <v>309</v>
      </c>
      <c r="E13" s="13" t="s">
        <v>605</v>
      </c>
      <c r="F13" s="3" t="s">
        <v>579</v>
      </c>
    </row>
    <row r="14" spans="1:6">
      <c r="A14" s="3" t="s">
        <v>1066</v>
      </c>
      <c r="B14" s="3" t="s">
        <v>55</v>
      </c>
      <c r="C14" s="3" t="s">
        <v>1431</v>
      </c>
      <c r="D14" s="3" t="s">
        <v>327</v>
      </c>
      <c r="E14" s="13" t="s">
        <v>605</v>
      </c>
      <c r="F14" s="3" t="s">
        <v>1440</v>
      </c>
    </row>
    <row r="15" spans="1:6">
      <c r="A15" s="3" t="s">
        <v>1066</v>
      </c>
      <c r="B15" s="3" t="s">
        <v>55</v>
      </c>
      <c r="C15" s="3" t="s">
        <v>1432</v>
      </c>
      <c r="D15" s="3" t="s">
        <v>719</v>
      </c>
      <c r="E15" s="13" t="s">
        <v>605</v>
      </c>
      <c r="F15" s="3" t="s">
        <v>1440</v>
      </c>
    </row>
    <row r="16" spans="1:6">
      <c r="A16" s="3" t="s">
        <v>1066</v>
      </c>
      <c r="B16" s="3" t="s">
        <v>55</v>
      </c>
      <c r="C16" s="3" t="s">
        <v>1433</v>
      </c>
      <c r="D16" s="3" t="s">
        <v>311</v>
      </c>
      <c r="E16" s="13" t="s">
        <v>605</v>
      </c>
      <c r="F16" s="3" t="s">
        <v>1440</v>
      </c>
    </row>
    <row r="17" spans="1:6">
      <c r="A17" s="3" t="s">
        <v>1066</v>
      </c>
      <c r="B17" s="3" t="s">
        <v>55</v>
      </c>
      <c r="C17" s="3" t="s">
        <v>1434</v>
      </c>
      <c r="D17" s="3" t="s">
        <v>311</v>
      </c>
      <c r="E17" s="13" t="s">
        <v>605</v>
      </c>
      <c r="F17" s="3" t="s">
        <v>1440</v>
      </c>
    </row>
    <row r="18" spans="1:6">
      <c r="A18" s="3" t="s">
        <v>1066</v>
      </c>
      <c r="B18" s="3" t="s">
        <v>55</v>
      </c>
      <c r="C18" s="3" t="s">
        <v>1435</v>
      </c>
      <c r="D18" s="3" t="s">
        <v>740</v>
      </c>
      <c r="E18" s="13" t="s">
        <v>605</v>
      </c>
      <c r="F18" s="3" t="s">
        <v>1440</v>
      </c>
    </row>
    <row r="19" spans="1:6">
      <c r="A19" s="3" t="s">
        <v>1066</v>
      </c>
      <c r="B19" s="3" t="s">
        <v>55</v>
      </c>
      <c r="C19" s="3" t="s">
        <v>1635</v>
      </c>
      <c r="D19" s="3" t="s">
        <v>885</v>
      </c>
      <c r="E19" s="13" t="s">
        <v>605</v>
      </c>
      <c r="F19" s="3" t="s">
        <v>1440</v>
      </c>
    </row>
    <row r="20" spans="1:6">
      <c r="A20" s="3" t="s">
        <v>1066</v>
      </c>
      <c r="B20" s="3" t="s">
        <v>55</v>
      </c>
      <c r="C20" s="3" t="s">
        <v>1436</v>
      </c>
      <c r="D20" s="3" t="s">
        <v>311</v>
      </c>
      <c r="E20" s="13" t="s">
        <v>605</v>
      </c>
      <c r="F20" s="3" t="s">
        <v>1440</v>
      </c>
    </row>
    <row r="21" spans="1:6">
      <c r="A21" s="3" t="s">
        <v>1066</v>
      </c>
      <c r="B21" s="3" t="s">
        <v>55</v>
      </c>
      <c r="C21" s="3" t="s">
        <v>1437</v>
      </c>
      <c r="D21" s="3" t="s">
        <v>448</v>
      </c>
      <c r="E21" s="13" t="s">
        <v>605</v>
      </c>
      <c r="F21" s="3" t="s">
        <v>1440</v>
      </c>
    </row>
    <row r="22" spans="1:6">
      <c r="A22" s="3" t="s">
        <v>1066</v>
      </c>
      <c r="B22" s="3" t="s">
        <v>55</v>
      </c>
      <c r="C22" s="3" t="s">
        <v>1438</v>
      </c>
      <c r="D22" s="3" t="s">
        <v>328</v>
      </c>
      <c r="E22" s="13" t="s">
        <v>605</v>
      </c>
      <c r="F22" s="3" t="s">
        <v>1440</v>
      </c>
    </row>
    <row r="23" spans="1:6">
      <c r="A23" s="3" t="s">
        <v>1066</v>
      </c>
      <c r="B23" s="3" t="s">
        <v>55</v>
      </c>
      <c r="C23" s="3" t="s">
        <v>1636</v>
      </c>
      <c r="D23" s="3" t="s">
        <v>684</v>
      </c>
      <c r="E23" s="13" t="s">
        <v>605</v>
      </c>
      <c r="F23" s="3" t="s">
        <v>1440</v>
      </c>
    </row>
    <row r="24" spans="1:6">
      <c r="A24" s="3" t="s">
        <v>1066</v>
      </c>
      <c r="B24" s="3" t="s">
        <v>55</v>
      </c>
      <c r="C24" s="3" t="s">
        <v>1439</v>
      </c>
      <c r="D24" s="3" t="s">
        <v>309</v>
      </c>
      <c r="E24" s="13" t="s">
        <v>605</v>
      </c>
      <c r="F24" s="3" t="s">
        <v>1440</v>
      </c>
    </row>
    <row r="25" spans="1:6">
      <c r="A25" s="3" t="s">
        <v>1066</v>
      </c>
      <c r="B25" s="3" t="s">
        <v>55</v>
      </c>
      <c r="C25" s="3" t="s">
        <v>1431</v>
      </c>
      <c r="D25" s="3" t="s">
        <v>330</v>
      </c>
      <c r="E25" s="13" t="s">
        <v>384</v>
      </c>
      <c r="F25" s="3" t="s">
        <v>199</v>
      </c>
    </row>
    <row r="26" spans="1:6">
      <c r="A26" s="3" t="s">
        <v>1066</v>
      </c>
      <c r="B26" s="3" t="s">
        <v>55</v>
      </c>
      <c r="C26" s="3" t="s">
        <v>1432</v>
      </c>
      <c r="D26" s="3" t="s">
        <v>720</v>
      </c>
      <c r="E26" s="13" t="s">
        <v>721</v>
      </c>
      <c r="F26" s="3" t="s">
        <v>199</v>
      </c>
    </row>
    <row r="27" spans="1:6">
      <c r="A27" s="3" t="s">
        <v>1066</v>
      </c>
      <c r="B27" s="3" t="s">
        <v>55</v>
      </c>
      <c r="C27" s="3" t="s">
        <v>1433</v>
      </c>
      <c r="D27" s="3" t="s">
        <v>332</v>
      </c>
      <c r="E27" s="13" t="s">
        <v>477</v>
      </c>
      <c r="F27" s="3" t="s">
        <v>199</v>
      </c>
    </row>
    <row r="28" spans="1:6">
      <c r="A28" s="3" t="s">
        <v>1066</v>
      </c>
      <c r="B28" s="3" t="s">
        <v>55</v>
      </c>
      <c r="C28" s="3" t="s">
        <v>1434</v>
      </c>
      <c r="D28" s="3" t="s">
        <v>332</v>
      </c>
      <c r="E28" s="13" t="s">
        <v>477</v>
      </c>
      <c r="F28" s="3" t="s">
        <v>199</v>
      </c>
    </row>
    <row r="29" spans="1:6">
      <c r="A29" s="3" t="s">
        <v>1066</v>
      </c>
      <c r="B29" s="3" t="s">
        <v>55</v>
      </c>
      <c r="C29" s="3" t="s">
        <v>1635</v>
      </c>
      <c r="D29" s="3" t="s">
        <v>889</v>
      </c>
      <c r="E29" s="13" t="s">
        <v>1627</v>
      </c>
      <c r="F29" s="3" t="s">
        <v>199</v>
      </c>
    </row>
    <row r="30" spans="1:6">
      <c r="A30" s="3" t="s">
        <v>1066</v>
      </c>
      <c r="B30" s="3" t="s">
        <v>55</v>
      </c>
      <c r="C30" s="3" t="s">
        <v>1436</v>
      </c>
      <c r="D30" s="3" t="s">
        <v>332</v>
      </c>
      <c r="E30" s="13" t="s">
        <v>454</v>
      </c>
      <c r="F30" s="3" t="s">
        <v>199</v>
      </c>
    </row>
    <row r="31" spans="1:6">
      <c r="A31" s="3" t="s">
        <v>1066</v>
      </c>
      <c r="B31" s="3" t="s">
        <v>55</v>
      </c>
      <c r="C31" s="3" t="s">
        <v>1437</v>
      </c>
      <c r="D31" s="3" t="s">
        <v>333</v>
      </c>
      <c r="E31" s="13" t="s">
        <v>475</v>
      </c>
      <c r="F31" s="3" t="s">
        <v>199</v>
      </c>
    </row>
    <row r="32" spans="1:6">
      <c r="A32" s="3" t="s">
        <v>1066</v>
      </c>
      <c r="B32" s="3" t="s">
        <v>55</v>
      </c>
      <c r="C32" s="3" t="s">
        <v>1438</v>
      </c>
      <c r="D32" s="3" t="s">
        <v>334</v>
      </c>
      <c r="E32" s="13" t="s">
        <v>383</v>
      </c>
      <c r="F32" s="3" t="s">
        <v>199</v>
      </c>
    </row>
    <row r="33" spans="1:6">
      <c r="A33" s="3" t="s">
        <v>1066</v>
      </c>
      <c r="B33" s="3" t="s">
        <v>55</v>
      </c>
      <c r="C33" s="3" t="s">
        <v>1636</v>
      </c>
      <c r="D33" s="3" t="s">
        <v>722</v>
      </c>
      <c r="E33" s="13" t="s">
        <v>1625</v>
      </c>
      <c r="F33" s="3" t="s">
        <v>199</v>
      </c>
    </row>
    <row r="34" spans="1:6">
      <c r="A34" s="3" t="s">
        <v>1066</v>
      </c>
      <c r="B34" s="3" t="s">
        <v>55</v>
      </c>
      <c r="C34" s="3" t="s">
        <v>1439</v>
      </c>
      <c r="D34" s="3" t="s">
        <v>331</v>
      </c>
      <c r="E34" s="13" t="s">
        <v>385</v>
      </c>
      <c r="F34" s="3" t="s">
        <v>199</v>
      </c>
    </row>
    <row r="35" spans="1:6">
      <c r="A35" s="3" t="s">
        <v>1066</v>
      </c>
      <c r="B35" s="3" t="s">
        <v>56</v>
      </c>
      <c r="C35" s="3" t="s">
        <v>116</v>
      </c>
      <c r="D35" s="3" t="s">
        <v>394</v>
      </c>
      <c r="E35" s="13" t="s">
        <v>394</v>
      </c>
      <c r="F35" s="3" t="s">
        <v>1067</v>
      </c>
    </row>
    <row r="36" spans="1:6">
      <c r="A36" s="3" t="s">
        <v>1066</v>
      </c>
      <c r="B36" s="3" t="s">
        <v>56</v>
      </c>
      <c r="C36" s="3" t="s">
        <v>116</v>
      </c>
      <c r="D36" s="3" t="s">
        <v>1047</v>
      </c>
      <c r="E36" s="13" t="s">
        <v>1047</v>
      </c>
      <c r="F36" s="3" t="s">
        <v>1068</v>
      </c>
    </row>
    <row r="37" spans="1:6">
      <c r="A37" s="4"/>
      <c r="B37" s="4"/>
      <c r="C37" s="4"/>
      <c r="D37" s="4"/>
      <c r="E37" s="4"/>
      <c r="F37" s="4"/>
    </row>
    <row r="40" spans="1:6">
      <c r="A40" t="s">
        <v>606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5"/>
  <sheetViews>
    <sheetView workbookViewId="0">
      <selection activeCell="C12" sqref="C12"/>
    </sheetView>
  </sheetViews>
  <sheetFormatPr defaultRowHeight="15"/>
  <cols>
    <col min="1" max="1" width="16.42578125" customWidth="1"/>
    <col min="2" max="2" width="14.28515625" customWidth="1"/>
    <col min="3" max="3" width="17.7109375" customWidth="1"/>
    <col min="4" max="4" width="14.5703125" customWidth="1"/>
    <col min="5" max="5" width="35.140625" customWidth="1"/>
    <col min="6" max="6" width="20.85546875" customWidth="1"/>
    <col min="7" max="7" width="24.140625" customWidth="1"/>
    <col min="8" max="8" width="16.7109375" customWidth="1"/>
    <col min="9" max="9" width="16.28515625" customWidth="1"/>
  </cols>
  <sheetData>
    <row r="1" spans="1:9" ht="22.5">
      <c r="A1" s="6" t="s">
        <v>580</v>
      </c>
      <c r="B1" s="6"/>
      <c r="C1" s="6"/>
      <c r="D1" s="6"/>
      <c r="E1" s="6"/>
      <c r="F1" s="6"/>
      <c r="G1" s="6"/>
      <c r="H1" s="6"/>
      <c r="I1" s="6"/>
    </row>
    <row r="2" spans="1:9">
      <c r="A2" s="4" t="s">
        <v>84</v>
      </c>
      <c r="B2" s="4" t="s">
        <v>582</v>
      </c>
      <c r="C2" s="4" t="s">
        <v>585</v>
      </c>
      <c r="D2" s="4" t="s">
        <v>607</v>
      </c>
      <c r="E2" s="4" t="s">
        <v>581</v>
      </c>
      <c r="F2" s="4" t="s">
        <v>584</v>
      </c>
      <c r="G2" s="4" t="s">
        <v>583</v>
      </c>
      <c r="H2" s="4" t="s">
        <v>0</v>
      </c>
      <c r="I2" s="4" t="s">
        <v>577</v>
      </c>
    </row>
    <row r="3" spans="1:9">
      <c r="A3" s="3" t="s">
        <v>1066</v>
      </c>
      <c r="B3" s="3" t="s">
        <v>1069</v>
      </c>
      <c r="C3" s="3" t="s">
        <v>1070</v>
      </c>
      <c r="D3" s="3" t="s">
        <v>1071</v>
      </c>
      <c r="E3" s="3" t="s">
        <v>55</v>
      </c>
      <c r="F3" s="3" t="s">
        <v>1431</v>
      </c>
      <c r="G3" s="3" t="s">
        <v>1072</v>
      </c>
      <c r="H3" s="3" t="s">
        <v>330</v>
      </c>
      <c r="I3" s="13" t="s">
        <v>1047</v>
      </c>
    </row>
    <row r="4" spans="1:9">
      <c r="A4" s="3" t="s">
        <v>1066</v>
      </c>
      <c r="B4" s="3" t="s">
        <v>1069</v>
      </c>
      <c r="C4" s="3" t="s">
        <v>1073</v>
      </c>
      <c r="D4" s="3" t="s">
        <v>1071</v>
      </c>
      <c r="E4" s="3" t="s">
        <v>55</v>
      </c>
      <c r="F4" s="3" t="s">
        <v>1431</v>
      </c>
      <c r="G4" s="3" t="s">
        <v>1072</v>
      </c>
      <c r="H4" s="3" t="s">
        <v>330</v>
      </c>
      <c r="I4" s="13" t="s">
        <v>394</v>
      </c>
    </row>
    <row r="5" spans="1:9">
      <c r="A5" s="3" t="s">
        <v>1066</v>
      </c>
      <c r="B5" s="3" t="s">
        <v>1069</v>
      </c>
      <c r="C5" s="3" t="s">
        <v>1070</v>
      </c>
      <c r="D5" s="3" t="s">
        <v>1071</v>
      </c>
      <c r="E5" s="3" t="s">
        <v>55</v>
      </c>
      <c r="F5" s="3" t="s">
        <v>1432</v>
      </c>
      <c r="G5" s="3" t="s">
        <v>1072</v>
      </c>
      <c r="H5" s="3" t="s">
        <v>720</v>
      </c>
      <c r="I5" s="13" t="s">
        <v>1047</v>
      </c>
    </row>
    <row r="6" spans="1:9">
      <c r="A6" s="3" t="s">
        <v>1066</v>
      </c>
      <c r="B6" s="3" t="s">
        <v>1069</v>
      </c>
      <c r="C6" s="3" t="s">
        <v>1073</v>
      </c>
      <c r="D6" s="3" t="s">
        <v>1071</v>
      </c>
      <c r="E6" s="3" t="s">
        <v>55</v>
      </c>
      <c r="F6" s="3" t="s">
        <v>1432</v>
      </c>
      <c r="G6" s="3" t="s">
        <v>1072</v>
      </c>
      <c r="H6" s="3" t="s">
        <v>720</v>
      </c>
      <c r="I6" s="13" t="s">
        <v>394</v>
      </c>
    </row>
    <row r="7" spans="1:9">
      <c r="A7" s="3" t="s">
        <v>1066</v>
      </c>
      <c r="B7" s="3" t="s">
        <v>1069</v>
      </c>
      <c r="C7" s="3" t="s">
        <v>1070</v>
      </c>
      <c r="D7" s="3" t="s">
        <v>1071</v>
      </c>
      <c r="E7" s="3" t="s">
        <v>55</v>
      </c>
      <c r="F7" s="3" t="s">
        <v>1433</v>
      </c>
      <c r="G7" s="3" t="s">
        <v>1072</v>
      </c>
      <c r="H7" s="3" t="s">
        <v>332</v>
      </c>
      <c r="I7" s="13" t="s">
        <v>1047</v>
      </c>
    </row>
    <row r="8" spans="1:9">
      <c r="A8" s="3" t="s">
        <v>1066</v>
      </c>
      <c r="B8" s="3" t="s">
        <v>1069</v>
      </c>
      <c r="C8" s="3" t="s">
        <v>1073</v>
      </c>
      <c r="D8" s="3" t="s">
        <v>1071</v>
      </c>
      <c r="E8" s="3" t="s">
        <v>55</v>
      </c>
      <c r="F8" s="3" t="s">
        <v>1433</v>
      </c>
      <c r="G8" s="3" t="s">
        <v>1072</v>
      </c>
      <c r="H8" s="3" t="s">
        <v>332</v>
      </c>
      <c r="I8" s="13" t="s">
        <v>394</v>
      </c>
    </row>
    <row r="9" spans="1:9">
      <c r="A9" s="3" t="s">
        <v>1066</v>
      </c>
      <c r="B9" s="3" t="s">
        <v>1069</v>
      </c>
      <c r="C9" s="3" t="s">
        <v>1070</v>
      </c>
      <c r="D9" s="3" t="s">
        <v>1071</v>
      </c>
      <c r="E9" s="3" t="s">
        <v>55</v>
      </c>
      <c r="F9" s="3" t="s">
        <v>1434</v>
      </c>
      <c r="G9" s="3" t="s">
        <v>1072</v>
      </c>
      <c r="H9" s="3" t="s">
        <v>332</v>
      </c>
      <c r="I9" s="13" t="s">
        <v>1047</v>
      </c>
    </row>
    <row r="10" spans="1:9">
      <c r="A10" s="3" t="s">
        <v>1066</v>
      </c>
      <c r="B10" s="3" t="s">
        <v>1069</v>
      </c>
      <c r="C10" s="3" t="s">
        <v>1073</v>
      </c>
      <c r="D10" s="3" t="s">
        <v>1071</v>
      </c>
      <c r="E10" s="3" t="s">
        <v>55</v>
      </c>
      <c r="F10" s="3" t="s">
        <v>1434</v>
      </c>
      <c r="G10" s="3" t="s">
        <v>1072</v>
      </c>
      <c r="H10" s="3" t="s">
        <v>332</v>
      </c>
      <c r="I10" s="13" t="s">
        <v>394</v>
      </c>
    </row>
    <row r="11" spans="1:9">
      <c r="A11" s="3" t="s">
        <v>1066</v>
      </c>
      <c r="B11" s="3" t="s">
        <v>1069</v>
      </c>
      <c r="C11" s="3" t="s">
        <v>1070</v>
      </c>
      <c r="D11" s="3" t="s">
        <v>1071</v>
      </c>
      <c r="E11" s="3" t="s">
        <v>55</v>
      </c>
      <c r="F11" s="3" t="s">
        <v>1635</v>
      </c>
      <c r="G11" s="3" t="s">
        <v>1072</v>
      </c>
      <c r="H11" s="3" t="s">
        <v>889</v>
      </c>
      <c r="I11" s="13" t="s">
        <v>1047</v>
      </c>
    </row>
    <row r="12" spans="1:9">
      <c r="A12" s="3" t="s">
        <v>1066</v>
      </c>
      <c r="B12" s="3" t="s">
        <v>1069</v>
      </c>
      <c r="C12" s="3" t="s">
        <v>1073</v>
      </c>
      <c r="D12" s="3" t="s">
        <v>1071</v>
      </c>
      <c r="E12" s="3" t="s">
        <v>55</v>
      </c>
      <c r="F12" s="3" t="s">
        <v>1635</v>
      </c>
      <c r="G12" s="3" t="s">
        <v>1072</v>
      </c>
      <c r="H12" s="3" t="s">
        <v>889</v>
      </c>
      <c r="I12" s="13" t="s">
        <v>394</v>
      </c>
    </row>
    <row r="13" spans="1:9">
      <c r="A13" s="3" t="s">
        <v>1066</v>
      </c>
      <c r="B13" s="3" t="s">
        <v>1069</v>
      </c>
      <c r="C13" s="3" t="s">
        <v>1070</v>
      </c>
      <c r="D13" s="3" t="s">
        <v>1071</v>
      </c>
      <c r="E13" s="3" t="s">
        <v>55</v>
      </c>
      <c r="F13" s="3" t="s">
        <v>1436</v>
      </c>
      <c r="G13" s="3" t="s">
        <v>1072</v>
      </c>
      <c r="H13" s="3" t="s">
        <v>332</v>
      </c>
      <c r="I13" s="13" t="s">
        <v>1047</v>
      </c>
    </row>
    <row r="14" spans="1:9">
      <c r="A14" s="3" t="s">
        <v>1066</v>
      </c>
      <c r="B14" s="3" t="s">
        <v>1069</v>
      </c>
      <c r="C14" s="3" t="s">
        <v>1073</v>
      </c>
      <c r="D14" s="3" t="s">
        <v>1071</v>
      </c>
      <c r="E14" s="3" t="s">
        <v>55</v>
      </c>
      <c r="F14" s="3" t="s">
        <v>1436</v>
      </c>
      <c r="G14" s="3" t="s">
        <v>1072</v>
      </c>
      <c r="H14" s="3" t="s">
        <v>332</v>
      </c>
      <c r="I14" s="13" t="s">
        <v>394</v>
      </c>
    </row>
    <row r="15" spans="1:9">
      <c r="A15" s="3" t="s">
        <v>1066</v>
      </c>
      <c r="B15" s="3" t="s">
        <v>1069</v>
      </c>
      <c r="C15" s="3" t="s">
        <v>1070</v>
      </c>
      <c r="D15" s="3" t="s">
        <v>1071</v>
      </c>
      <c r="E15" s="3" t="s">
        <v>55</v>
      </c>
      <c r="F15" s="3" t="s">
        <v>1437</v>
      </c>
      <c r="G15" s="3" t="s">
        <v>1072</v>
      </c>
      <c r="H15" s="3" t="s">
        <v>333</v>
      </c>
      <c r="I15" s="13" t="s">
        <v>1047</v>
      </c>
    </row>
    <row r="16" spans="1:9">
      <c r="A16" s="3" t="s">
        <v>1066</v>
      </c>
      <c r="B16" s="3" t="s">
        <v>1069</v>
      </c>
      <c r="C16" s="3" t="s">
        <v>1073</v>
      </c>
      <c r="D16" s="3" t="s">
        <v>1071</v>
      </c>
      <c r="E16" s="3" t="s">
        <v>55</v>
      </c>
      <c r="F16" s="3" t="s">
        <v>1437</v>
      </c>
      <c r="G16" s="3" t="s">
        <v>1072</v>
      </c>
      <c r="H16" s="3" t="s">
        <v>333</v>
      </c>
      <c r="I16" s="13" t="s">
        <v>394</v>
      </c>
    </row>
    <row r="17" spans="1:9">
      <c r="A17" s="3" t="s">
        <v>1066</v>
      </c>
      <c r="B17" s="3" t="s">
        <v>1069</v>
      </c>
      <c r="C17" s="3" t="s">
        <v>1070</v>
      </c>
      <c r="D17" s="3" t="s">
        <v>1071</v>
      </c>
      <c r="E17" s="3" t="s">
        <v>55</v>
      </c>
      <c r="F17" s="3" t="s">
        <v>1438</v>
      </c>
      <c r="G17" s="3" t="s">
        <v>1072</v>
      </c>
      <c r="H17" s="3" t="s">
        <v>334</v>
      </c>
      <c r="I17" s="13" t="s">
        <v>1047</v>
      </c>
    </row>
    <row r="18" spans="1:9">
      <c r="A18" s="3" t="s">
        <v>1066</v>
      </c>
      <c r="B18" s="3" t="s">
        <v>1069</v>
      </c>
      <c r="C18" s="3" t="s">
        <v>1073</v>
      </c>
      <c r="D18" s="3" t="s">
        <v>1071</v>
      </c>
      <c r="E18" s="3" t="s">
        <v>55</v>
      </c>
      <c r="F18" s="3" t="s">
        <v>1438</v>
      </c>
      <c r="G18" s="3" t="s">
        <v>1072</v>
      </c>
      <c r="H18" s="3" t="s">
        <v>334</v>
      </c>
      <c r="I18" s="13" t="s">
        <v>394</v>
      </c>
    </row>
    <row r="19" spans="1:9">
      <c r="A19" s="3" t="s">
        <v>1066</v>
      </c>
      <c r="B19" s="3" t="s">
        <v>1069</v>
      </c>
      <c r="C19" s="3" t="s">
        <v>1070</v>
      </c>
      <c r="D19" s="3" t="s">
        <v>1071</v>
      </c>
      <c r="E19" s="3" t="s">
        <v>55</v>
      </c>
      <c r="F19" s="3" t="s">
        <v>1636</v>
      </c>
      <c r="G19" s="3" t="s">
        <v>1072</v>
      </c>
      <c r="H19" s="3" t="s">
        <v>722</v>
      </c>
      <c r="I19" s="13" t="s">
        <v>1047</v>
      </c>
    </row>
    <row r="20" spans="1:9">
      <c r="A20" s="3" t="s">
        <v>1066</v>
      </c>
      <c r="B20" s="3" t="s">
        <v>1069</v>
      </c>
      <c r="C20" s="3" t="s">
        <v>1073</v>
      </c>
      <c r="D20" s="3" t="s">
        <v>1071</v>
      </c>
      <c r="E20" s="3" t="s">
        <v>55</v>
      </c>
      <c r="F20" s="3" t="s">
        <v>1636</v>
      </c>
      <c r="G20" s="3" t="s">
        <v>1072</v>
      </c>
      <c r="H20" s="3" t="s">
        <v>722</v>
      </c>
      <c r="I20" s="13" t="s">
        <v>394</v>
      </c>
    </row>
    <row r="21" spans="1:9">
      <c r="A21" s="3" t="s">
        <v>1066</v>
      </c>
      <c r="B21" s="3" t="s">
        <v>1069</v>
      </c>
      <c r="C21" s="3" t="s">
        <v>1070</v>
      </c>
      <c r="D21" s="3" t="s">
        <v>1071</v>
      </c>
      <c r="E21" s="3" t="s">
        <v>55</v>
      </c>
      <c r="F21" s="3" t="s">
        <v>1439</v>
      </c>
      <c r="G21" s="3" t="s">
        <v>1072</v>
      </c>
      <c r="H21" s="3" t="s">
        <v>331</v>
      </c>
      <c r="I21" s="13" t="s">
        <v>1047</v>
      </c>
    </row>
    <row r="22" spans="1:9">
      <c r="A22" s="3" t="s">
        <v>1066</v>
      </c>
      <c r="B22" s="3" t="s">
        <v>1069</v>
      </c>
      <c r="C22" s="3" t="s">
        <v>1073</v>
      </c>
      <c r="D22" s="3" t="s">
        <v>1071</v>
      </c>
      <c r="E22" s="3" t="s">
        <v>55</v>
      </c>
      <c r="F22" s="3" t="s">
        <v>1439</v>
      </c>
      <c r="G22" s="3" t="s">
        <v>1072</v>
      </c>
      <c r="H22" s="3" t="s">
        <v>331</v>
      </c>
      <c r="I22" s="13" t="s">
        <v>394</v>
      </c>
    </row>
    <row r="23" spans="1:9">
      <c r="A23" s="3" t="s">
        <v>1066</v>
      </c>
      <c r="B23" s="3" t="s">
        <v>1069</v>
      </c>
      <c r="C23" s="3" t="s">
        <v>1070</v>
      </c>
      <c r="D23" s="3" t="s">
        <v>1071</v>
      </c>
      <c r="E23" s="3" t="s">
        <v>55</v>
      </c>
      <c r="F23" s="3" t="s">
        <v>1431</v>
      </c>
      <c r="G23" s="3" t="s">
        <v>1074</v>
      </c>
      <c r="H23" s="3" t="s">
        <v>330</v>
      </c>
      <c r="I23" s="13" t="s">
        <v>1047</v>
      </c>
    </row>
    <row r="24" spans="1:9">
      <c r="A24" s="3" t="s">
        <v>1066</v>
      </c>
      <c r="B24" s="3" t="s">
        <v>1069</v>
      </c>
      <c r="C24" s="3" t="s">
        <v>1073</v>
      </c>
      <c r="D24" s="3" t="s">
        <v>1071</v>
      </c>
      <c r="E24" s="3" t="s">
        <v>55</v>
      </c>
      <c r="F24" s="3" t="s">
        <v>1431</v>
      </c>
      <c r="G24" s="3" t="s">
        <v>1074</v>
      </c>
      <c r="H24" s="3" t="s">
        <v>330</v>
      </c>
      <c r="I24" s="13" t="s">
        <v>394</v>
      </c>
    </row>
    <row r="25" spans="1:9">
      <c r="A25" s="3" t="s">
        <v>1066</v>
      </c>
      <c r="B25" s="3" t="s">
        <v>1069</v>
      </c>
      <c r="C25" s="3" t="s">
        <v>1070</v>
      </c>
      <c r="D25" s="3" t="s">
        <v>1071</v>
      </c>
      <c r="E25" s="3" t="s">
        <v>55</v>
      </c>
      <c r="F25" s="3" t="s">
        <v>1432</v>
      </c>
      <c r="G25" s="3" t="s">
        <v>1074</v>
      </c>
      <c r="H25" s="3" t="s">
        <v>720</v>
      </c>
      <c r="I25" s="13" t="s">
        <v>1047</v>
      </c>
    </row>
    <row r="26" spans="1:9">
      <c r="A26" s="3" t="s">
        <v>1066</v>
      </c>
      <c r="B26" s="3" t="s">
        <v>1069</v>
      </c>
      <c r="C26" s="3" t="s">
        <v>1073</v>
      </c>
      <c r="D26" s="3" t="s">
        <v>1071</v>
      </c>
      <c r="E26" s="3" t="s">
        <v>55</v>
      </c>
      <c r="F26" s="3" t="s">
        <v>1432</v>
      </c>
      <c r="G26" s="3" t="s">
        <v>1074</v>
      </c>
      <c r="H26" s="3" t="s">
        <v>720</v>
      </c>
      <c r="I26" s="13" t="s">
        <v>394</v>
      </c>
    </row>
    <row r="27" spans="1:9">
      <c r="A27" s="3" t="s">
        <v>1066</v>
      </c>
      <c r="B27" s="3" t="s">
        <v>1069</v>
      </c>
      <c r="C27" s="3" t="s">
        <v>1070</v>
      </c>
      <c r="D27" s="3" t="s">
        <v>1071</v>
      </c>
      <c r="E27" s="3" t="s">
        <v>55</v>
      </c>
      <c r="F27" s="3" t="s">
        <v>1433</v>
      </c>
      <c r="G27" s="3" t="s">
        <v>1074</v>
      </c>
      <c r="H27" s="3" t="s">
        <v>332</v>
      </c>
      <c r="I27" s="13" t="s">
        <v>1047</v>
      </c>
    </row>
    <row r="28" spans="1:9">
      <c r="A28" s="3" t="s">
        <v>1066</v>
      </c>
      <c r="B28" s="3" t="s">
        <v>1069</v>
      </c>
      <c r="C28" s="3" t="s">
        <v>1073</v>
      </c>
      <c r="D28" s="3" t="s">
        <v>1071</v>
      </c>
      <c r="E28" s="3" t="s">
        <v>55</v>
      </c>
      <c r="F28" s="3" t="s">
        <v>1433</v>
      </c>
      <c r="G28" s="3" t="s">
        <v>1074</v>
      </c>
      <c r="H28" s="3" t="s">
        <v>332</v>
      </c>
      <c r="I28" s="13" t="s">
        <v>394</v>
      </c>
    </row>
    <row r="29" spans="1:9">
      <c r="A29" s="3" t="s">
        <v>1066</v>
      </c>
      <c r="B29" s="3" t="s">
        <v>1069</v>
      </c>
      <c r="C29" s="3" t="s">
        <v>1070</v>
      </c>
      <c r="D29" s="3" t="s">
        <v>1071</v>
      </c>
      <c r="E29" s="3" t="s">
        <v>55</v>
      </c>
      <c r="F29" s="3" t="s">
        <v>1434</v>
      </c>
      <c r="G29" s="3" t="s">
        <v>1074</v>
      </c>
      <c r="H29" s="3" t="s">
        <v>332</v>
      </c>
      <c r="I29" s="13" t="s">
        <v>1047</v>
      </c>
    </row>
    <row r="30" spans="1:9">
      <c r="A30" s="3" t="s">
        <v>1066</v>
      </c>
      <c r="B30" s="3" t="s">
        <v>1069</v>
      </c>
      <c r="C30" s="3" t="s">
        <v>1073</v>
      </c>
      <c r="D30" s="3" t="s">
        <v>1071</v>
      </c>
      <c r="E30" s="3" t="s">
        <v>55</v>
      </c>
      <c r="F30" s="3" t="s">
        <v>1434</v>
      </c>
      <c r="G30" s="3" t="s">
        <v>1074</v>
      </c>
      <c r="H30" s="3" t="s">
        <v>332</v>
      </c>
      <c r="I30" s="13" t="s">
        <v>394</v>
      </c>
    </row>
    <row r="31" spans="1:9">
      <c r="A31" s="3" t="s">
        <v>1066</v>
      </c>
      <c r="B31" s="3" t="s">
        <v>1069</v>
      </c>
      <c r="C31" s="3" t="s">
        <v>1070</v>
      </c>
      <c r="D31" s="3" t="s">
        <v>1071</v>
      </c>
      <c r="E31" s="3" t="s">
        <v>55</v>
      </c>
      <c r="F31" s="3" t="s">
        <v>1436</v>
      </c>
      <c r="G31" s="3" t="s">
        <v>1074</v>
      </c>
      <c r="H31" s="3" t="s">
        <v>332</v>
      </c>
      <c r="I31" s="13" t="s">
        <v>1047</v>
      </c>
    </row>
    <row r="32" spans="1:9">
      <c r="A32" s="3" t="s">
        <v>1066</v>
      </c>
      <c r="B32" s="3" t="s">
        <v>1069</v>
      </c>
      <c r="C32" s="3" t="s">
        <v>1073</v>
      </c>
      <c r="D32" s="3" t="s">
        <v>1071</v>
      </c>
      <c r="E32" s="3" t="s">
        <v>55</v>
      </c>
      <c r="F32" s="3" t="s">
        <v>1436</v>
      </c>
      <c r="G32" s="3" t="s">
        <v>1074</v>
      </c>
      <c r="H32" s="3" t="s">
        <v>332</v>
      </c>
      <c r="I32" s="13" t="s">
        <v>394</v>
      </c>
    </row>
    <row r="33" spans="1:9">
      <c r="A33" s="3" t="s">
        <v>1066</v>
      </c>
      <c r="B33" s="3" t="s">
        <v>1069</v>
      </c>
      <c r="C33" s="3" t="s">
        <v>1070</v>
      </c>
      <c r="D33" s="3" t="s">
        <v>1071</v>
      </c>
      <c r="E33" s="3" t="s">
        <v>55</v>
      </c>
      <c r="F33" s="3" t="s">
        <v>1437</v>
      </c>
      <c r="G33" s="3" t="s">
        <v>1074</v>
      </c>
      <c r="H33" s="3" t="s">
        <v>333</v>
      </c>
      <c r="I33" s="13" t="s">
        <v>1047</v>
      </c>
    </row>
    <row r="34" spans="1:9">
      <c r="A34" s="3" t="s">
        <v>1066</v>
      </c>
      <c r="B34" s="3" t="s">
        <v>1069</v>
      </c>
      <c r="C34" s="3" t="s">
        <v>1073</v>
      </c>
      <c r="D34" s="3" t="s">
        <v>1071</v>
      </c>
      <c r="E34" s="3" t="s">
        <v>55</v>
      </c>
      <c r="F34" s="3" t="s">
        <v>1437</v>
      </c>
      <c r="G34" s="3" t="s">
        <v>1074</v>
      </c>
      <c r="H34" s="3" t="s">
        <v>333</v>
      </c>
      <c r="I34" s="13" t="s">
        <v>394</v>
      </c>
    </row>
    <row r="35" spans="1:9">
      <c r="A35" s="3" t="s">
        <v>1066</v>
      </c>
      <c r="B35" s="3" t="s">
        <v>1069</v>
      </c>
      <c r="C35" s="3" t="s">
        <v>1070</v>
      </c>
      <c r="D35" s="3" t="s">
        <v>1071</v>
      </c>
      <c r="E35" s="3" t="s">
        <v>55</v>
      </c>
      <c r="F35" s="3" t="s">
        <v>1438</v>
      </c>
      <c r="G35" s="3" t="s">
        <v>1074</v>
      </c>
      <c r="H35" s="3" t="s">
        <v>334</v>
      </c>
      <c r="I35" s="13" t="s">
        <v>1047</v>
      </c>
    </row>
    <row r="36" spans="1:9">
      <c r="A36" s="3" t="s">
        <v>1066</v>
      </c>
      <c r="B36" s="3" t="s">
        <v>1069</v>
      </c>
      <c r="C36" s="3" t="s">
        <v>1073</v>
      </c>
      <c r="D36" s="3" t="s">
        <v>1071</v>
      </c>
      <c r="E36" s="3" t="s">
        <v>55</v>
      </c>
      <c r="F36" s="3" t="s">
        <v>1438</v>
      </c>
      <c r="G36" s="3" t="s">
        <v>1074</v>
      </c>
      <c r="H36" s="3" t="s">
        <v>334</v>
      </c>
      <c r="I36" s="13" t="s">
        <v>394</v>
      </c>
    </row>
    <row r="37" spans="1:9">
      <c r="A37" s="3" t="s">
        <v>1066</v>
      </c>
      <c r="B37" s="3" t="s">
        <v>1069</v>
      </c>
      <c r="C37" s="3" t="s">
        <v>1070</v>
      </c>
      <c r="D37" s="3" t="s">
        <v>1071</v>
      </c>
      <c r="E37" s="3" t="s">
        <v>55</v>
      </c>
      <c r="F37" s="3" t="s">
        <v>1439</v>
      </c>
      <c r="G37" s="3" t="s">
        <v>1074</v>
      </c>
      <c r="H37" s="3" t="s">
        <v>331</v>
      </c>
      <c r="I37" s="13" t="s">
        <v>1047</v>
      </c>
    </row>
    <row r="38" spans="1:9">
      <c r="A38" s="3" t="s">
        <v>1066</v>
      </c>
      <c r="B38" s="3" t="s">
        <v>1069</v>
      </c>
      <c r="C38" s="3" t="s">
        <v>1073</v>
      </c>
      <c r="D38" s="3" t="s">
        <v>1071</v>
      </c>
      <c r="E38" s="3" t="s">
        <v>55</v>
      </c>
      <c r="F38" s="3" t="s">
        <v>1439</v>
      </c>
      <c r="G38" s="3" t="s">
        <v>1074</v>
      </c>
      <c r="H38" s="3" t="s">
        <v>331</v>
      </c>
      <c r="I38" s="13" t="s">
        <v>394</v>
      </c>
    </row>
    <row r="39" spans="1:9">
      <c r="A39" s="3" t="s">
        <v>1066</v>
      </c>
      <c r="B39" s="3" t="s">
        <v>1069</v>
      </c>
      <c r="C39" s="3" t="s">
        <v>1070</v>
      </c>
      <c r="D39" s="3" t="s">
        <v>1071</v>
      </c>
      <c r="E39" s="3" t="s">
        <v>55</v>
      </c>
      <c r="F39" s="3" t="s">
        <v>1431</v>
      </c>
      <c r="G39" s="3" t="s">
        <v>1075</v>
      </c>
      <c r="H39" s="3" t="s">
        <v>327</v>
      </c>
      <c r="I39" s="13" t="s">
        <v>1047</v>
      </c>
    </row>
    <row r="40" spans="1:9">
      <c r="A40" s="3" t="s">
        <v>1066</v>
      </c>
      <c r="B40" s="3" t="s">
        <v>1069</v>
      </c>
      <c r="C40" s="3" t="s">
        <v>1073</v>
      </c>
      <c r="D40" s="3" t="s">
        <v>1071</v>
      </c>
      <c r="E40" s="3" t="s">
        <v>55</v>
      </c>
      <c r="F40" s="3" t="s">
        <v>1431</v>
      </c>
      <c r="G40" s="3" t="s">
        <v>1075</v>
      </c>
      <c r="H40" s="3" t="s">
        <v>327</v>
      </c>
      <c r="I40" s="13" t="s">
        <v>394</v>
      </c>
    </row>
    <row r="41" spans="1:9">
      <c r="A41" s="3" t="s">
        <v>1066</v>
      </c>
      <c r="B41" s="3" t="s">
        <v>1069</v>
      </c>
      <c r="C41" s="3" t="s">
        <v>1070</v>
      </c>
      <c r="D41" s="3" t="s">
        <v>1071</v>
      </c>
      <c r="E41" s="3" t="s">
        <v>55</v>
      </c>
      <c r="F41" s="3" t="s">
        <v>1432</v>
      </c>
      <c r="G41" s="3" t="s">
        <v>1075</v>
      </c>
      <c r="H41" s="3" t="s">
        <v>719</v>
      </c>
      <c r="I41" s="13" t="s">
        <v>1047</v>
      </c>
    </row>
    <row r="42" spans="1:9">
      <c r="A42" s="3" t="s">
        <v>1066</v>
      </c>
      <c r="B42" s="3" t="s">
        <v>1069</v>
      </c>
      <c r="C42" s="3" t="s">
        <v>1073</v>
      </c>
      <c r="D42" s="3" t="s">
        <v>1071</v>
      </c>
      <c r="E42" s="3" t="s">
        <v>55</v>
      </c>
      <c r="F42" s="3" t="s">
        <v>1432</v>
      </c>
      <c r="G42" s="3" t="s">
        <v>1075</v>
      </c>
      <c r="H42" s="3" t="s">
        <v>719</v>
      </c>
      <c r="I42" s="13" t="s">
        <v>394</v>
      </c>
    </row>
    <row r="43" spans="1:9">
      <c r="A43" s="3" t="s">
        <v>1066</v>
      </c>
      <c r="B43" s="3" t="s">
        <v>1069</v>
      </c>
      <c r="C43" s="3" t="s">
        <v>1070</v>
      </c>
      <c r="D43" s="3" t="s">
        <v>1071</v>
      </c>
      <c r="E43" s="3" t="s">
        <v>55</v>
      </c>
      <c r="F43" s="3" t="s">
        <v>1433</v>
      </c>
      <c r="G43" s="3" t="s">
        <v>1075</v>
      </c>
      <c r="H43" s="3" t="s">
        <v>311</v>
      </c>
      <c r="I43" s="13" t="s">
        <v>1047</v>
      </c>
    </row>
    <row r="44" spans="1:9">
      <c r="A44" s="3" t="s">
        <v>1066</v>
      </c>
      <c r="B44" s="3" t="s">
        <v>1069</v>
      </c>
      <c r="C44" s="3" t="s">
        <v>1073</v>
      </c>
      <c r="D44" s="3" t="s">
        <v>1071</v>
      </c>
      <c r="E44" s="3" t="s">
        <v>55</v>
      </c>
      <c r="F44" s="3" t="s">
        <v>1433</v>
      </c>
      <c r="G44" s="3" t="s">
        <v>1075</v>
      </c>
      <c r="H44" s="3" t="s">
        <v>311</v>
      </c>
      <c r="I44" s="13" t="s">
        <v>394</v>
      </c>
    </row>
    <row r="45" spans="1:9">
      <c r="A45" s="3" t="s">
        <v>1066</v>
      </c>
      <c r="B45" s="3" t="s">
        <v>1069</v>
      </c>
      <c r="C45" s="3" t="s">
        <v>1070</v>
      </c>
      <c r="D45" s="3" t="s">
        <v>1071</v>
      </c>
      <c r="E45" s="3" t="s">
        <v>55</v>
      </c>
      <c r="F45" s="3" t="s">
        <v>1434</v>
      </c>
      <c r="G45" s="3" t="s">
        <v>1075</v>
      </c>
      <c r="H45" s="3" t="s">
        <v>311</v>
      </c>
      <c r="I45" s="13" t="s">
        <v>1047</v>
      </c>
    </row>
    <row r="46" spans="1:9">
      <c r="A46" s="3" t="s">
        <v>1066</v>
      </c>
      <c r="B46" s="3" t="s">
        <v>1069</v>
      </c>
      <c r="C46" s="3" t="s">
        <v>1073</v>
      </c>
      <c r="D46" s="3" t="s">
        <v>1071</v>
      </c>
      <c r="E46" s="3" t="s">
        <v>55</v>
      </c>
      <c r="F46" s="3" t="s">
        <v>1434</v>
      </c>
      <c r="G46" s="3" t="s">
        <v>1075</v>
      </c>
      <c r="H46" s="3" t="s">
        <v>311</v>
      </c>
      <c r="I46" s="13" t="s">
        <v>394</v>
      </c>
    </row>
    <row r="47" spans="1:9">
      <c r="A47" s="3" t="s">
        <v>1066</v>
      </c>
      <c r="B47" s="3" t="s">
        <v>1069</v>
      </c>
      <c r="C47" s="3" t="s">
        <v>1070</v>
      </c>
      <c r="D47" s="3" t="s">
        <v>1071</v>
      </c>
      <c r="E47" s="3" t="s">
        <v>55</v>
      </c>
      <c r="F47" s="3" t="s">
        <v>1435</v>
      </c>
      <c r="G47" s="3" t="s">
        <v>1075</v>
      </c>
      <c r="H47" s="3" t="s">
        <v>740</v>
      </c>
      <c r="I47" s="13" t="s">
        <v>1047</v>
      </c>
    </row>
    <row r="48" spans="1:9">
      <c r="A48" s="3" t="s">
        <v>1066</v>
      </c>
      <c r="B48" s="3" t="s">
        <v>1069</v>
      </c>
      <c r="C48" s="3" t="s">
        <v>1073</v>
      </c>
      <c r="D48" s="3" t="s">
        <v>1071</v>
      </c>
      <c r="E48" s="3" t="s">
        <v>55</v>
      </c>
      <c r="F48" s="3" t="s">
        <v>1435</v>
      </c>
      <c r="G48" s="3" t="s">
        <v>1075</v>
      </c>
      <c r="H48" s="3" t="s">
        <v>740</v>
      </c>
      <c r="I48" s="13" t="s">
        <v>394</v>
      </c>
    </row>
    <row r="49" spans="1:9">
      <c r="A49" s="3" t="s">
        <v>1066</v>
      </c>
      <c r="B49" s="3" t="s">
        <v>1069</v>
      </c>
      <c r="C49" s="3" t="s">
        <v>1070</v>
      </c>
      <c r="D49" s="3" t="s">
        <v>1071</v>
      </c>
      <c r="E49" s="3" t="s">
        <v>55</v>
      </c>
      <c r="F49" s="3" t="s">
        <v>1635</v>
      </c>
      <c r="G49" s="3" t="s">
        <v>1075</v>
      </c>
      <c r="H49" s="3" t="s">
        <v>885</v>
      </c>
      <c r="I49" s="13" t="s">
        <v>1047</v>
      </c>
    </row>
    <row r="50" spans="1:9">
      <c r="A50" s="3" t="s">
        <v>1066</v>
      </c>
      <c r="B50" s="3" t="s">
        <v>1069</v>
      </c>
      <c r="C50" s="3" t="s">
        <v>1073</v>
      </c>
      <c r="D50" s="3" t="s">
        <v>1071</v>
      </c>
      <c r="E50" s="3" t="s">
        <v>55</v>
      </c>
      <c r="F50" s="3" t="s">
        <v>1635</v>
      </c>
      <c r="G50" s="3" t="s">
        <v>1075</v>
      </c>
      <c r="H50" s="3" t="s">
        <v>885</v>
      </c>
      <c r="I50" s="13" t="s">
        <v>394</v>
      </c>
    </row>
    <row r="51" spans="1:9">
      <c r="A51" s="3" t="s">
        <v>1066</v>
      </c>
      <c r="B51" s="3" t="s">
        <v>1069</v>
      </c>
      <c r="C51" s="3" t="s">
        <v>1070</v>
      </c>
      <c r="D51" s="3" t="s">
        <v>1071</v>
      </c>
      <c r="E51" s="3" t="s">
        <v>55</v>
      </c>
      <c r="F51" s="3" t="s">
        <v>1436</v>
      </c>
      <c r="G51" s="3" t="s">
        <v>1075</v>
      </c>
      <c r="H51" s="3" t="s">
        <v>311</v>
      </c>
      <c r="I51" s="13" t="s">
        <v>1047</v>
      </c>
    </row>
    <row r="52" spans="1:9">
      <c r="A52" s="3" t="s">
        <v>1066</v>
      </c>
      <c r="B52" s="3" t="s">
        <v>1069</v>
      </c>
      <c r="C52" s="3" t="s">
        <v>1073</v>
      </c>
      <c r="D52" s="3" t="s">
        <v>1071</v>
      </c>
      <c r="E52" s="3" t="s">
        <v>55</v>
      </c>
      <c r="F52" s="3" t="s">
        <v>1436</v>
      </c>
      <c r="G52" s="3" t="s">
        <v>1075</v>
      </c>
      <c r="H52" s="3" t="s">
        <v>311</v>
      </c>
      <c r="I52" s="13" t="s">
        <v>394</v>
      </c>
    </row>
    <row r="53" spans="1:9">
      <c r="A53" s="3" t="s">
        <v>1066</v>
      </c>
      <c r="B53" s="3" t="s">
        <v>1069</v>
      </c>
      <c r="C53" s="3" t="s">
        <v>1070</v>
      </c>
      <c r="D53" s="3" t="s">
        <v>1071</v>
      </c>
      <c r="E53" s="3" t="s">
        <v>55</v>
      </c>
      <c r="F53" s="3" t="s">
        <v>1437</v>
      </c>
      <c r="G53" s="3" t="s">
        <v>1075</v>
      </c>
      <c r="H53" s="3" t="s">
        <v>448</v>
      </c>
      <c r="I53" s="13" t="s">
        <v>1047</v>
      </c>
    </row>
    <row r="54" spans="1:9">
      <c r="A54" s="3" t="s">
        <v>1066</v>
      </c>
      <c r="B54" s="3" t="s">
        <v>1069</v>
      </c>
      <c r="C54" s="3" t="s">
        <v>1073</v>
      </c>
      <c r="D54" s="3" t="s">
        <v>1071</v>
      </c>
      <c r="E54" s="3" t="s">
        <v>55</v>
      </c>
      <c r="F54" s="3" t="s">
        <v>1437</v>
      </c>
      <c r="G54" s="3" t="s">
        <v>1075</v>
      </c>
      <c r="H54" s="3" t="s">
        <v>448</v>
      </c>
      <c r="I54" s="13" t="s">
        <v>394</v>
      </c>
    </row>
    <row r="55" spans="1:9">
      <c r="A55" s="3" t="s">
        <v>1066</v>
      </c>
      <c r="B55" s="3" t="s">
        <v>1069</v>
      </c>
      <c r="C55" s="3" t="s">
        <v>1070</v>
      </c>
      <c r="D55" s="3" t="s">
        <v>1071</v>
      </c>
      <c r="E55" s="3" t="s">
        <v>55</v>
      </c>
      <c r="F55" s="3" t="s">
        <v>1438</v>
      </c>
      <c r="G55" s="3" t="s">
        <v>1075</v>
      </c>
      <c r="H55" s="3" t="s">
        <v>328</v>
      </c>
      <c r="I55" s="13" t="s">
        <v>1047</v>
      </c>
    </row>
    <row r="56" spans="1:9">
      <c r="A56" s="3" t="s">
        <v>1066</v>
      </c>
      <c r="B56" s="3" t="s">
        <v>1069</v>
      </c>
      <c r="C56" s="3" t="s">
        <v>1073</v>
      </c>
      <c r="D56" s="3" t="s">
        <v>1071</v>
      </c>
      <c r="E56" s="3" t="s">
        <v>55</v>
      </c>
      <c r="F56" s="3" t="s">
        <v>1438</v>
      </c>
      <c r="G56" s="3" t="s">
        <v>1075</v>
      </c>
      <c r="H56" s="3" t="s">
        <v>328</v>
      </c>
      <c r="I56" s="13" t="s">
        <v>394</v>
      </c>
    </row>
    <row r="57" spans="1:9">
      <c r="A57" s="3" t="s">
        <v>1066</v>
      </c>
      <c r="B57" s="3" t="s">
        <v>1069</v>
      </c>
      <c r="C57" s="3" t="s">
        <v>1070</v>
      </c>
      <c r="D57" s="3" t="s">
        <v>1071</v>
      </c>
      <c r="E57" s="3" t="s">
        <v>55</v>
      </c>
      <c r="F57" s="3" t="s">
        <v>1636</v>
      </c>
      <c r="G57" s="3" t="s">
        <v>1075</v>
      </c>
      <c r="H57" s="3" t="s">
        <v>684</v>
      </c>
      <c r="I57" s="13" t="s">
        <v>1047</v>
      </c>
    </row>
    <row r="58" spans="1:9">
      <c r="A58" s="3" t="s">
        <v>1066</v>
      </c>
      <c r="B58" s="3" t="s">
        <v>1069</v>
      </c>
      <c r="C58" s="3" t="s">
        <v>1073</v>
      </c>
      <c r="D58" s="3" t="s">
        <v>1071</v>
      </c>
      <c r="E58" s="3" t="s">
        <v>55</v>
      </c>
      <c r="F58" s="3" t="s">
        <v>1636</v>
      </c>
      <c r="G58" s="3" t="s">
        <v>1075</v>
      </c>
      <c r="H58" s="3" t="s">
        <v>684</v>
      </c>
      <c r="I58" s="13" t="s">
        <v>394</v>
      </c>
    </row>
    <row r="59" spans="1:9">
      <c r="A59" s="3" t="s">
        <v>1066</v>
      </c>
      <c r="B59" s="3" t="s">
        <v>1069</v>
      </c>
      <c r="C59" s="3" t="s">
        <v>1070</v>
      </c>
      <c r="D59" s="3" t="s">
        <v>1071</v>
      </c>
      <c r="E59" s="3" t="s">
        <v>55</v>
      </c>
      <c r="F59" s="3" t="s">
        <v>1439</v>
      </c>
      <c r="G59" s="3" t="s">
        <v>1075</v>
      </c>
      <c r="H59" s="3" t="s">
        <v>309</v>
      </c>
      <c r="I59" s="13" t="s">
        <v>1047</v>
      </c>
    </row>
    <row r="60" spans="1:9">
      <c r="A60" s="3" t="s">
        <v>1066</v>
      </c>
      <c r="B60" s="3" t="s">
        <v>1069</v>
      </c>
      <c r="C60" s="3" t="s">
        <v>1073</v>
      </c>
      <c r="D60" s="3" t="s">
        <v>1071</v>
      </c>
      <c r="E60" s="3" t="s">
        <v>55</v>
      </c>
      <c r="F60" s="3" t="s">
        <v>1439</v>
      </c>
      <c r="G60" s="3" t="s">
        <v>1075</v>
      </c>
      <c r="H60" s="3" t="s">
        <v>309</v>
      </c>
      <c r="I60" s="13" t="s">
        <v>394</v>
      </c>
    </row>
    <row r="61" spans="1:9">
      <c r="A61" s="3" t="s">
        <v>1066</v>
      </c>
      <c r="B61" s="3" t="s">
        <v>1069</v>
      </c>
      <c r="C61" s="3" t="s">
        <v>1070</v>
      </c>
      <c r="D61" s="3" t="s">
        <v>1071</v>
      </c>
      <c r="E61" s="3" t="s">
        <v>55</v>
      </c>
      <c r="F61" s="3" t="s">
        <v>1431</v>
      </c>
      <c r="G61" s="3" t="s">
        <v>1076</v>
      </c>
      <c r="H61" s="3" t="s">
        <v>1047</v>
      </c>
      <c r="I61" s="13" t="s">
        <v>1047</v>
      </c>
    </row>
    <row r="62" spans="1:9">
      <c r="A62" s="3" t="s">
        <v>1066</v>
      </c>
      <c r="B62" s="3" t="s">
        <v>1069</v>
      </c>
      <c r="C62" s="3" t="s">
        <v>1073</v>
      </c>
      <c r="D62" s="3" t="s">
        <v>1071</v>
      </c>
      <c r="E62" s="3" t="s">
        <v>55</v>
      </c>
      <c r="F62" s="3" t="s">
        <v>1431</v>
      </c>
      <c r="G62" s="3" t="s">
        <v>1076</v>
      </c>
      <c r="H62" s="3" t="s">
        <v>394</v>
      </c>
      <c r="I62" s="13" t="s">
        <v>394</v>
      </c>
    </row>
    <row r="63" spans="1:9">
      <c r="A63" s="3" t="s">
        <v>1066</v>
      </c>
      <c r="B63" s="3" t="s">
        <v>1069</v>
      </c>
      <c r="C63" s="3" t="s">
        <v>1070</v>
      </c>
      <c r="D63" s="3" t="s">
        <v>1071</v>
      </c>
      <c r="E63" s="3" t="s">
        <v>55</v>
      </c>
      <c r="F63" s="3" t="s">
        <v>1432</v>
      </c>
      <c r="G63" s="3" t="s">
        <v>1076</v>
      </c>
      <c r="H63" s="3" t="s">
        <v>1047</v>
      </c>
      <c r="I63" s="13" t="s">
        <v>1047</v>
      </c>
    </row>
    <row r="64" spans="1:9">
      <c r="A64" s="3" t="s">
        <v>1066</v>
      </c>
      <c r="B64" s="3" t="s">
        <v>1069</v>
      </c>
      <c r="C64" s="3" t="s">
        <v>1073</v>
      </c>
      <c r="D64" s="3" t="s">
        <v>1071</v>
      </c>
      <c r="E64" s="3" t="s">
        <v>55</v>
      </c>
      <c r="F64" s="3" t="s">
        <v>1432</v>
      </c>
      <c r="G64" s="3" t="s">
        <v>1076</v>
      </c>
      <c r="H64" s="3" t="s">
        <v>394</v>
      </c>
      <c r="I64" s="13" t="s">
        <v>394</v>
      </c>
    </row>
    <row r="65" spans="1:9">
      <c r="A65" s="3" t="s">
        <v>1066</v>
      </c>
      <c r="B65" s="3" t="s">
        <v>1069</v>
      </c>
      <c r="C65" s="3" t="s">
        <v>1070</v>
      </c>
      <c r="D65" s="3" t="s">
        <v>1071</v>
      </c>
      <c r="E65" s="3" t="s">
        <v>55</v>
      </c>
      <c r="F65" s="3" t="s">
        <v>1433</v>
      </c>
      <c r="G65" s="3" t="s">
        <v>1076</v>
      </c>
      <c r="H65" s="3" t="s">
        <v>1047</v>
      </c>
      <c r="I65" s="13" t="s">
        <v>1047</v>
      </c>
    </row>
    <row r="66" spans="1:9">
      <c r="A66" s="3" t="s">
        <v>1066</v>
      </c>
      <c r="B66" s="3" t="s">
        <v>1069</v>
      </c>
      <c r="C66" s="3" t="s">
        <v>1073</v>
      </c>
      <c r="D66" s="3" t="s">
        <v>1071</v>
      </c>
      <c r="E66" s="3" t="s">
        <v>55</v>
      </c>
      <c r="F66" s="3" t="s">
        <v>1433</v>
      </c>
      <c r="G66" s="3" t="s">
        <v>1076</v>
      </c>
      <c r="H66" s="3" t="s">
        <v>394</v>
      </c>
      <c r="I66" s="13" t="s">
        <v>394</v>
      </c>
    </row>
    <row r="67" spans="1:9">
      <c r="A67" s="3" t="s">
        <v>1066</v>
      </c>
      <c r="B67" s="3" t="s">
        <v>1069</v>
      </c>
      <c r="C67" s="3" t="s">
        <v>1070</v>
      </c>
      <c r="D67" s="3" t="s">
        <v>1071</v>
      </c>
      <c r="E67" s="3" t="s">
        <v>55</v>
      </c>
      <c r="F67" s="3" t="s">
        <v>1434</v>
      </c>
      <c r="G67" s="3" t="s">
        <v>1076</v>
      </c>
      <c r="H67" s="3" t="s">
        <v>1047</v>
      </c>
      <c r="I67" s="13" t="s">
        <v>1047</v>
      </c>
    </row>
    <row r="68" spans="1:9">
      <c r="A68" s="3" t="s">
        <v>1066</v>
      </c>
      <c r="B68" s="3" t="s">
        <v>1069</v>
      </c>
      <c r="C68" s="3" t="s">
        <v>1073</v>
      </c>
      <c r="D68" s="3" t="s">
        <v>1071</v>
      </c>
      <c r="E68" s="3" t="s">
        <v>55</v>
      </c>
      <c r="F68" s="3" t="s">
        <v>1434</v>
      </c>
      <c r="G68" s="3" t="s">
        <v>1076</v>
      </c>
      <c r="H68" s="3" t="s">
        <v>394</v>
      </c>
      <c r="I68" s="13" t="s">
        <v>394</v>
      </c>
    </row>
    <row r="69" spans="1:9">
      <c r="A69" s="3" t="s">
        <v>1066</v>
      </c>
      <c r="B69" s="3" t="s">
        <v>1069</v>
      </c>
      <c r="C69" s="3" t="s">
        <v>1070</v>
      </c>
      <c r="D69" s="3" t="s">
        <v>1071</v>
      </c>
      <c r="E69" s="3" t="s">
        <v>55</v>
      </c>
      <c r="F69" s="3" t="s">
        <v>1435</v>
      </c>
      <c r="G69" s="3" t="s">
        <v>1076</v>
      </c>
      <c r="H69" s="3" t="s">
        <v>1047</v>
      </c>
      <c r="I69" s="13" t="s">
        <v>1047</v>
      </c>
    </row>
    <row r="70" spans="1:9">
      <c r="A70" s="3" t="s">
        <v>1066</v>
      </c>
      <c r="B70" s="3" t="s">
        <v>1069</v>
      </c>
      <c r="C70" s="3" t="s">
        <v>1073</v>
      </c>
      <c r="D70" s="3" t="s">
        <v>1071</v>
      </c>
      <c r="E70" s="3" t="s">
        <v>55</v>
      </c>
      <c r="F70" s="3" t="s">
        <v>1435</v>
      </c>
      <c r="G70" s="3" t="s">
        <v>1076</v>
      </c>
      <c r="H70" s="3" t="s">
        <v>394</v>
      </c>
      <c r="I70" s="13" t="s">
        <v>394</v>
      </c>
    </row>
    <row r="71" spans="1:9">
      <c r="A71" s="3" t="s">
        <v>1066</v>
      </c>
      <c r="B71" s="3" t="s">
        <v>1069</v>
      </c>
      <c r="C71" s="3" t="s">
        <v>1070</v>
      </c>
      <c r="D71" s="3" t="s">
        <v>1071</v>
      </c>
      <c r="E71" s="3" t="s">
        <v>55</v>
      </c>
      <c r="F71" s="3" t="s">
        <v>1635</v>
      </c>
      <c r="G71" s="3" t="s">
        <v>1076</v>
      </c>
      <c r="H71" s="3" t="s">
        <v>1047</v>
      </c>
      <c r="I71" s="13" t="s">
        <v>1047</v>
      </c>
    </row>
    <row r="72" spans="1:9">
      <c r="A72" s="3" t="s">
        <v>1066</v>
      </c>
      <c r="B72" s="3" t="s">
        <v>1069</v>
      </c>
      <c r="C72" s="3" t="s">
        <v>1073</v>
      </c>
      <c r="D72" s="3" t="s">
        <v>1071</v>
      </c>
      <c r="E72" s="3" t="s">
        <v>55</v>
      </c>
      <c r="F72" s="3" t="s">
        <v>1635</v>
      </c>
      <c r="G72" s="3" t="s">
        <v>1076</v>
      </c>
      <c r="H72" s="3" t="s">
        <v>394</v>
      </c>
      <c r="I72" s="13" t="s">
        <v>394</v>
      </c>
    </row>
    <row r="73" spans="1:9">
      <c r="A73" s="3" t="s">
        <v>1066</v>
      </c>
      <c r="B73" s="3" t="s">
        <v>1069</v>
      </c>
      <c r="C73" s="3" t="s">
        <v>1070</v>
      </c>
      <c r="D73" s="3" t="s">
        <v>1071</v>
      </c>
      <c r="E73" s="3" t="s">
        <v>55</v>
      </c>
      <c r="F73" s="3" t="s">
        <v>1436</v>
      </c>
      <c r="G73" s="3" t="s">
        <v>1076</v>
      </c>
      <c r="H73" s="3" t="s">
        <v>1047</v>
      </c>
      <c r="I73" s="13" t="s">
        <v>1047</v>
      </c>
    </row>
    <row r="74" spans="1:9">
      <c r="A74" s="3" t="s">
        <v>1066</v>
      </c>
      <c r="B74" s="3" t="s">
        <v>1069</v>
      </c>
      <c r="C74" s="3" t="s">
        <v>1073</v>
      </c>
      <c r="D74" s="3" t="s">
        <v>1071</v>
      </c>
      <c r="E74" s="3" t="s">
        <v>55</v>
      </c>
      <c r="F74" s="3" t="s">
        <v>1436</v>
      </c>
      <c r="G74" s="3" t="s">
        <v>1076</v>
      </c>
      <c r="H74" s="3" t="s">
        <v>394</v>
      </c>
      <c r="I74" s="13" t="s">
        <v>394</v>
      </c>
    </row>
    <row r="75" spans="1:9">
      <c r="A75" s="3" t="s">
        <v>1066</v>
      </c>
      <c r="B75" s="3" t="s">
        <v>1069</v>
      </c>
      <c r="C75" s="3" t="s">
        <v>1070</v>
      </c>
      <c r="D75" s="3" t="s">
        <v>1071</v>
      </c>
      <c r="E75" s="3" t="s">
        <v>55</v>
      </c>
      <c r="F75" s="3" t="s">
        <v>1437</v>
      </c>
      <c r="G75" s="3" t="s">
        <v>1076</v>
      </c>
      <c r="H75" s="3" t="s">
        <v>1047</v>
      </c>
      <c r="I75" s="13" t="s">
        <v>1047</v>
      </c>
    </row>
    <row r="76" spans="1:9">
      <c r="A76" s="3" t="s">
        <v>1066</v>
      </c>
      <c r="B76" s="3" t="s">
        <v>1069</v>
      </c>
      <c r="C76" s="3" t="s">
        <v>1073</v>
      </c>
      <c r="D76" s="3" t="s">
        <v>1071</v>
      </c>
      <c r="E76" s="3" t="s">
        <v>55</v>
      </c>
      <c r="F76" s="3" t="s">
        <v>1437</v>
      </c>
      <c r="G76" s="3" t="s">
        <v>1076</v>
      </c>
      <c r="H76" s="3" t="s">
        <v>394</v>
      </c>
      <c r="I76" s="13" t="s">
        <v>394</v>
      </c>
    </row>
    <row r="77" spans="1:9">
      <c r="A77" s="3" t="s">
        <v>1066</v>
      </c>
      <c r="B77" s="3" t="s">
        <v>1069</v>
      </c>
      <c r="C77" s="3" t="s">
        <v>1070</v>
      </c>
      <c r="D77" s="3" t="s">
        <v>1071</v>
      </c>
      <c r="E77" s="3" t="s">
        <v>55</v>
      </c>
      <c r="F77" s="3" t="s">
        <v>1438</v>
      </c>
      <c r="G77" s="3" t="s">
        <v>1076</v>
      </c>
      <c r="H77" s="3" t="s">
        <v>1047</v>
      </c>
      <c r="I77" s="13" t="s">
        <v>1047</v>
      </c>
    </row>
    <row r="78" spans="1:9">
      <c r="A78" s="3" t="s">
        <v>1066</v>
      </c>
      <c r="B78" s="3" t="s">
        <v>1069</v>
      </c>
      <c r="C78" s="3" t="s">
        <v>1073</v>
      </c>
      <c r="D78" s="3" t="s">
        <v>1071</v>
      </c>
      <c r="E78" s="3" t="s">
        <v>55</v>
      </c>
      <c r="F78" s="3" t="s">
        <v>1438</v>
      </c>
      <c r="G78" s="3" t="s">
        <v>1076</v>
      </c>
      <c r="H78" s="3" t="s">
        <v>394</v>
      </c>
      <c r="I78" s="13" t="s">
        <v>394</v>
      </c>
    </row>
    <row r="79" spans="1:9">
      <c r="A79" s="3" t="s">
        <v>1066</v>
      </c>
      <c r="B79" s="3" t="s">
        <v>1069</v>
      </c>
      <c r="C79" s="3" t="s">
        <v>1070</v>
      </c>
      <c r="D79" s="3" t="s">
        <v>1071</v>
      </c>
      <c r="E79" s="3" t="s">
        <v>55</v>
      </c>
      <c r="F79" s="3" t="s">
        <v>1636</v>
      </c>
      <c r="G79" s="3" t="s">
        <v>1076</v>
      </c>
      <c r="H79" s="3" t="s">
        <v>1047</v>
      </c>
      <c r="I79" s="13" t="s">
        <v>1047</v>
      </c>
    </row>
    <row r="80" spans="1:9">
      <c r="A80" s="3" t="s">
        <v>1066</v>
      </c>
      <c r="B80" s="3" t="s">
        <v>1069</v>
      </c>
      <c r="C80" s="3" t="s">
        <v>1073</v>
      </c>
      <c r="D80" s="3" t="s">
        <v>1071</v>
      </c>
      <c r="E80" s="3" t="s">
        <v>55</v>
      </c>
      <c r="F80" s="3" t="s">
        <v>1636</v>
      </c>
      <c r="G80" s="3" t="s">
        <v>1076</v>
      </c>
      <c r="H80" s="3" t="s">
        <v>394</v>
      </c>
      <c r="I80" s="13" t="s">
        <v>394</v>
      </c>
    </row>
    <row r="81" spans="1:9">
      <c r="A81" s="3" t="s">
        <v>1066</v>
      </c>
      <c r="B81" s="3" t="s">
        <v>1069</v>
      </c>
      <c r="C81" s="3" t="s">
        <v>1070</v>
      </c>
      <c r="D81" s="3" t="s">
        <v>1071</v>
      </c>
      <c r="E81" s="3" t="s">
        <v>55</v>
      </c>
      <c r="F81" s="3" t="s">
        <v>1439</v>
      </c>
      <c r="G81" s="3" t="s">
        <v>1076</v>
      </c>
      <c r="H81" s="3" t="s">
        <v>1047</v>
      </c>
      <c r="I81" s="13" t="s">
        <v>1047</v>
      </c>
    </row>
    <row r="82" spans="1:9">
      <c r="A82" s="3" t="s">
        <v>1066</v>
      </c>
      <c r="B82" s="3" t="s">
        <v>1069</v>
      </c>
      <c r="C82" s="3" t="s">
        <v>1073</v>
      </c>
      <c r="D82" s="3" t="s">
        <v>1071</v>
      </c>
      <c r="E82" s="3" t="s">
        <v>55</v>
      </c>
      <c r="F82" s="3" t="s">
        <v>1439</v>
      </c>
      <c r="G82" s="3" t="s">
        <v>1076</v>
      </c>
      <c r="H82" s="3" t="s">
        <v>394</v>
      </c>
      <c r="I82" s="13" t="s">
        <v>394</v>
      </c>
    </row>
    <row r="83" spans="1:9">
      <c r="A83" s="3" t="s">
        <v>1066</v>
      </c>
      <c r="B83" s="3" t="s">
        <v>1069</v>
      </c>
      <c r="C83" s="3" t="s">
        <v>1070</v>
      </c>
      <c r="D83" s="3" t="s">
        <v>1071</v>
      </c>
      <c r="E83" s="3" t="s">
        <v>55</v>
      </c>
      <c r="F83" s="3" t="s">
        <v>1431</v>
      </c>
      <c r="G83" s="3" t="s">
        <v>1077</v>
      </c>
      <c r="H83" s="3" t="s">
        <v>1047</v>
      </c>
      <c r="I83" s="13" t="s">
        <v>1047</v>
      </c>
    </row>
    <row r="84" spans="1:9">
      <c r="A84" s="3" t="s">
        <v>1066</v>
      </c>
      <c r="B84" s="3" t="s">
        <v>1069</v>
      </c>
      <c r="C84" s="3" t="s">
        <v>1073</v>
      </c>
      <c r="D84" s="3" t="s">
        <v>1071</v>
      </c>
      <c r="E84" s="3" t="s">
        <v>55</v>
      </c>
      <c r="F84" s="3" t="s">
        <v>1431</v>
      </c>
      <c r="G84" s="3" t="s">
        <v>1077</v>
      </c>
      <c r="H84" s="3" t="s">
        <v>394</v>
      </c>
      <c r="I84" s="13" t="s">
        <v>394</v>
      </c>
    </row>
    <row r="85" spans="1:9">
      <c r="A85" s="3" t="s">
        <v>1066</v>
      </c>
      <c r="B85" s="3" t="s">
        <v>1069</v>
      </c>
      <c r="C85" s="3" t="s">
        <v>1070</v>
      </c>
      <c r="D85" s="3" t="s">
        <v>1071</v>
      </c>
      <c r="E85" s="3" t="s">
        <v>55</v>
      </c>
      <c r="F85" s="3" t="s">
        <v>1432</v>
      </c>
      <c r="G85" s="3" t="s">
        <v>1077</v>
      </c>
      <c r="H85" s="3" t="s">
        <v>1047</v>
      </c>
      <c r="I85" s="13" t="s">
        <v>1047</v>
      </c>
    </row>
    <row r="86" spans="1:9">
      <c r="A86" s="3" t="s">
        <v>1066</v>
      </c>
      <c r="B86" s="3" t="s">
        <v>1069</v>
      </c>
      <c r="C86" s="3" t="s">
        <v>1073</v>
      </c>
      <c r="D86" s="3" t="s">
        <v>1071</v>
      </c>
      <c r="E86" s="3" t="s">
        <v>55</v>
      </c>
      <c r="F86" s="3" t="s">
        <v>1432</v>
      </c>
      <c r="G86" s="3" t="s">
        <v>1077</v>
      </c>
      <c r="H86" s="3" t="s">
        <v>394</v>
      </c>
      <c r="I86" s="13" t="s">
        <v>394</v>
      </c>
    </row>
    <row r="87" spans="1:9">
      <c r="A87" s="3" t="s">
        <v>1066</v>
      </c>
      <c r="B87" s="3" t="s">
        <v>1069</v>
      </c>
      <c r="C87" s="3" t="s">
        <v>1070</v>
      </c>
      <c r="D87" s="3" t="s">
        <v>1071</v>
      </c>
      <c r="E87" s="3" t="s">
        <v>55</v>
      </c>
      <c r="F87" s="3" t="s">
        <v>1433</v>
      </c>
      <c r="G87" s="3" t="s">
        <v>1077</v>
      </c>
      <c r="H87" s="3" t="s">
        <v>1047</v>
      </c>
      <c r="I87" s="13" t="s">
        <v>1047</v>
      </c>
    </row>
    <row r="88" spans="1:9">
      <c r="A88" s="3" t="s">
        <v>1066</v>
      </c>
      <c r="B88" s="3" t="s">
        <v>1069</v>
      </c>
      <c r="C88" s="3" t="s">
        <v>1073</v>
      </c>
      <c r="D88" s="3" t="s">
        <v>1071</v>
      </c>
      <c r="E88" s="3" t="s">
        <v>55</v>
      </c>
      <c r="F88" s="3" t="s">
        <v>1433</v>
      </c>
      <c r="G88" s="3" t="s">
        <v>1077</v>
      </c>
      <c r="H88" s="3" t="s">
        <v>394</v>
      </c>
      <c r="I88" s="13" t="s">
        <v>394</v>
      </c>
    </row>
    <row r="89" spans="1:9">
      <c r="A89" s="3" t="s">
        <v>1066</v>
      </c>
      <c r="B89" s="3" t="s">
        <v>1069</v>
      </c>
      <c r="C89" s="3" t="s">
        <v>1070</v>
      </c>
      <c r="D89" s="3" t="s">
        <v>1071</v>
      </c>
      <c r="E89" s="3" t="s">
        <v>55</v>
      </c>
      <c r="F89" s="3" t="s">
        <v>1434</v>
      </c>
      <c r="G89" s="3" t="s">
        <v>1077</v>
      </c>
      <c r="H89" s="3" t="s">
        <v>1047</v>
      </c>
      <c r="I89" s="13" t="s">
        <v>1047</v>
      </c>
    </row>
    <row r="90" spans="1:9">
      <c r="A90" s="3" t="s">
        <v>1066</v>
      </c>
      <c r="B90" s="3" t="s">
        <v>1069</v>
      </c>
      <c r="C90" s="3" t="s">
        <v>1073</v>
      </c>
      <c r="D90" s="3" t="s">
        <v>1071</v>
      </c>
      <c r="E90" s="3" t="s">
        <v>55</v>
      </c>
      <c r="F90" s="3" t="s">
        <v>1434</v>
      </c>
      <c r="G90" s="3" t="s">
        <v>1077</v>
      </c>
      <c r="H90" s="3" t="s">
        <v>394</v>
      </c>
      <c r="I90" s="13" t="s">
        <v>394</v>
      </c>
    </row>
    <row r="91" spans="1:9">
      <c r="A91" s="3" t="s">
        <v>1066</v>
      </c>
      <c r="B91" s="3" t="s">
        <v>1069</v>
      </c>
      <c r="C91" s="3" t="s">
        <v>1070</v>
      </c>
      <c r="D91" s="3" t="s">
        <v>1071</v>
      </c>
      <c r="E91" s="3" t="s">
        <v>55</v>
      </c>
      <c r="F91" s="3" t="s">
        <v>1435</v>
      </c>
      <c r="G91" s="3" t="s">
        <v>1077</v>
      </c>
      <c r="H91" s="3" t="s">
        <v>1047</v>
      </c>
      <c r="I91" s="13" t="s">
        <v>1047</v>
      </c>
    </row>
    <row r="92" spans="1:9">
      <c r="A92" s="3" t="s">
        <v>1066</v>
      </c>
      <c r="B92" s="3" t="s">
        <v>1069</v>
      </c>
      <c r="C92" s="3" t="s">
        <v>1073</v>
      </c>
      <c r="D92" s="3" t="s">
        <v>1071</v>
      </c>
      <c r="E92" s="3" t="s">
        <v>55</v>
      </c>
      <c r="F92" s="3" t="s">
        <v>1435</v>
      </c>
      <c r="G92" s="3" t="s">
        <v>1077</v>
      </c>
      <c r="H92" s="3" t="s">
        <v>394</v>
      </c>
      <c r="I92" s="13" t="s">
        <v>394</v>
      </c>
    </row>
    <row r="93" spans="1:9">
      <c r="A93" s="3" t="s">
        <v>1066</v>
      </c>
      <c r="B93" s="3" t="s">
        <v>1069</v>
      </c>
      <c r="C93" s="3" t="s">
        <v>1070</v>
      </c>
      <c r="D93" s="3" t="s">
        <v>1071</v>
      </c>
      <c r="E93" s="3" t="s">
        <v>55</v>
      </c>
      <c r="F93" s="3" t="s">
        <v>1635</v>
      </c>
      <c r="G93" s="3" t="s">
        <v>1077</v>
      </c>
      <c r="H93" s="3" t="s">
        <v>1047</v>
      </c>
      <c r="I93" s="13" t="s">
        <v>1047</v>
      </c>
    </row>
    <row r="94" spans="1:9">
      <c r="A94" s="3" t="s">
        <v>1066</v>
      </c>
      <c r="B94" s="3" t="s">
        <v>1069</v>
      </c>
      <c r="C94" s="3" t="s">
        <v>1073</v>
      </c>
      <c r="D94" s="3" t="s">
        <v>1071</v>
      </c>
      <c r="E94" s="3" t="s">
        <v>55</v>
      </c>
      <c r="F94" s="3" t="s">
        <v>1635</v>
      </c>
      <c r="G94" s="3" t="s">
        <v>1077</v>
      </c>
      <c r="H94" s="3" t="s">
        <v>394</v>
      </c>
      <c r="I94" s="13" t="s">
        <v>394</v>
      </c>
    </row>
    <row r="95" spans="1:9">
      <c r="A95" s="3" t="s">
        <v>1066</v>
      </c>
      <c r="B95" s="3" t="s">
        <v>1069</v>
      </c>
      <c r="C95" s="3" t="s">
        <v>1070</v>
      </c>
      <c r="D95" s="3" t="s">
        <v>1071</v>
      </c>
      <c r="E95" s="3" t="s">
        <v>55</v>
      </c>
      <c r="F95" s="3" t="s">
        <v>1436</v>
      </c>
      <c r="G95" s="3" t="s">
        <v>1077</v>
      </c>
      <c r="H95" s="3" t="s">
        <v>1047</v>
      </c>
      <c r="I95" s="13" t="s">
        <v>1047</v>
      </c>
    </row>
    <row r="96" spans="1:9">
      <c r="A96" s="3" t="s">
        <v>1066</v>
      </c>
      <c r="B96" s="3" t="s">
        <v>1069</v>
      </c>
      <c r="C96" s="3" t="s">
        <v>1073</v>
      </c>
      <c r="D96" s="3" t="s">
        <v>1071</v>
      </c>
      <c r="E96" s="3" t="s">
        <v>55</v>
      </c>
      <c r="F96" s="3" t="s">
        <v>1436</v>
      </c>
      <c r="G96" s="3" t="s">
        <v>1077</v>
      </c>
      <c r="H96" s="3" t="s">
        <v>394</v>
      </c>
      <c r="I96" s="13" t="s">
        <v>394</v>
      </c>
    </row>
    <row r="97" spans="1:9">
      <c r="A97" s="3" t="s">
        <v>1066</v>
      </c>
      <c r="B97" s="3" t="s">
        <v>1069</v>
      </c>
      <c r="C97" s="3" t="s">
        <v>1070</v>
      </c>
      <c r="D97" s="3" t="s">
        <v>1071</v>
      </c>
      <c r="E97" s="3" t="s">
        <v>55</v>
      </c>
      <c r="F97" s="3" t="s">
        <v>1437</v>
      </c>
      <c r="G97" s="3" t="s">
        <v>1077</v>
      </c>
      <c r="H97" s="3" t="s">
        <v>1047</v>
      </c>
      <c r="I97" s="13" t="s">
        <v>1047</v>
      </c>
    </row>
    <row r="98" spans="1:9">
      <c r="A98" s="3" t="s">
        <v>1066</v>
      </c>
      <c r="B98" s="3" t="s">
        <v>1069</v>
      </c>
      <c r="C98" s="3" t="s">
        <v>1073</v>
      </c>
      <c r="D98" s="3" t="s">
        <v>1071</v>
      </c>
      <c r="E98" s="3" t="s">
        <v>55</v>
      </c>
      <c r="F98" s="3" t="s">
        <v>1437</v>
      </c>
      <c r="G98" s="3" t="s">
        <v>1077</v>
      </c>
      <c r="H98" s="3" t="s">
        <v>394</v>
      </c>
      <c r="I98" s="13" t="s">
        <v>394</v>
      </c>
    </row>
    <row r="99" spans="1:9">
      <c r="A99" s="3" t="s">
        <v>1066</v>
      </c>
      <c r="B99" s="3" t="s">
        <v>1069</v>
      </c>
      <c r="C99" s="3" t="s">
        <v>1070</v>
      </c>
      <c r="D99" s="3" t="s">
        <v>1071</v>
      </c>
      <c r="E99" s="3" t="s">
        <v>55</v>
      </c>
      <c r="F99" s="3" t="s">
        <v>1438</v>
      </c>
      <c r="G99" s="3" t="s">
        <v>1077</v>
      </c>
      <c r="H99" s="3" t="s">
        <v>1047</v>
      </c>
      <c r="I99" s="13" t="s">
        <v>1047</v>
      </c>
    </row>
    <row r="100" spans="1:9">
      <c r="A100" s="3" t="s">
        <v>1066</v>
      </c>
      <c r="B100" s="3" t="s">
        <v>1069</v>
      </c>
      <c r="C100" s="3" t="s">
        <v>1073</v>
      </c>
      <c r="D100" s="3" t="s">
        <v>1071</v>
      </c>
      <c r="E100" s="3" t="s">
        <v>55</v>
      </c>
      <c r="F100" s="3" t="s">
        <v>1438</v>
      </c>
      <c r="G100" s="3" t="s">
        <v>1077</v>
      </c>
      <c r="H100" s="3" t="s">
        <v>394</v>
      </c>
      <c r="I100" s="13" t="s">
        <v>394</v>
      </c>
    </row>
    <row r="101" spans="1:9">
      <c r="A101" s="3" t="s">
        <v>1066</v>
      </c>
      <c r="B101" s="3" t="s">
        <v>1069</v>
      </c>
      <c r="C101" s="3" t="s">
        <v>1070</v>
      </c>
      <c r="D101" s="3" t="s">
        <v>1071</v>
      </c>
      <c r="E101" s="3" t="s">
        <v>55</v>
      </c>
      <c r="F101" s="3" t="s">
        <v>1636</v>
      </c>
      <c r="G101" s="3" t="s">
        <v>1077</v>
      </c>
      <c r="H101" s="3" t="s">
        <v>1047</v>
      </c>
      <c r="I101" s="13" t="s">
        <v>1047</v>
      </c>
    </row>
    <row r="102" spans="1:9">
      <c r="A102" s="3" t="s">
        <v>1066</v>
      </c>
      <c r="B102" s="3" t="s">
        <v>1069</v>
      </c>
      <c r="C102" s="3" t="s">
        <v>1073</v>
      </c>
      <c r="D102" s="3" t="s">
        <v>1071</v>
      </c>
      <c r="E102" s="3" t="s">
        <v>55</v>
      </c>
      <c r="F102" s="3" t="s">
        <v>1636</v>
      </c>
      <c r="G102" s="3" t="s">
        <v>1077</v>
      </c>
      <c r="H102" s="3" t="s">
        <v>394</v>
      </c>
      <c r="I102" s="13" t="s">
        <v>394</v>
      </c>
    </row>
    <row r="103" spans="1:9">
      <c r="A103" s="3" t="s">
        <v>1066</v>
      </c>
      <c r="B103" s="3" t="s">
        <v>1069</v>
      </c>
      <c r="C103" s="3" t="s">
        <v>1070</v>
      </c>
      <c r="D103" s="3" t="s">
        <v>1071</v>
      </c>
      <c r="E103" s="3" t="s">
        <v>55</v>
      </c>
      <c r="F103" s="3" t="s">
        <v>1439</v>
      </c>
      <c r="G103" s="3" t="s">
        <v>1077</v>
      </c>
      <c r="H103" s="3" t="s">
        <v>1047</v>
      </c>
      <c r="I103" s="13" t="s">
        <v>1047</v>
      </c>
    </row>
    <row r="104" spans="1:9">
      <c r="A104" s="3" t="s">
        <v>1066</v>
      </c>
      <c r="B104" s="3" t="s">
        <v>1069</v>
      </c>
      <c r="C104" s="3" t="s">
        <v>1073</v>
      </c>
      <c r="D104" s="3" t="s">
        <v>1071</v>
      </c>
      <c r="E104" s="3" t="s">
        <v>55</v>
      </c>
      <c r="F104" s="3" t="s">
        <v>1439</v>
      </c>
      <c r="G104" s="3" t="s">
        <v>1077</v>
      </c>
      <c r="H104" s="3" t="s">
        <v>394</v>
      </c>
      <c r="I104" s="13" t="s">
        <v>394</v>
      </c>
    </row>
    <row r="105" spans="1:9">
      <c r="A105" s="3" t="s">
        <v>1066</v>
      </c>
      <c r="B105" s="3" t="s">
        <v>1078</v>
      </c>
      <c r="C105" s="3" t="s">
        <v>56</v>
      </c>
      <c r="D105" s="3" t="s">
        <v>1071</v>
      </c>
      <c r="E105" s="3" t="s">
        <v>55</v>
      </c>
      <c r="F105" s="3" t="s">
        <v>1431</v>
      </c>
      <c r="G105" s="3" t="s">
        <v>1072</v>
      </c>
      <c r="H105" s="3" t="s">
        <v>330</v>
      </c>
      <c r="I105" s="13" t="s">
        <v>1047</v>
      </c>
    </row>
    <row r="106" spans="1:9">
      <c r="A106" s="3" t="s">
        <v>1066</v>
      </c>
      <c r="B106" s="3" t="s">
        <v>1078</v>
      </c>
      <c r="C106" s="3" t="s">
        <v>56</v>
      </c>
      <c r="D106" s="3" t="s">
        <v>1071</v>
      </c>
      <c r="E106" s="3" t="s">
        <v>55</v>
      </c>
      <c r="F106" s="3" t="s">
        <v>1432</v>
      </c>
      <c r="G106" s="3" t="s">
        <v>1072</v>
      </c>
      <c r="H106" s="3" t="s">
        <v>720</v>
      </c>
      <c r="I106" s="13" t="s">
        <v>1047</v>
      </c>
    </row>
    <row r="107" spans="1:9">
      <c r="A107" s="3" t="s">
        <v>1066</v>
      </c>
      <c r="B107" s="3" t="s">
        <v>1078</v>
      </c>
      <c r="C107" s="3" t="s">
        <v>56</v>
      </c>
      <c r="D107" s="3" t="s">
        <v>1071</v>
      </c>
      <c r="E107" s="3" t="s">
        <v>55</v>
      </c>
      <c r="F107" s="3" t="s">
        <v>1433</v>
      </c>
      <c r="G107" s="3" t="s">
        <v>1072</v>
      </c>
      <c r="H107" s="3" t="s">
        <v>332</v>
      </c>
      <c r="I107" s="13" t="s">
        <v>1047</v>
      </c>
    </row>
    <row r="108" spans="1:9">
      <c r="A108" s="3" t="s">
        <v>1066</v>
      </c>
      <c r="B108" s="3" t="s">
        <v>1078</v>
      </c>
      <c r="C108" s="3" t="s">
        <v>56</v>
      </c>
      <c r="D108" s="3" t="s">
        <v>1071</v>
      </c>
      <c r="E108" s="3" t="s">
        <v>55</v>
      </c>
      <c r="F108" s="3" t="s">
        <v>1434</v>
      </c>
      <c r="G108" s="3" t="s">
        <v>1072</v>
      </c>
      <c r="H108" s="3" t="s">
        <v>332</v>
      </c>
      <c r="I108" s="13" t="s">
        <v>1047</v>
      </c>
    </row>
    <row r="109" spans="1:9">
      <c r="A109" s="3" t="s">
        <v>1066</v>
      </c>
      <c r="B109" s="3" t="s">
        <v>1078</v>
      </c>
      <c r="C109" s="3" t="s">
        <v>56</v>
      </c>
      <c r="D109" s="3" t="s">
        <v>1071</v>
      </c>
      <c r="E109" s="3" t="s">
        <v>55</v>
      </c>
      <c r="F109" s="3" t="s">
        <v>1635</v>
      </c>
      <c r="G109" s="3" t="s">
        <v>1072</v>
      </c>
      <c r="H109" s="3" t="s">
        <v>889</v>
      </c>
      <c r="I109" s="13" t="s">
        <v>1047</v>
      </c>
    </row>
    <row r="110" spans="1:9">
      <c r="A110" s="3" t="s">
        <v>1066</v>
      </c>
      <c r="B110" s="3" t="s">
        <v>1078</v>
      </c>
      <c r="C110" s="3" t="s">
        <v>56</v>
      </c>
      <c r="D110" s="3" t="s">
        <v>1071</v>
      </c>
      <c r="E110" s="3" t="s">
        <v>55</v>
      </c>
      <c r="F110" s="3" t="s">
        <v>1436</v>
      </c>
      <c r="G110" s="3" t="s">
        <v>1072</v>
      </c>
      <c r="H110" s="3" t="s">
        <v>332</v>
      </c>
      <c r="I110" s="13" t="s">
        <v>1047</v>
      </c>
    </row>
    <row r="111" spans="1:9">
      <c r="A111" s="3" t="s">
        <v>1066</v>
      </c>
      <c r="B111" s="3" t="s">
        <v>1078</v>
      </c>
      <c r="C111" s="3" t="s">
        <v>56</v>
      </c>
      <c r="D111" s="3" t="s">
        <v>1071</v>
      </c>
      <c r="E111" s="3" t="s">
        <v>55</v>
      </c>
      <c r="F111" s="3" t="s">
        <v>1437</v>
      </c>
      <c r="G111" s="3" t="s">
        <v>1072</v>
      </c>
      <c r="H111" s="3" t="s">
        <v>333</v>
      </c>
      <c r="I111" s="13" t="s">
        <v>1047</v>
      </c>
    </row>
    <row r="112" spans="1:9">
      <c r="A112" s="3" t="s">
        <v>1066</v>
      </c>
      <c r="B112" s="3" t="s">
        <v>1078</v>
      </c>
      <c r="C112" s="3" t="s">
        <v>56</v>
      </c>
      <c r="D112" s="3" t="s">
        <v>1071</v>
      </c>
      <c r="E112" s="3" t="s">
        <v>55</v>
      </c>
      <c r="F112" s="3" t="s">
        <v>1438</v>
      </c>
      <c r="G112" s="3" t="s">
        <v>1072</v>
      </c>
      <c r="H112" s="3" t="s">
        <v>334</v>
      </c>
      <c r="I112" s="13" t="s">
        <v>1047</v>
      </c>
    </row>
    <row r="113" spans="1:9">
      <c r="A113" s="3" t="s">
        <v>1066</v>
      </c>
      <c r="B113" s="3" t="s">
        <v>1078</v>
      </c>
      <c r="C113" s="3" t="s">
        <v>56</v>
      </c>
      <c r="D113" s="3" t="s">
        <v>1071</v>
      </c>
      <c r="E113" s="3" t="s">
        <v>55</v>
      </c>
      <c r="F113" s="3" t="s">
        <v>1636</v>
      </c>
      <c r="G113" s="3" t="s">
        <v>1072</v>
      </c>
      <c r="H113" s="3" t="s">
        <v>722</v>
      </c>
      <c r="I113" s="13" t="s">
        <v>1047</v>
      </c>
    </row>
    <row r="114" spans="1:9">
      <c r="A114" s="3" t="s">
        <v>1066</v>
      </c>
      <c r="B114" s="3" t="s">
        <v>1078</v>
      </c>
      <c r="C114" s="3" t="s">
        <v>56</v>
      </c>
      <c r="D114" s="3" t="s">
        <v>1071</v>
      </c>
      <c r="E114" s="3" t="s">
        <v>55</v>
      </c>
      <c r="F114" s="3" t="s">
        <v>1439</v>
      </c>
      <c r="G114" s="3" t="s">
        <v>1072</v>
      </c>
      <c r="H114" s="3" t="s">
        <v>331</v>
      </c>
      <c r="I114" s="13" t="s">
        <v>1047</v>
      </c>
    </row>
    <row r="115" spans="1:9">
      <c r="A115" s="3" t="s">
        <v>1066</v>
      </c>
      <c r="B115" s="3" t="s">
        <v>1078</v>
      </c>
      <c r="C115" s="3" t="s">
        <v>56</v>
      </c>
      <c r="D115" s="3" t="s">
        <v>1071</v>
      </c>
      <c r="E115" s="3" t="s">
        <v>55</v>
      </c>
      <c r="F115" s="3" t="s">
        <v>1431</v>
      </c>
      <c r="G115" s="3" t="s">
        <v>1074</v>
      </c>
      <c r="H115" s="3" t="s">
        <v>330</v>
      </c>
      <c r="I115" s="13" t="s">
        <v>1047</v>
      </c>
    </row>
    <row r="116" spans="1:9">
      <c r="A116" s="3" t="s">
        <v>1066</v>
      </c>
      <c r="B116" s="3" t="s">
        <v>1078</v>
      </c>
      <c r="C116" s="3" t="s">
        <v>56</v>
      </c>
      <c r="D116" s="3" t="s">
        <v>1071</v>
      </c>
      <c r="E116" s="3" t="s">
        <v>55</v>
      </c>
      <c r="F116" s="3" t="s">
        <v>1432</v>
      </c>
      <c r="G116" s="3" t="s">
        <v>1074</v>
      </c>
      <c r="H116" s="3" t="s">
        <v>720</v>
      </c>
      <c r="I116" s="13" t="s">
        <v>1047</v>
      </c>
    </row>
    <row r="117" spans="1:9">
      <c r="A117" s="3" t="s">
        <v>1066</v>
      </c>
      <c r="B117" s="3" t="s">
        <v>1078</v>
      </c>
      <c r="C117" s="3" t="s">
        <v>56</v>
      </c>
      <c r="D117" s="3" t="s">
        <v>1071</v>
      </c>
      <c r="E117" s="3" t="s">
        <v>55</v>
      </c>
      <c r="F117" s="3" t="s">
        <v>1433</v>
      </c>
      <c r="G117" s="3" t="s">
        <v>1074</v>
      </c>
      <c r="H117" s="3" t="s">
        <v>332</v>
      </c>
      <c r="I117" s="13" t="s">
        <v>1047</v>
      </c>
    </row>
    <row r="118" spans="1:9">
      <c r="A118" s="3" t="s">
        <v>1066</v>
      </c>
      <c r="B118" s="3" t="s">
        <v>1078</v>
      </c>
      <c r="C118" s="3" t="s">
        <v>56</v>
      </c>
      <c r="D118" s="3" t="s">
        <v>1071</v>
      </c>
      <c r="E118" s="3" t="s">
        <v>55</v>
      </c>
      <c r="F118" s="3" t="s">
        <v>1434</v>
      </c>
      <c r="G118" s="3" t="s">
        <v>1074</v>
      </c>
      <c r="H118" s="3" t="s">
        <v>332</v>
      </c>
      <c r="I118" s="13" t="s">
        <v>1047</v>
      </c>
    </row>
    <row r="119" spans="1:9">
      <c r="A119" s="3" t="s">
        <v>1066</v>
      </c>
      <c r="B119" s="3" t="s">
        <v>1078</v>
      </c>
      <c r="C119" s="3" t="s">
        <v>56</v>
      </c>
      <c r="D119" s="3" t="s">
        <v>1071</v>
      </c>
      <c r="E119" s="3" t="s">
        <v>55</v>
      </c>
      <c r="F119" s="3" t="s">
        <v>1436</v>
      </c>
      <c r="G119" s="3" t="s">
        <v>1074</v>
      </c>
      <c r="H119" s="3" t="s">
        <v>332</v>
      </c>
      <c r="I119" s="13" t="s">
        <v>1047</v>
      </c>
    </row>
    <row r="120" spans="1:9">
      <c r="A120" s="3" t="s">
        <v>1066</v>
      </c>
      <c r="B120" s="3" t="s">
        <v>1078</v>
      </c>
      <c r="C120" s="3" t="s">
        <v>56</v>
      </c>
      <c r="D120" s="3" t="s">
        <v>1071</v>
      </c>
      <c r="E120" s="3" t="s">
        <v>55</v>
      </c>
      <c r="F120" s="3" t="s">
        <v>1437</v>
      </c>
      <c r="G120" s="3" t="s">
        <v>1074</v>
      </c>
      <c r="H120" s="3" t="s">
        <v>333</v>
      </c>
      <c r="I120" s="13" t="s">
        <v>1047</v>
      </c>
    </row>
    <row r="121" spans="1:9">
      <c r="A121" s="3" t="s">
        <v>1066</v>
      </c>
      <c r="B121" s="3" t="s">
        <v>1078</v>
      </c>
      <c r="C121" s="3" t="s">
        <v>56</v>
      </c>
      <c r="D121" s="3" t="s">
        <v>1071</v>
      </c>
      <c r="E121" s="3" t="s">
        <v>55</v>
      </c>
      <c r="F121" s="3" t="s">
        <v>1438</v>
      </c>
      <c r="G121" s="3" t="s">
        <v>1074</v>
      </c>
      <c r="H121" s="3" t="s">
        <v>334</v>
      </c>
      <c r="I121" s="13" t="s">
        <v>1047</v>
      </c>
    </row>
    <row r="122" spans="1:9">
      <c r="A122" s="3" t="s">
        <v>1066</v>
      </c>
      <c r="B122" s="3" t="s">
        <v>1078</v>
      </c>
      <c r="C122" s="3" t="s">
        <v>56</v>
      </c>
      <c r="D122" s="3" t="s">
        <v>1071</v>
      </c>
      <c r="E122" s="3" t="s">
        <v>55</v>
      </c>
      <c r="F122" s="3" t="s">
        <v>1439</v>
      </c>
      <c r="G122" s="3" t="s">
        <v>1074</v>
      </c>
      <c r="H122" s="3" t="s">
        <v>331</v>
      </c>
      <c r="I122" s="13" t="s">
        <v>1047</v>
      </c>
    </row>
    <row r="123" spans="1:9">
      <c r="A123" s="3" t="s">
        <v>1066</v>
      </c>
      <c r="B123" s="3" t="s">
        <v>1078</v>
      </c>
      <c r="C123" s="3" t="s">
        <v>56</v>
      </c>
      <c r="D123" s="3" t="s">
        <v>1071</v>
      </c>
      <c r="E123" s="3" t="s">
        <v>55</v>
      </c>
      <c r="F123" s="3" t="s">
        <v>1431</v>
      </c>
      <c r="G123" s="3" t="s">
        <v>1075</v>
      </c>
      <c r="H123" s="3" t="s">
        <v>327</v>
      </c>
      <c r="I123" s="13" t="s">
        <v>1047</v>
      </c>
    </row>
    <row r="124" spans="1:9">
      <c r="A124" s="3" t="s">
        <v>1066</v>
      </c>
      <c r="B124" s="3" t="s">
        <v>1078</v>
      </c>
      <c r="C124" s="3" t="s">
        <v>56</v>
      </c>
      <c r="D124" s="3" t="s">
        <v>1071</v>
      </c>
      <c r="E124" s="3" t="s">
        <v>55</v>
      </c>
      <c r="F124" s="3" t="s">
        <v>1432</v>
      </c>
      <c r="G124" s="3" t="s">
        <v>1075</v>
      </c>
      <c r="H124" s="3" t="s">
        <v>719</v>
      </c>
      <c r="I124" s="13" t="s">
        <v>1047</v>
      </c>
    </row>
    <row r="125" spans="1:9">
      <c r="A125" s="3" t="s">
        <v>1066</v>
      </c>
      <c r="B125" s="3" t="s">
        <v>1078</v>
      </c>
      <c r="C125" s="3" t="s">
        <v>56</v>
      </c>
      <c r="D125" s="3" t="s">
        <v>1071</v>
      </c>
      <c r="E125" s="3" t="s">
        <v>55</v>
      </c>
      <c r="F125" s="3" t="s">
        <v>1433</v>
      </c>
      <c r="G125" s="3" t="s">
        <v>1075</v>
      </c>
      <c r="H125" s="3" t="s">
        <v>311</v>
      </c>
      <c r="I125" s="13" t="s">
        <v>1047</v>
      </c>
    </row>
    <row r="126" spans="1:9">
      <c r="A126" s="3" t="s">
        <v>1066</v>
      </c>
      <c r="B126" s="3" t="s">
        <v>1078</v>
      </c>
      <c r="C126" s="3" t="s">
        <v>56</v>
      </c>
      <c r="D126" s="3" t="s">
        <v>1071</v>
      </c>
      <c r="E126" s="3" t="s">
        <v>55</v>
      </c>
      <c r="F126" s="3" t="s">
        <v>1434</v>
      </c>
      <c r="G126" s="3" t="s">
        <v>1075</v>
      </c>
      <c r="H126" s="3" t="s">
        <v>311</v>
      </c>
      <c r="I126" s="13" t="s">
        <v>1047</v>
      </c>
    </row>
    <row r="127" spans="1:9">
      <c r="A127" s="3" t="s">
        <v>1066</v>
      </c>
      <c r="B127" s="3" t="s">
        <v>1078</v>
      </c>
      <c r="C127" s="3" t="s">
        <v>56</v>
      </c>
      <c r="D127" s="3" t="s">
        <v>1071</v>
      </c>
      <c r="E127" s="3" t="s">
        <v>55</v>
      </c>
      <c r="F127" s="3" t="s">
        <v>1435</v>
      </c>
      <c r="G127" s="3" t="s">
        <v>1075</v>
      </c>
      <c r="H127" s="3" t="s">
        <v>740</v>
      </c>
      <c r="I127" s="13" t="s">
        <v>1047</v>
      </c>
    </row>
    <row r="128" spans="1:9">
      <c r="A128" s="3" t="s">
        <v>1066</v>
      </c>
      <c r="B128" s="3" t="s">
        <v>1078</v>
      </c>
      <c r="C128" s="3" t="s">
        <v>56</v>
      </c>
      <c r="D128" s="3" t="s">
        <v>1071</v>
      </c>
      <c r="E128" s="3" t="s">
        <v>55</v>
      </c>
      <c r="F128" s="3" t="s">
        <v>1635</v>
      </c>
      <c r="G128" s="3" t="s">
        <v>1075</v>
      </c>
      <c r="H128" s="3" t="s">
        <v>885</v>
      </c>
      <c r="I128" s="13" t="s">
        <v>1047</v>
      </c>
    </row>
    <row r="129" spans="1:9">
      <c r="A129" s="3" t="s">
        <v>1066</v>
      </c>
      <c r="B129" s="3" t="s">
        <v>1078</v>
      </c>
      <c r="C129" s="3" t="s">
        <v>56</v>
      </c>
      <c r="D129" s="3" t="s">
        <v>1071</v>
      </c>
      <c r="E129" s="3" t="s">
        <v>55</v>
      </c>
      <c r="F129" s="3" t="s">
        <v>1436</v>
      </c>
      <c r="G129" s="3" t="s">
        <v>1075</v>
      </c>
      <c r="H129" s="3" t="s">
        <v>311</v>
      </c>
      <c r="I129" s="13" t="s">
        <v>1047</v>
      </c>
    </row>
    <row r="130" spans="1:9">
      <c r="A130" s="3" t="s">
        <v>1066</v>
      </c>
      <c r="B130" s="3" t="s">
        <v>1078</v>
      </c>
      <c r="C130" s="3" t="s">
        <v>56</v>
      </c>
      <c r="D130" s="3" t="s">
        <v>1071</v>
      </c>
      <c r="E130" s="3" t="s">
        <v>55</v>
      </c>
      <c r="F130" s="3" t="s">
        <v>1437</v>
      </c>
      <c r="G130" s="3" t="s">
        <v>1075</v>
      </c>
      <c r="H130" s="3" t="s">
        <v>448</v>
      </c>
      <c r="I130" s="13" t="s">
        <v>1047</v>
      </c>
    </row>
    <row r="131" spans="1:9">
      <c r="A131" s="3" t="s">
        <v>1066</v>
      </c>
      <c r="B131" s="3" t="s">
        <v>1078</v>
      </c>
      <c r="C131" s="3" t="s">
        <v>56</v>
      </c>
      <c r="D131" s="3" t="s">
        <v>1071</v>
      </c>
      <c r="E131" s="3" t="s">
        <v>55</v>
      </c>
      <c r="F131" s="3" t="s">
        <v>1438</v>
      </c>
      <c r="G131" s="3" t="s">
        <v>1075</v>
      </c>
      <c r="H131" s="3" t="s">
        <v>328</v>
      </c>
      <c r="I131" s="13" t="s">
        <v>1047</v>
      </c>
    </row>
    <row r="132" spans="1:9">
      <c r="A132" s="3" t="s">
        <v>1066</v>
      </c>
      <c r="B132" s="3" t="s">
        <v>1078</v>
      </c>
      <c r="C132" s="3" t="s">
        <v>56</v>
      </c>
      <c r="D132" s="3" t="s">
        <v>1071</v>
      </c>
      <c r="E132" s="3" t="s">
        <v>55</v>
      </c>
      <c r="F132" s="3" t="s">
        <v>1636</v>
      </c>
      <c r="G132" s="3" t="s">
        <v>1075</v>
      </c>
      <c r="H132" s="3" t="s">
        <v>684</v>
      </c>
      <c r="I132" s="13" t="s">
        <v>1047</v>
      </c>
    </row>
    <row r="133" spans="1:9">
      <c r="A133" s="3" t="s">
        <v>1066</v>
      </c>
      <c r="B133" s="3" t="s">
        <v>1078</v>
      </c>
      <c r="C133" s="3" t="s">
        <v>56</v>
      </c>
      <c r="D133" s="3" t="s">
        <v>1071</v>
      </c>
      <c r="E133" s="3" t="s">
        <v>55</v>
      </c>
      <c r="F133" s="3" t="s">
        <v>1439</v>
      </c>
      <c r="G133" s="3" t="s">
        <v>1075</v>
      </c>
      <c r="H133" s="3" t="s">
        <v>309</v>
      </c>
      <c r="I133" s="13" t="s">
        <v>1047</v>
      </c>
    </row>
    <row r="134" spans="1:9">
      <c r="A134" s="4"/>
      <c r="B134" s="4"/>
      <c r="C134" s="4"/>
      <c r="D134" s="4"/>
      <c r="E134" s="4"/>
      <c r="F134" s="4"/>
      <c r="G134" s="4"/>
      <c r="H134" s="4"/>
      <c r="I134" s="4"/>
    </row>
    <row r="145" spans="1:1">
      <c r="A145" t="s">
        <v>608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activeCell="A4" sqref="A4"/>
    </sheetView>
  </sheetViews>
  <sheetFormatPr defaultRowHeight="15"/>
  <cols>
    <col min="1" max="1" width="41.28515625" customWidth="1"/>
    <col min="2" max="2" width="30.7109375" customWidth="1"/>
    <col min="3" max="3" width="16.28515625" customWidth="1"/>
  </cols>
  <sheetData>
    <row r="1" spans="1:3" ht="22.5">
      <c r="A1" s="6" t="s">
        <v>595</v>
      </c>
      <c r="B1" s="6"/>
      <c r="C1" s="6"/>
    </row>
    <row r="2" spans="1:3">
      <c r="A2" s="4" t="s">
        <v>596</v>
      </c>
      <c r="B2" s="4" t="s">
        <v>58</v>
      </c>
      <c r="C2" s="4" t="s">
        <v>577</v>
      </c>
    </row>
    <row r="3" spans="1:3">
      <c r="A3" s="3" t="s">
        <v>723</v>
      </c>
      <c r="B3" s="3" t="s">
        <v>724</v>
      </c>
      <c r="C3" s="13" t="s">
        <v>472</v>
      </c>
    </row>
    <row r="4" spans="1:3">
      <c r="A4" s="3" t="s">
        <v>725</v>
      </c>
      <c r="B4" s="3" t="s">
        <v>726</v>
      </c>
      <c r="C4" s="13" t="s">
        <v>727</v>
      </c>
    </row>
    <row r="5" spans="1:3">
      <c r="A5" s="3" t="s">
        <v>728</v>
      </c>
      <c r="B5" s="3" t="s">
        <v>729</v>
      </c>
      <c r="C5" s="13" t="s">
        <v>494</v>
      </c>
    </row>
    <row r="6" spans="1:3">
      <c r="A6" s="4"/>
      <c r="B6" s="4"/>
      <c r="C6" s="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8"/>
  <sheetViews>
    <sheetView workbookViewId="0">
      <selection activeCell="E21" sqref="E21"/>
    </sheetView>
  </sheetViews>
  <sheetFormatPr defaultRowHeight="15"/>
  <cols>
    <col min="1" max="1" width="25.28515625" customWidth="1"/>
    <col min="2" max="2" width="16.7109375" customWidth="1"/>
    <col min="3" max="3" width="17" customWidth="1"/>
  </cols>
  <sheetData>
    <row r="1" spans="1:3" ht="22.5">
      <c r="A1" s="6" t="s">
        <v>84</v>
      </c>
      <c r="B1" s="6"/>
      <c r="C1" s="6"/>
    </row>
    <row r="2" spans="1:3">
      <c r="A2" s="4" t="s">
        <v>581</v>
      </c>
      <c r="B2" s="4" t="s">
        <v>0</v>
      </c>
      <c r="C2" s="4" t="s">
        <v>597</v>
      </c>
    </row>
    <row r="3" spans="1:3">
      <c r="A3" s="5" t="s">
        <v>716</v>
      </c>
      <c r="B3" s="5"/>
      <c r="C3" s="5"/>
    </row>
    <row r="4" spans="1:3">
      <c r="A4" s="4"/>
      <c r="B4" s="4"/>
      <c r="C4" s="4"/>
    </row>
    <row r="8" spans="1:3">
      <c r="A8" t="s">
        <v>598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tabSelected="1" workbookViewId="0">
      <selection activeCell="A3" sqref="A3"/>
    </sheetView>
  </sheetViews>
  <sheetFormatPr defaultRowHeight="15"/>
  <cols>
    <col min="1" max="1" width="26.140625" customWidth="1"/>
    <col min="2" max="2" width="12.7109375" customWidth="1"/>
    <col min="3" max="3" width="12" customWidth="1"/>
    <col min="4" max="4" width="14.28515625" customWidth="1"/>
    <col min="5" max="5" width="20.42578125" customWidth="1"/>
    <col min="6" max="6" width="34.42578125" customWidth="1"/>
    <col min="7" max="7" width="20.42578125" customWidth="1"/>
    <col min="8" max="8" width="34.42578125" customWidth="1"/>
  </cols>
  <sheetData>
    <row r="1" spans="1:8" ht="22.5">
      <c r="A1" s="6" t="s">
        <v>709</v>
      </c>
      <c r="B1" s="6"/>
      <c r="C1" s="6"/>
      <c r="D1" s="6"/>
      <c r="E1" s="6"/>
      <c r="F1" s="6"/>
      <c r="G1" s="4"/>
      <c r="H1" s="4"/>
    </row>
    <row r="2" spans="1:8">
      <c r="A2" s="4" t="s">
        <v>710</v>
      </c>
      <c r="B2" s="4" t="s">
        <v>711</v>
      </c>
      <c r="C2" s="4" t="s">
        <v>712</v>
      </c>
      <c r="D2" s="4" t="s">
        <v>713</v>
      </c>
      <c r="E2" s="4" t="s">
        <v>714</v>
      </c>
      <c r="F2" s="4" t="s">
        <v>715</v>
      </c>
    </row>
    <row r="3" spans="1:8">
      <c r="A3" s="5" t="s">
        <v>716</v>
      </c>
      <c r="B3" s="5"/>
      <c r="C3" s="5"/>
      <c r="D3" s="5"/>
      <c r="E3" s="5"/>
      <c r="F3" s="5"/>
    </row>
    <row r="4" spans="1:8">
      <c r="A4" s="4"/>
      <c r="B4" s="4"/>
      <c r="C4" s="4"/>
      <c r="D4" s="4"/>
      <c r="E4" s="4"/>
      <c r="F4" s="4"/>
    </row>
    <row r="6" spans="1:8">
      <c r="A6" t="s">
        <v>717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<?xml version="1.0" encoding="utf-8"?>
<Atlas>
  <Query type="ReportList" id="198a2599-7539-4dad-92dc-091cd4d76e3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M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4AAAAO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w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M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NSW52ZW50UG9zdGluZwYeAAAAGUludmVudG9yeSwgTGVkZ2VyIHBvc3RpbmcJCAAAAAkIAAAACQgAAAAF4P///zBHbG9iZVNvZnR3YXJlLkF0bGFzNDAuQXRsYXNDb21tb24uRGF0YVNvdXJjZVR5cGUBAAAAB3ZhbHVlX18ACAIAAAAAAAAACSEAAAAJIgAAAATd////C1N5c3RlbS5HdWlkCwAAAAJfYQJfYgJfYwJfZAJfZQJfZgJfZwJfaAJfaQJfagJfawAAAAAAAAAAAAAACAcHAgICAgICAgLiQJI9y5JAS6Vjdmpuezu+CQgAAAAJCAAAAAklAAAABiYAAAATVGFibGUuSW52ZW50UG9zdGluZ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yVGFibGUuSW52ZW50UG9zdGluZy5JdGVtUmVsYXRpb25+VGFibGUuSW52ZW50VGFibGUJMQAAAAHO////1P///wYzAAAANVRhYmxlLkludmVudFBvc3RpbmcuTGVkZ2VyQWNjb3VudElkflRhYmxlLkxlZGdlclRhYmxlCTQAAAAHFAAAAAABAAAAEAAAAAQtR2xvYmVTb2Z0d2FyZS5BdGxhczQwLkF0bGFzQ29tbW9uLlR5cGUuQ29sdW1uAgAAAAk1AAAACTYAAAAJNwAAAAk4AAAACTkAAAAJOgAAAAk7AAAACTwAAAAJPQAAAAk+AAAACT8AAAAJQAAAAAlBAAAACUIAAAANAhEVAAAABAAAAAZDAAAADUF0bGFzUmVwb3J0Xzk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z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r///+8////BkcAAAARVGFibGUuSW52ZW50VGFibGUJMAAAAAG3////vP///wZKAAAAEVRhYmxlLkxlZGdlcl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T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s////z5HbG9iZVNvZnR3YXJlLkF0bGFzNDAuQXRsYXNDb21tb24uVHlwZS5BdGxhc1F1ZXJ5QXR0cmlidXRlTmFtZQEAAAAHdmFsdWVfXwAIAgAAAAIAAAAGTgAAACQxOThhMjU5OS03NTM5LTRkYWQtOTJkYy0wOTFjZDRkNzZlM2EBsf///7T///8BsP///7P///8AAAAABlEAAAAEdHJ1ZQGu////tP///wGt////s////wsAAAAGVAAAABlJbnZlbnRvcnksIExlZGdlciBwb3N0aW5nAav///+0////Aar///+z////GwAAAAZXAAAABFRydWUBqP///7T///8Bp////7P///8GAAAABloAAAAFRmFsc2UBpf///7T///8BpP///7P///8cAAAACVcAAAABov///7T///8Bof///7P///8dAAAACVoAAAABn////7T///8Bnv///7P///8qAAAACVcAAAABnP///7T///8Bm////7P///8BAAAABmYAAAADMzYyAZn///+0////AZj///+z////JwAAAAZpAAAACz1EYXRhQXJlYUlkAZb///+0////AZX///+z////GQAAAAZsAAAAD0NlbGxzVmVydGljYWxseQGT////tP///wGS////s////wkAAAAKAZH///+0////AZD///+z////KAAAAAZxAAAAAjE0AY7///+0////AY3///+z////KwAAAAZ0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L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YAAAANSW52ZW50UG9zdGluZwEAAAABif///4v///8GeAAAAAtJbnZlbnRUYWJsZQEAAAABh////4v///8GegAAAAtMZWRnZXJ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ewAAAAcAAAAJf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gAAAAl7AAAAAwAAAAl/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AAAAAAAAAAByoAAAAAAQAAAAAAAAAELUdsb2JlU29mdHdhcmUuQXRsYXM0MC5BdGxhc0NvbW1vbi5UeXBlLkNvbHVtbgIAAAABMQAAAA4AAAD/////BoEAAAALSW52ZW50VGFibGUGggAAAAVJdGVtcwkIAAAACQgAAAAJCAAAAAF8////4P///wAAAAAJhQAAAAmGAAAAAXn////d////mrQN3V3DLkWERKyFrbJE/AkIAAAACQgAAAAJiQAAAAkwAAAABosAAAANSW52ZW50UG9zdGluZwaMAAAAE1RhYmxlLkludmVudFBvc3RpbmcGjQAAACBUYWJsZS5JbnZlbnRQb3N0aW5nLkl0ZW1SZWxhdGlvbgaOAAAADEl0ZW1SZWxhdGlvbgaPAAAABkl0ZW1JZAEAAAABcP///9n///8BAAAAAW/////Y////AAAAAAAJkgAAAAE0AAAADgAAAP////8GkwAAAAtMZWRnZXJUYWJsZQaUAAAAGExlZGdlciBjaGFydCBvZiBhY2NvdW50cwkIAAAACQgAAAAJCAAAAAFq////4P///wAAAAAJlwAAAAmYAAAAAWf////d////p/j725HG6Emg1JcMSWldQgkIAAAACQgAAAAJmwAAAAkzAAAABp0AAAANSW52ZW50UG9zdGluZwaeAAAAE1RhYmxlLkludmVudFBvc3RpbmcGnwAAACNUYWJsZS5JbnZlbnRQb3N0aW5nLkxlZGdlckFjY291bnRJZAagAAAAD0xlZGdlckFjY291bnRJZAahAAAACkFjY291bnROdW0BAAAAAV7////Z////AQAAAAFd////2P///wAAAAAACaQ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pQAAAAmmAAAACacAAAAGqAAAADdBdGxhc01hbmFnZWRDb2x1bW5fYjI0YTVjMDItNzlkNy00ZGJiLTg0ZmItYzIyZGEwMWI2NGI0BqkAAAAGTW9kdWxlCQgAAAAJCAAAAAarAAAAJGFiYjcyZjBkLTFkMWEtNDFmMy05ZGRkLWYyMzI0NzVhYzE0NAVU////LUdsb2JlU29mdHdhcmUuQXRsYXM0MC5BdGxhc0NvbW1vbi5BZ2dyZWdhdGlvbgEAAAAHdmFsdWVfXwAIAgAAAP////8AAAAABVP///8sR2xvYmVTb2Z0d2FyZS5BdGxhczQwLkF0bGFzQ29tbW9uLkNvbHVtblR5cGUBAAAAB3ZhbHVlX18ACAIAAAACAAAABVL///8rR2xvYmVTb2Z0d2FyZS5BdGxhczQwLkF0bGFzQ29tbW9uLlNvcnRPcmRlcgEAAAAHdmFsdWVfXwAIAgAAAAIAAAAAAAAAAAVR////QEdsb2JlU29mdHdhcmUuQXRsYXM0MC5BdGxhc0NvbW1vbi5UeXBlLkNvbHVtbitDcm9zc1RhYkNvbHVtblR5cGUBAAAAB3ZhbHVlX18ACAIAAAAAAAAACgEAAAAAAAAAAAAAAAAABrAAAAAkZTI4ZWNiMTAtNWRhNi00ZWZkLWI5MjctYmE0M2U2NDExYjMxCQgAAAAKCgoKATYAAAA1AAAACbIAAAAJswAAAAm0AAAABrUAAAARSW52ZW50QWNjb3VudFR5cGUGtgAAAAxBY2NvdW50IHR5cGUGtwAAAARFbnVtCQgAAAAGuQAAACQyMzJjNjZhZS00ODNhLTQyNjItOTQ4YS0yZWQ0M2Y5NzQzMWYBRv///1T/////////AQAAAAFF////U////wAAAAABRP///1L///8CAAAAAAAAAAABQ////1H///8AAAAACgEAAAAAAAAAAAEAAAAABr4AAAAkODViZGNlMWMtMzc4My00NDQzLTgyYTctZDM5ZmYyOTk4MGIyBr8AAAAlVGFibGUuSW52ZW50UG9zdGluZy5JbnZlbnRBY2NvdW50VHlwZQoKCgoBNwAAADUAAAAJwAAAAAnBAAAACcIAAAAGwwAAAAhJdGVtQ29kZQbEAAAACUl0ZW0gY29kZQbFAAAABEVudW0JCAAAAAbHAAAAJDk0ZDU5MWI0LWJiYjMtNDAwZi05ZjE4LTdlOGVkYzE0OGIwNQE4////VP////////8CAAAAATf///9T////AAAAAAE2////Uv///wIAAAAAAAAAAAE1////Uf///wAAAAAKAQAAAAAAAAAAAgAAAAAGzAAAACQyNmI4MmVkZS1jNzM5LTRkNDAtYmJkMC0xNjM1ODQyY2VmZTQGzQAAABxUYWJsZS5JbnZlbnRQb3N0aW5nLkl0ZW1Db2RlCgoKCgE4AAAANQAAAAnOAAAACc8AAAAJ0AAAAAbRAAAADEl0ZW1SZWxhdGlvbgbSAAAADUl0ZW0gcmVsYXRpb24G0wAAAAZTdHJpbmcJCAAAAAbVAAAAJGM4ZjBiODljLTAxYzMtNGE0Mi1hNTNhLTljZWQyZGNkYjI0YwEq////VP////////8DAAAAASn///9T////AAAAAAEo////Uv///wIAAAAAAAAAAAEn////Uf///wAAAAAKAQAAAAAAAAAAAwAAAAAG2gAAACRiY2MwNGUzZi00YmVhLTQ2OGUtODBhYy0zMmYxNTFkNmUxMzgG2wAAACBUYWJsZS5JbnZlbnRQb3N0aW5nLkl0ZW1SZWxhdGlvbgoKCgoBOQAAADUAAAAJ3AAAAAndAAAACd4AAAAG3wAAAAhJdGVtTmFtZQbgAAAACUl0ZW0gbmFtZQbhAAAABlN0cmluZwkIAAAABuMAAAAkNDM4NzZjZjktMzM4MS00YzVlLWE4MGEtOTBmZjcwMjJiOTJjARz///9U/////////wQAAAABG////1P///8AAAAAARr///9S////AgAAAAAAAAAAARn///9R////AAAAAAoBAAAAAAAAAAAEAAAAAAboAAAAJDNkOTExOTZlLWNiMjYtNDk5MC04ZmExLTdhMWM0NjQ1MmJkMwbpAAAAO1RhYmxlLkludmVudFBvc3RpbmcuSXRlbVJlbGF0aW9uflRhYmxlLkludmVudFRhYmxlLkl0ZW1OYW1lCgoKCgE6AAAANQAAAAnqAAAACesAAAAJ7AAAAAbtAAAAN0F0bGFzTWFuYWdlZENvbHVtbl9lMTg2ZjdmNS1kOGJmLTRiZmItOWJjNi00MzBlNDkxNzY0YzIG7gAAAA1VTkkgSXRlbSBuYW1lCQgAAAAJCAAAAAbwAAAAJDBiODljZTMwLTllNjItNDA3Ni1hNWIxLWQ2ZWNmZDFhNzFhNAEP////VP////////8FAAAAAQ7///9T////AgAAAAEN////Uv///wIAAAAAAAAAAAEM////Uf///wAAAAAKAQAAAAAAAAAABQAAAAAG9QAAACQyYWVmZWY5Ni1lZGQzLTQ2MzMtYjI2Mi00MmViOGZlNmI1ZjEJCAAAAAoKCgoBOwAAADUAAAAJ9wAAAAn4AAAACfkAAAAG+gAAAAxDdXN0VmVuZENvZGUG+wAAAAxBY2NvdW50IGNvZGUG/AAAAARFbnVtCQgAAAAG/gAAACQxMDQ4MjhjNS0zZTNiLTRmMDUtYTk3OS0zYzA3ZDQ0NTc0NGUBAf///1T/////////BgAAAAEA////U////wAAAAAB//7//1L///8CAAAAAAAAAAAB/v7//1H///8AAAAACgEAAAAAAAAAAAYAAAAABgMBAAAkMjJlMTc3YzgtYTE4Ni00MzZmLThhYzQtNmY3YzYxY2Q3ZDUwBgQBAAAgVGFibGUuSW52ZW50UG9zdGluZy5DdXN0VmVuZENvZGUKCgoKATwAAAA1AAAACQUBAAAJBgEAAAkHAQAABggBAAAQQ3VzdFZlbmRSZWxhdGlvbgYJAQAAEEFjY291bnQgcmVsYXRpb24GCgEAAAZTdHJpbmcJCAAAAAYMAQAAJDYzZTM4Mjg2LWRhNjgtNGIyNi05ZTQyLTg1MzA0NzAyMTAzNAHz/v//VP////////8HAAAAAfL+//9T////AAAAAAHx/v//Uv///wIAAAAAAAAAAAHw/v//Uf///wAAAAAKAQAAAAAAAAAABwAAAAAGEQEAACRiMzJlZjI3NC01N2IxLTRiYWYtYmZjNy1mZmE2MDY0NmFhZGEGEgEAACRUYWJsZS5JbnZlbnRQb3N0aW5nLkN1c3RWZW5kUmVsYXRpb24KCgoKAT0AAAA1AAAACRMBAAAJFAEAAAkVAQAABhYBAAAKVGF4R3JvdXBJZAYXAQAAD1NhbGVzIHRheCBncm91cAYYAQAABlN0cmluZwkIAAAABhoBAAAkNjFjOWZmMmEtOWJiZi00ZGZjLTg4ZDAtYTk2ZjMzMGZmZGQ0AeX+//9U/////////wgAAAAB5P7//1P///8AAAAAAeP+//9S////AgAAAAAAAAAAAeL+//9R////AAAAAAoBAAAAAAAAAAAIAAAAAAYfAQAAJGUzMWE2MTg2LTA1NmQtNGRhNC1hNGVmLTE3NjM5M2RhNjk3YQYgAQAAHlRhYmxlLkludmVudFBvc3RpbmcuVGF4R3JvdXBJZAoKCgoBPgAAADUAAAAJIQEAAAkiAQAACSMBAAAGJAEAAA9MZWRnZXJBY2NvdW50SWQGJQEAAA5BY2NvdW50IG51bWJlcgYmAQAABlN0cmluZwkIAAAABigBAAAkMmE3Y2UyMmQtMDgyMS00MWRhLWEyYmUtNDRiYjM0NjU0YmZmAdf+//9U/////////wkAAAAB1v7//1P///8AAAAAAdX+//9S////AgAAAAAAAAAAAdT+//9R////AAAAAAoBAAAAAAAAAAAJAAAAAAYtAQAAJDcwYzlmNmY3LTNiOTAtNGE0OC1iNzlkLWMxM2FiNjc1ZDlkNwYuAQAAI1RhYmxlLkludmVudFBvc3RpbmcuTGVkZ2VyQWNjb3VudElkCgoKCgE/AAAANQAAAAkvAQAACTABAAAJMQEAAAYyAQAAC0FjY291bnROYW1lBjMBAAAMQWNjb3VudCBuYW1lBjQBAAAGU3RyaW5nCQgAAAAGNgEAACQwMGZhN2UwZi1kYzM3LTQ3ZWItOTBjZC1iNjg5ZDkzMWNiYWEByf7//1T/////////CgAAAAHI/v//U////wAAAAABx/7//1L///8CAAAAAAAAAAABxv7//1H///8AAAAACgEAAAAAAAAAAAoAAAAABjsBAAAkYTQ2MzY0ZWItOTMyZC00YjdiLTlmNmEtNjkxZGU0MWZmYWExBjwBAABBVGFibGUuSW52ZW50UG9zdGluZy5MZWRnZXJBY2NvdW50SWR+VGFibGUuTGVkZ2VyVGFibGUuQWNjb3VudE5hbWUKCgoKAUAAAAA1AAAACT0BAAAJPgEAAAk/AQAABkABAAAWTGVkZ2VyQWNjb3VudExvY2FsX3NzdAZBAQAAD0xvY2FsIEFjY291bnQgIwZCAQAABlN0cmluZwkIAAAABkQBAAAkY2MxMzIwNzgtNTQyZS00MzQ2LTkwZmUtZjU4NzQxNDdmMTVhAbv+//9U/////////wsAAAABuv7//1P///8AAAAAAbn+//9S////AgAAAAAAAAAAAbj+//9R////AAAAAAoBAAAAAAAAAAALAAAAAAZJAQAAJDMxMWRhZTY5LWI1ZDMtNDFlNS05ZTVmLTc4Y2NhMzNiNjU2YQZKAQAATFRhYmxlLkludmVudFBvc3RpbmcuTGVkZ2VyQWNjb3VudElkflRhYmxlLkxlZGdlclRhYmxlLkxlZGdlckFjY291bnRMb2NhbF9zc3QKCgoKAUEAAAA1AAAACUsBAAAJTAEAAAlNAQAABk4BAAAaTGVkZ2VyQWNjb3VudE5hbWVMb2NhbF9zc3QGTwEAABJMb2NhbCBBY2NvdW50IG5hbWUGUAEAAAZTdHJpbmcJCAAAAAZSAQAAJDMxNDExNzg1LWYyN2YtNGY3ZS1iMzUxLTQzNGIwYjM5NzFhMgGt/v//VP////////8MAAAAAaz+//9T////AAAAAAGr/v//Uv///wIAAAAAAAAAAAGq/v//Uf///wAAAAAKAQAAAAAAAAAADAAAAAAGVwEAACQzNDNkZWI2MS0yMTYzLTRkZGUtYTE2MS1iOGVhNGFmYWU5ZDcGWAEAAFBUYWJsZS5JbnZlbnRQb3N0aW5nLkxlZGdlckFjY291bnRJZH5UYWJsZS5MZWRnZXJUYWJsZS5MZWRnZXJBY2NvdW50TmFtZUxvY2FsX3NzdAoKCgoBQgAAADUAAAAJWQEAAAlaAQAACVsBAAAGXAEAABBCbG9ja2VkSW5Kb3VybmFsBl0BAAARTG9ja2VkIGluIGpvdXJuYWwGXgEAAARFbnVtCQgAAAAGYAEAACRmMGQ1MDE2MS0wZmY0LTQ3NTktYmE4Ny04Yzk1ZmRkZWFhNjUBn/7//1T/////////DQAAAAGe/v//U////wAAAAABnf7//1L///8CAAAAAAAAAAABnP7//1H///8AAAAACgEAAAAAAAAAAA0AAAAABmUBAAAkOThmMmU2NmQtOTk1Mi00NGU4LWI5OTQtM2M4ZGQzOTZiZTc5BmYBAABGVGFibGUuSW52ZW50UG9zdGluZy5MZWRnZXJBY2NvdW50SWR+VGFibGUuTGVkZ2VyVGFibGUuQmxvY2tlZEluSm91cm5hbAoKCgoBewAAABIAAAAHfA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m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aAEAACVUYWJsZS5JbnZlbnRQb3N0aW5nLkludmVudEFjY291bnRUeXBlCWkBAAABlv7//5n+//8GawEAABxUYWJsZS5JbnZlbnRQb3N0aW5nLkl0ZW1Db2RlCWwBAAABk/7//5n+//8GbgEAACBUYWJsZS5JbnZlbnRQb3N0aW5nLkl0ZW1SZWxhdGlvbglvAQAAAZD+//+Z/v//BnEBAAAgVGFibGUuSW52ZW50UG9zdGluZy5DdXN0VmVuZENvZGUJcgEAAAGN/v//mf7//wZ0AQAAJFRhYmxlLkludmVudFBvc3RpbmcuQ3VzdFZlbmRSZWxhdGlvbgl1AQAAAYr+//+Z/v//BncBAAAeVGFibGUuSW52ZW50UG9zdGluZy5UYXhHcm91cElkCXgBAAABh/7//5n+//8GegEAACNUYWJsZS5JbnZlbnRQb3N0aW5nLkxlZGdlckFjY291bnRJZAl7AQAAB38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T+///U////CTAAAAAJMQAAAAGB/v//1P///wkzAAAACTQAAAAEg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UAAAAhAAAAAQAAAAmCAQAAAwAAAAmDAQAAAYYAAAAiAAAA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gEAAAAAAAABkgAAACkAAAAAAAAACYYBAAAAAAAAAZcAAAAhAAAABAAAAAmCAQAABwAAAAmIAQAAAZgAAAAiAAAAAAAAAAkSAAAAAAA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gEAAAAAAAABpAAAACkAAAAAAAAACYY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YwBAAAAAAAAAA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ABAAAJjQEAAAcAAAAJjg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BAAAJjwEAAAcAAAAJkAEAAAGyAAAApQAAAAmRAQAAAQAAAAEAAAABswAAAKYAAACNAQAACZIBAAAHAAAACZMBAAAEt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ZUBAAABwAAAAKUAAAAJlgEAAAEAAAABAAAAAcEAAACmAAAAjAEAAAmSAQAABwAAAAmY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mUAQAABwAAAAmaAQAAAc4AAAClAAAACZsBAAABAAAAAQAAAAHPAAAApgAAAIwBAAAJkgEAAAcAAAAJnQ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lAEAAAcAAAAJnwEAAAHcAAAApQAAAAmgAQAAAQAAAAEAAAAB3QAAAKYAAAAYAAAACaEBAAAHAAAACaI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IBAAAHAAAACaQBAAAB6gAAAKUAAAAJpQEAAAAAAAAAAAAAAesAAACmAAAABQAAAAmmAQAAAwAAAAmnAQAAAewAAAAQAAAAAAAAAAkSAAAAAAAAAAH3AAAApQAAAAmpAQAAAQAAAAEAAAAB+AAAAKYAAACMAQAACZIBAAAHAAAACasBAAAE+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a0BAAABBQEAAKUAAAAJrgEAAAEAAAABAAAAAQYBAACmAAAAjAEAAAmSAQAABwAAAAmwAQAABA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mUAQAABwAAAAmyAQAAARMBAAClAAAACbMBAAABAAAAAQAAAAEUAQAApgAAADsAAAAJtAEAAAcAAAAJtQEAAAQ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tgEAAAcAAAAJtwEAAAEhAQAApQAAAAm4AQAAAQAAAAEAAAABIgEAAKYAAACMAQAACZIBAAAHAAAACboBAAAEI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bwBAAABLwEAAKUAAAAJvQEAAAEAAAABAAAAATABAACmAAAAGAAAAAmhAQAABwAAAAm/AQAABD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CAQAABwAAAAnBAQAAAT0BAAClAAAACcIBAAABAAAAAQAAAAE+AQAApgAAABgAAAAJoQEAAAcAAAAJxAEAAAQ/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ggEAAAcAAAAJxgEAAAFLAQAApQAAAAnHAQAAAQAAAAEAAAABTAEAAKYAAAAYAAAACaEBAAAHAAAACckBAAAET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IBAAAHAAAACcsBAAABWQEAAKUAAAAJzAEAAAEAAAABAAAAAVoBAACmAAAAGAAAAAmhAQAABwAAAAnOAQAABF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CAQAABwAAAAnQAQAABW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/+//9U/////////wAG0gEAAARFbnVtBtMBAAAMQWNjb3VudCB0eXBlCdQBAAABK/7//1L///8CAAAABSr+//85R2xvYmVTb2Z0d2FyZS5BdGxhczQwLkF0bGFzQ29tbW9uLk51bWJlclNlcXVlbmNlQ29uZGl0aW9uAQAAAAd2YWx1ZV9fAAgCAAAAAQAAAAAABtcBAAATVGFibGUuSW52ZW50UG9zdGluZwm1AAAACQgAAAAK/////wnXAQAACgm1AAAACgoKCQgAAAAJ3QEAAAkIAAAAAWwBAABpAQAAASH+//9U/////////wAG4AEAAARFbnVtBuEBAAAJSXRlbSBjb2RlCdQBAAABHf7//1L///8CAAAAARz+//8q/v//AQAAAAAACdcBAAAJwwAAAAkIAAAACv////8J1wEAAAoJwwAAAAoKCgkIAAAACesBAAAJCAAAAAFvAQAAaQEAAAET/v//VP////////8ABu4BAAAGU3RyaW5nBu8BAAANSXRlbSByZWxhdGlvbgnUAQAAAQ/+//9S////AgAAAAEO/v//Kv7//wEAAAAAAAnXAQAACdEAAAAJCAAAAAr/////CdcBAAAKCdEAAAAKCgoJCAAAAAn5AQAACQgAAAABcgEAAGkBAAABBf7//1T/////////AAb8AQAABEVudW0G/QEAAAxBY2NvdW50IGNvZGUJ1AEAAAEB/v//Uv///wIAAAABAP7//yr+//8BAAAAAAAJ1wEAAAn6AAAACQgAAAAK/////wnXAQAACgn6AAAACgoKCQgAAAAJBwIAAAkIAAAAAXUBAABpAQAAAff9//9U/////////wAGCgIAAAZTdHJpbmcGCwIAABBBY2NvdW50IHJlbGF0aW9uCdQBAAAB8/3//1L///8CAAAAAfL9//8q/v//AQAAAAAACdcBAAAJCAEAAAkIAAAACv////8J1wEAAAoJCAEAAAoKCgkIAAAACRUCAAAJCAAAAAF4AQAAaQEAAAHp/f//VP////////8ABhgCAAAGU3RyaW5nBhkCAAAPU2FsZXMgdGF4IGdyb3VwCRoCAAAB5f3//1L///8CAAAAAeT9//8q/v//AQAAAAAABh0CAAATVGFibGUuSW52ZW50UG9zdGluZwkWAQAACQgAAAAK/////wkdAgAACgkWAQAACgoKCQgAAAAJIwIAAAkIAAAAAXsBAABpAQAAAdv9//9U/////////wAGJgIAAAZTdHJpbmcGJwIAAA5BY2NvdW50IG51bWJlcgnUAQAAAdf9//9S////AgAAAAHW/f//Kv7//wEAAAAAAAnXAQAACSQBAAAJCAAAAAr/////CdcBAAAKCSQBAAAKCgoJCAAAAAkxAgAACQgAAAABggEAABIAAAAHg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zf3//5n+//8GNAIAADtUYWJsZS5JbnZlbnRQb3N0aW5nLkl0ZW1SZWxhdGlvbn5UYWJsZS5JbnZlbnRUYWJsZS5JdGVtTmFtZQk1AgAAAYYBAACAAAAAB4g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r9//+Z/v//BjcCAABBVGFibGUuSW52ZW50UG9zdGluZy5MZWRnZXJBY2NvdW50SWR+VGFibGUuTGVkZ2VyVGFibGUuQWNjb3VudE5hbWUJOAIAAAHH/f//mf7//wY6AgAATFRhYmxlLkludmVudFBvc3RpbmcuTGVkZ2VyQWNjb3VudElkflRhYmxlLkxlZGdlclRhYmxlLkxlZGdlckFjY291bnRMb2NhbF9zc3QJOwIAAAHE/f//mf7//wY9AgAAUFRhYmxlLkludmVudFBvc3RpbmcuTGVkZ2VyQWNjb3VudElkflRhYmxlLkxlZGdlclRhYmxlLkxlZGdlckFjY291bnROYW1lTG9jYWxfc3N0CT4CAAABwf3//5n+//8GQAIAAEZUYWJsZS5JbnZlbnRQb3N0aW5nLkxlZGdlckFjY291bnRJZH5UYWJsZS5MZWRnZXJUYWJsZS5CbG9ja2VkSW5Kb3VybmFsCUECAAAHjAEAAAABAAAAAAAAAAQ3R2xvYmVTb2Z0d2FyZS5BdGxhczQwLkF0bGFzQ29tbW9uLlR5cGUuRmllbGRPdXRwdXRGaWVsZAIAAAAEj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79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f3//zJHbG9iZVNvZnR3YXJlLkF0bGFzNDAuQXRsYXNDb21tb24uQ29sdW1uQXR0cmlidXRlcwEAAAAHdmFsdWVfXwAIAgAAACQAAAAJqQAAAAG7/f//vv3//wG6/f//vf3//wsAAAAGRwIAAAEwAbj9//++/f//Abf9//+9/f//BAAAAAZKAgAAB0dlbmVyYWwBtf3//779//8BtP3//739//8CAAAABk0CAAABMQGy/f//vv3//wGx/f//vf3//wAAAAAGUAIAAAUxNy43MQGv/f//vv3//wGu/f//vf3//wMAAAAGUwIAAA5QdXJjaGFzZSBvcmRlcgGPAQAAEgAAAAe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z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VQIAAAhGb250Qm9sZAZWAgAABUZhbHNlAan9//+s/f//BlgCAAAKRm9udEl0YWxpYwlWAgAAAab9//+s/f//BlsCAAANRm9udFVuZGVybGluZQZcAgAABS00MTQyAaP9//+s/f//Bl4CAAAIRm9udE5hbWUGXwIAAAdDYWxpYnJpAaD9//+s/f//BmECAAAJRm9udENvbG9yBmICAAABMAGd/f//rP3//wZkAgAACEZvbnRTaXplBmUCAAACMTEBmv3//6z9//8GZwIAAAlGb250U3R5bGUGaAIAAAdSZWd1bGFyB5EBAAAAAQAAAAQAAAAEN0dsb2JlU29mdHdhcmUuQXRsYXM0MC5BdGxhc0NvbW1vbi5UeXBlLkZpZWxkT3V0cHV0RmllbGQCAAAACWkBAAANAwGSAQAAjQEAAAeT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3//779//8Blf3//739//8GAAAABmwCAAAFVG90YWwBk/3//779//8Bkv3//739//8QAAAABm8CAAAETm9uZQGQ/f//vv3//wGP/f//vf3//wkAAAAJCAAAAAGN/f//vv3//wGM/f//vf3//wsAAAAGdQIAAAExAYr9//++/f//AYn9//+9/f//BAAAAAZ4AgAAB0dlbmVyYWwBh/3//779//8Bhv3//739//8CAAAABnsCAAABMQGE/f//vv3//wGD/f//vf3//wAAAAAGfgIAAAUyMS44NgGUAQAAEgAAAAe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9//+s/f//BoACAAAIRm9udEJvbGQJVgIAAAF+/f//rP3//waDAgAACkZvbnRJdGFsaWMJVgIAAAF7/f//rP3//waGAgAADUZvbnRVbmRlcmxpbmUGhwIAAAUtNDE0MgF4/f//rP3//waJAgAACEZvbnROYW1lBooCAAAHQ2FsaWJyaQF1/f//rP3//waMAgAACUZvbnRDb2xvcgaNAgAAATABcv3//6z9//8GjwIAAAhGb250U2l6ZQaQAgAAAjExAW/9//+s/f//BpICAAAJRm9udFN0eWxlBpMCAAAHUmVndWxhcgeWAQAAAAEAAAAEAAAABDdHbG9iZVNvZnR3YXJlLkF0bGFzNDAuQXRsYXNDb21tb24uVHlwZS5GaWVsZE91dHB1dEZpZWxkAgAAAAlsAQAADQM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9//++/f//AWr9//+9/f//EAAAAAlvAgAAAWj9//++/f//AWf9//+9/f//CQAAAAkIAAAAAWX9//++/f//AWT9//+9/f//CwAAAAadAgAAATIBYv3//779//8BYf3//739//8EAAAABqACAAAHR2VuZXJhbAFf/f//vv3//wFe/f//vf3//wIAAAAGowIAAAExAVz9//++/f//AVv9//+9/f//AAAAAAamAgAABTEwLjU3B5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6z9//8JgAIAAAlWAgAAAVb9//+s/f//CYMCAAAJVgIAAAFT/f//rP3//wmGAgAABq8CAAAFLTQxNDIBUP3//6z9//8JiQIAAAayAgAAB0NhbGlicmkBTf3//6z9//8JjAIAAAa1AgAAATABSv3//6z9//8JjwIAAAa4AgAAAjExAUf9//+s/f//CZICAAAGuwIAAAdSZWd1bGFyB5sBAAAAAQAAAAQAAAAEN0dsb2JlU29mdHdhcmUuQXRsYXM0MC5BdGxhc0NvbW1vbi5UeXBlLkZpZWxkT3V0cHV0RmllbGQCAAAACW8BAAANAwe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3//779//8BQv3//739//8QAAAACW8CAAABQP3//779//8BP/3//739//8JAAAACQgAAAABPf3//779//8BPP3//739//8LAAAABsUCAAABMwE6/f//vv3//wE5/f//vf3//wQAAAAGyAIAAAdHZW5lcmFsATf9//++/f//ATb9//+9/f//AgAAAAbLAgAAATEBNP3//779//8BM/3//739//8AAAAABs4CAAAFMjIuNzEHn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f//rP3//wmAAgAACVYCAAABLv3//6z9//8JgwIAAAlWAgAAASv9//+s/f//CYYCAAAG1wIAAAUtNDE0MgEo/f//rP3//wmJAgAABtoCAAAHQ2FsaWJyaQEl/f//rP3//wmMAgAABt0CAAABMAEi/f//rP3//wmPAgAABuACAAACMTEBH/3//6z9//8JkgIAAAbjAgAAB1JlZ3VsYXIHoAEAAAABAAAABAAAAAQ3R2xvYmVTb2Z0d2FyZS5BdGxhczQwLkF0bGFzQ29tbW9uLlR5cGUuRmllbGRPdXRwdXRGaWVsZAIAAAAJNQIAAA0DAaEBAACNAQAAB6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f//vv3//wEa/f//vf3//wkAAAAJCAAAAAEY/f//vv3//wEX/f//vf3//wsAAAAG6gIAAAE0ARX9//++/f//ART9//+9/f//BAAAAAbtAgAAB0dlbmVyYWwBEv3//779//8BEf3//739//8CAAAABvACAAABMQEP/f//vv3//wEO/f//vf3//wAAAAAG8wIAAAUyOS4yOQe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9//+s/f//BvUCAAAIRm9udEJvbGQJVgIAAAEJ/f//rP3//wb4AgAACkZvbnRJdGFsaWMJVgIAAAEG/f//rP3//wb7AgAADUZvbnRVbmRlcmxpbmUG/AIAAAUtNDE0MgED/f//rP3//wb+AgAACEZvbnROYW1lBv8CAAAHQ2FsaWJyaQEA/f//rP3//wYBAwAACUZvbnRDb2xvcgYCAwAAATAB/fz//6z9//8GBAMAAAhGb250U2l6ZQYFAwAAAjExAfr8//+s/f//BgcDAAAJRm9udFN0eWxlBggDAAAHUmVndWxhcgelAQAAAAEAAAAAAAAABDdHbG9iZVNvZnR3YXJlLkF0bGFzNDAuQXRsYXNDb21tb24uVHlwZS5GaWVsZE91dHB1dEZpZWxkAgAAAAGmAQAAjQEAAAen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z//779//8B9vz//739//8kAAAACe4AAAAB9Pz//779//8B8/z//739//8LAAAABg4DAAABNQepAQAAAAEAAAAEAAAABDdHbG9iZVNvZnR3YXJlLkF0bGFzNDAuQXRsYXNDb21tb24uVHlwZS5GaWVsZE91dHB1dEZpZWxkAgAAAAlyAQAADQMHq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8//++/f//Ae/8//+9/f//EAAAAAlvAgAAAe38//++/f//Aez8//+9/f//CQAAAAkIAAAAAer8//++/f//Aen8//+9/f//CwAAAAYYAwAAATYB5/z//779//8B5vz//739//8EAAAABhsDAAAHR2VuZXJhbAHk/P//vv3//wHj/P//vf3//wIAAAAGHgMAAAExAeH8//++/f//AeD8//+9/f//AAAAAAYhAwAABDkuNzE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rP3//wmAAgAACVYCAAAB2/z//6z9//8JgwIAAAlWAgAAAdj8//+s/f//CYYCAAAGKgMAAAUtNDE0MgHV/P//rP3//wmJAgAABi0DAAAHQ2FsaWJyaQHS/P//rP3//wmMAgAABjADAAABMAHP/P//rP3//wmPAgAABjMDAAACMTEBzPz//6z9//8JkgIAAAY2AwAAB1JlZ3VsYXIHrgEAAAABAAAABAAAAAQ3R2xvYmVTb2Z0d2FyZS5BdGxhczQwLkF0bGFzQ29tbW9uLlR5cGUuRmllbGRPdXRwdXRGaWVsZAIAAAAJdQEAAA0DB7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I/P//vv3//wHH/P//vf3//xAAAAAJbwIAAAHF/P//vv3//wHE/P//vf3//wkAAAAJCAAAAAHC/P//vv3//wHB/P//vf3//wsAAAAGQAMAAAE3Ab/8//++/f//Ab78//+9/f//BAAAAAZDAwAAB0dlbmVyYWwBvPz//779//8Bu/z//739//8CAAAABkYDAAABMQG5/P//vv3//wG4/P//vf3//wAAAAAGSQMAAAE4B7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6z9//8JgAIAAAlWAgAAAbP8//+s/f//CYMCAAAJVgIAAAGw/P//rP3//wmGAgAABlIDAAAFLTQxNDIBrfz//6z9//8JiQIAAAZVAwAAB0NhbGlicmkBqvz//6z9//8JjAIAAAZYAwAAATABp/z//6z9//8JjwIAAAZbAwAAAjExAaT8//+s/f//CZICAAAGXgMAAAdSZWd1bGFyB7MBAAAAAQAAAAQAAAAEN0dsb2JlU29mdHdhcmUuQXRsYXM0MC5BdGxhc0NvbW1vbi5UeXBlLkZpZWxkT3V0cHV0RmllbGQCAAAACXgBAAANAwG0AQAAjQEAAAe1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Pz//779//8Bn/z//739//8JAAAACQgAAAABnfz//779//8BnPz//739//8LAAAABmUDAAABOAGa/P//vv3//wGZ/P//vf3//wQAAAAGaAMAAAdHZW5lcmFsAZf8//++/f//AZb8//+9/f//AgAAAAZrAwAAATEBlPz//779//8Bk/z//739//8AAAAABm4DAAACMTYBtgEAABIAAAA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P//rP3//wZwAwAACEZvbnRCb2xkCVYCAAABjvz//6z9//8GcwMAAApGb250SXRhbGljCVYCAAABi/z//6z9//8GdgMAAA1Gb250VW5kZXJsaW5lBncDAAAFLTQxNDIBiPz//6z9//8GeQMAAAhGb250TmFtZQZ6AwAAB0NhbGlicmkBhfz//6z9//8GfAMAAAlGb250Q29sb3IGfQMAAAEwAYL8//+s/f//Bn8DAAAIRm9udFNpemUGgAMAAAIxMQF//P//rP3//waCAwAACUZvbnRTdHlsZQaDAwAAB1JlZ3VsYXIHuAEAAAABAAAABAAAAAQ3R2xvYmVTb2Z0d2FyZS5BdGxhczQwLkF0bGFzQ29tbW9uLlR5cGUuRmllbGRPdXRwdXRGaWVsZAIAAAAJewEAAA0DB7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P//vv3//wF6/P//vf3//xAAAAAJbwIAAAF4/P//vv3//wF3/P//vf3//wkAAAAJCAAAAAF1/P//vv3//wF0/P//vf3//wsAAAAGjQMAAAE5AXL8//++/f//AXH8//+9/f//BAAAAAaQAwAAB0dlbmVyYWwBb/z//779//8Bbvz//739//8CAAAABpMDAAABMQFs/P//vv3//wFr/P//vf3//wAAAAAGlgMAAAUxMC44Nge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8//+s/f//CYACAAAJVgIAAAFm/P//rP3//wmDAgAACVYCAAABY/z//6z9//8JhgIAAAafAwAABS00MTQyAWD8//+s/f//CYkCAAAGogMAAAdDYWxpYnJpAV38//+s/f//CYwCAAAGpQMAAAMyNTUBWvz//6z9//8JjwIAAAaoAwAAAjExAVf8//+s/f//CZICAAAGqwMAAAdSZWd1bGFyB70BAAAAAQAAAAQAAAAEN0dsb2JlU29mdHdhcmUuQXRsYXM0MC5BdGxhc0NvbW1vbi5UeXBlLkZpZWxkT3V0cHV0RmllbGQCAAAACTgCAAANAwe/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z//779//8BUvz//739//8JAAAACQgAAAABUPz//779//8BT/z//739//8LAAAABrIDAAACMTABTfz//779//8BTPz//739//8EAAAABrUDAAAHR2VuZXJhbAFK/P//vv3//wFJ/P//vf3//wIAAAAGuAMAAAExAUf8//++/f//AUb8//+9/f//AAAAAAa7AwAABTMwLjcxB8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z//6z9//8J9QIAAAlWAgAAAUH8//+s/f//CfgCAAAJVgIAAAE+/P//rP3//wn7AgAABsQDAAAFLTQxNDIBO/z//6z9//8J/gIAAAbHAwAAB0NhbGlicmkBOPz//6z9//8JAQMAAAbKAwAAATABNfz//6z9//8JBAMAAAbNAwAAAjExATL8//+s/f//CQcDAAAG0AMAAAdSZWd1bGFyB8IBAAAAAQAAAAQAAAAEN0dsb2JlU29mdHdhcmUuQXRsYXM0MC5BdGxhc0NvbW1vbi5UeXBlLkZpZWxkT3V0cHV0RmllbGQCAAAACTsCAAANAwf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z//779//8BLfz//739//8JAAAACQgAAAABK/z//779//8BKvz//739//8LAAAABtcDAAACMTEBKPz//779//8BJ/z//739//8EAAAABtoDAAAHR2VuZXJhbAEl/P//vv3//wEk/P//vf3//wIAAAAG3QMAAAExASL8//++/f//ASH8//+9/f//AAAAAAbgAwAABTE2LjE0B8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6z9//8J9QIAAAlWAgAAARz8//+s/f//CfgCAAAJVgIAAAEZ/P//rP3//wn7AgAABukDAAAFLTQxNDIBFvz//6z9//8J/gIAAAbsAwAAB0NhbGlicmkBE/z//6z9//8JAQMAAAbvAwAAATABEPz//6z9//8JBAMAAAbyAwAAAjExAQ38//+s/f//CQcDAAAG9QMAAAdSZWd1bGFyB8cBAAAAAQAAAAQAAAAEN0dsb2JlU29mdHdhcmUuQXRsYXM0MC5BdGxhc0NvbW1vbi5UeXBlLkZpZWxkT3V0cHV0RmllbGQCAAAACT4CAAANAwf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779//8BCPz//739//8JAAAACQgAAAABBvz//779//8BBfz//739//8LAAAABvwDAAACMTIBA/z//779//8BAvz//739//8EAAAABv8DAAAHR2VuZXJhbAEA/P//vv3//wH/+///vf3//wIAAAAGAgQAAAExAf37//++/f//Afz7//+9/f//AAAAAAYFBAAABTIwLjI5B8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v//6z9//8J9QIAAAlWAgAAAff7//+s/f//CfgCAAAJVgIAAAH0+///rP3//wn7AgAABg4EAAAFLTQxNDIB8fv//6z9//8J/gIAAAYRBAAAB0NhbGlicmkB7vv//6z9//8JAQMAAAYUBAAAATAB6/v//6z9//8JBAMAAAYXBAAAAjExAej7//+s/f//CQcDAAAGGgQAAAdSZWd1bGFyB8wBAAAAAQAAAAQAAAAEN0dsb2JlU29mdHdhcmUuQXRsYXM0MC5BdGxhc0NvbW1vbi5UeXBlLkZpZWxkT3V0cHV0RmllbGQCAAAACUECAAANAwf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Pv//779//8B4/v//739//8JAAAACQgAAAAB4fv//779//8B4Pv//739//8LAAAABiEEAAACMTMB3vv//779//8B3fv//739//8EAAAABiQEAAAHR2VuZXJhbAHb+///vv3//wHa+///vf3//wIAAAAGJwQAAAExAdj7//++/f//Adf7//+9/f//AAAAAAYqBAAABTE3LjcxB9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v//6z9//8J9QIAAAlWAgAAAdL7//+s/f//CfgCAAAJVgIAAAHP+///rP3//wn7AgAABjMEAAAFLTQxNDIBzPv//6z9//8J/gIAAAY2BAAAB0NhbGlicmkByfv//6z9//8JAQMAAAY5BAAAATABxvv//6z9//8JBAMAAAY8BAAAAjExAcP7//+s/f//CQcDAAAGPwQAAAdSZWd1bGFyAdQBAAAOAAAAnQAAAAZABAAADUludmVudFBvc3RpbmcGQQQAABlJbnZlbnRvcnksIExlZGdlciBwb3N0aW5nCQgAAAAJCAAAAAkIAAAAAb37///g////AAAAAAlEBAAACUUEAAABuvv//93///8AxqSVEGpBR4ueoSrR2ZUVCQgAAAAJCAAAAAlIBAAACdcBAAAKCgoKCgEAAAABtvv//9n///8AAAAAAbX7///Y////AAAAAAAJTAQAAAT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TgQAAAT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UAQAAAT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UgQAAAQH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VAQAAAQV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VgQAAAEaAgAADgAAAP////8GVwQAAA1JbnZlbnRQb3N0aW5nBlgEAAAZSW52ZW50b3J5LCBMZWRnZXIgcG9zdGluZwkIAAAACQgAAAAJCAAAAAGm+///4P///wAAAAAJWwQAAAlcBAAAAaP7///d////7QGZRMKRsUCa1U9gTQavOwkIAAAACQgAAAAJXwQAAAkdAgAACgoKCgoBAAAAAZ/7///Z////AAAAAAGe+///2P///wAAAAAACWMEAAAEI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bYBAAADAAAACWUEAAAEM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pAAAACZQBAAADAAAACWcEAAABNQIAAGkBAAABmPv//1T/////////AAZpBAAABlN0cmluZwZqBAAACUl0ZW0gbmFtZQkxAAAAAZT7//9S////AgAAAAGT+///Kv7//wEAAAAAAAkwAAAACd8AAAAJCAAAAAr/////CTAAAAAKCd8AAAAGcwQAAAxJdGVtUmVsYXRpb24GdAQAAA1JbnZlbnRQb3N0aW5nCgkIAAAACXYEAAAJCAAAAAE4AgAAaQEAAAGI+///VP////////8ABnkEAAAGU3RyaW5nBnoEAAAMQWNjb3VudCBuYW1lCTQAAAABhPv//1L///8CAAAAAYP7//8q/v//AQAAAAAACTMAAAAJMgEAAAkIAAAACv////8JMwAAAAoJMgEAAAaDBAAAD0xlZGdlckFjY291bnRJZAaEBAAADUludmVudFBvc3RpbmcKCQgAAAAJhgQAAAkIAAAAATsCAABpAQAAAXj7//9U/////////wAGiQQAAAZTdHJpbmcGigQAAA9Mb2NhbCBBY2NvdW50ICMJNAAAAAF0+///Uv///wIAAAABc/v//yr+//8BAAAAAAAJMwAAAAlAAQAACQgAAAAK/////wkzAAAACglAAQAABpMEAAAPTGVkZ2VyQWNjb3VudElkBpQEAAANSW52ZW50UG9zdGluZwoJCAAAAAmWBAAACQgAAAABPgIAAGkBAAABaPv//1T/////////AAaZBAAABlN0cmluZwaaBAAAEkxvY2FsIEFjY291bnQgbmFtZQk0AAAAAWT7//9S////AgAAAAFj+///Kv7//wEAAAAAAAkzAAAACU4BAAAJCAAAAAr/////CTMAAAAKCU4BAAAGowQAAA9MZWRnZXJBY2NvdW50SWQGpAQAAA1JbnZlbnRQb3N0aW5nCgkIAAAACaYEAAAJCAAAAAFBAgAAaQEAAAFY+///VP////////8ABqkEAAAERW51bQaqBAAAEUxvY2tlZCBpbiBqb3VybmFsCTQAAAABVPv//1L///8CAAAAAVP7//8q/v//AQAAAAAACTMAAAAJXAEAAAkIAAAACv////8JMwAAAAoJXAEAAAazBAAAD0xlZGdlckFjY291bnRJZAa0BAAADUludmVudFBvc3RpbmcKCQgAAAAJtgQAAAkIAAAAAUQEAAAhAAAABwAAAAm4BAAABwAAAAm5BAAAAUUEAAAiAAAAAAAAAAm4BAAAAAAAAARI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AQAAAAAAAABTAQAACkAAAAAAAAACbsEAAAAAAAAB04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v//6z9//8GvQQAAAhIZWxwVGV4dAa+BAAAIkFjY291bnQgdHlwZSB0aGF0IGhhcyBiZWVuIHNldCB1cC4BQfv//6z9//8GwAQAAAVMYWJlbAnTAQAAAT77//+s/f//BsMEAAAEVHlwZQnSAQAAB1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z9//8JvQQAAAbHBAAAHEl0ZW0gY29kZSAoaXRlbSwgZ3JvdXAsIGFsbCkBOPv//6z9//8JwAQAAAnhAQAAATX7//+s/f//CcMEAAAJ4AEAAAdS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7//+s/f//Cb0EAAAG0AQAABlJdGVtIG51bWJlciBvciBpdGVtIGdyb3VwAS/7//+s/f//CcAEAAAJ7wEAAAEs+///rP3//wnDBAAACe4BAAAHV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///rP3//wm9BAAABtkEAAAiQWNjb3VudCBjb2RlIChhY2NvdW50LCBncm91cCwgYWxsKQEm+///rP3//wnABAAACf0BAAABI/v//6z9//8JwwQAAAn8AQAAB1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v//6z9//8JvQQAAAbiBAAAH0FjY291bnQgbnVtYmVyIG9yIGFjY291bnQgZ3JvdXABHfv//6z9//8JwAQAAAkLAgAAARr7//+s/f//CcMEAAAJCgIAAAFbBAAAIQAAAAcAAAAJ6QQAAAcAAAAJ6gQAAAFcBAAAIgAAAAAAAAAJ6wQAAAAAAAAEX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kEAAAAAAAAAWMEAAApAAAAAAAAAAntBAAAAAAAAAd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7//+s/f//Bu8EAAAFTGFiZWwJGQIAAAEP+///rP3//wbyBAAABFR5cGUJGAI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7//+s/f//Cb0EAAAG9gQAACVBY2NvdW50IG51bWJlciBmb3IgcG9zdGluZyBpbiBsZWRnZXIuAQn7//+s/f//CcAEAAAJJwIAAAEG+///rP3//wnDBAAACSYCAAAEd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f4EAAAEh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AFAAAEl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IFAAAEp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QFAAAEt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YFAAABuAQAABIAAAAHuQQ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+fr//5n+//8GCAUAACVUYWJsZS5JbnZlbnRQb3N0aW5nLkludmVudEFjY291bnRUeXBlCWkBAAAB9vr//5n+//8GCwUAABxUYWJsZS5JbnZlbnRQb3N0aW5nLkl0ZW1Db2RlCWwBAAAB8/r//5n+//8GDgUAACBUYWJsZS5JbnZlbnRQb3N0aW5nLkl0ZW1SZWxhdGlvbglvAQAAAfD6//+Z/v//BhEFAAAgVGFibGUuSW52ZW50UG9zdGluZy5DdXN0VmVuZENvZGUJcgEAAAHt+v//mf7//wYUBQAAJFRhYmxlLkludmVudFBvc3RpbmcuQ3VzdFZlbmRSZWxhdGlvbgl1AQAAAer6//+Z/v//BhcFAAAeVGFibGUuSW52ZW50UG9zdGluZy5UYXhHcm91cElkCRgFAAAB5/r//5n+//8GGgUAACNUYWJsZS5JbnZlbnRQb3N0aW5nLkxlZGdlckFjY291bnRJZAl7AQAAAbsEAACAAAAAAekEAAASAAAAB+oE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T6//+Z/v//Bh0FAAAlVGFibGUuSW52ZW50UG9zdGluZy5JbnZlbnRBY2NvdW50VHlwZQlpAQAAAeH6//+Z/v//BiAFAAAcVGFibGUuSW52ZW50UG9zdGluZy5JdGVtQ29kZQlsAQAAAd76//+Z/v//BiMFAAAgVGFibGUuSW52ZW50UG9zdGluZy5JdGVtUmVsYXRpb24JbwEAAAHb+v//mf7//wYmBQAAIFRhYmxlLkludmVudFBvc3RpbmcuQ3VzdFZlbmRDb2RlCXIBAAAB2Pr//5n+//8GKQUAACRUYWJsZS5JbnZlbnRQb3N0aW5nLkN1c3RWZW5kUmVsYXRpb24JdQEAAAHV+v//mf7//wYsBQAAI1RhYmxlLkludmVudFBvc3RpbmcuTGVkZ2VyQWNjb3VudElkCXsBAAAB0vr//5n+//8GLwUAAB5UYWJsZS5JbnZlbnRQb3N0aW5nLlRheEdyb3VwSWQJeAEAAAHrBAAAEgAAAAHtBAAAgAAAAAf+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6//+s/f//BjIFAAAFTGFiZWwJagQAAAHM+v//rP3//wY1BQAABFR5cGUJaQQAAAcA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6//+s/f//CTIFAAAJegQAAAHG+v//rP3//wk1BQAACXkEAAAHA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+v//rP3//wkyBQAACYoEAAABwPr//6z9//8JNQUAAAmJBAAABw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r//6z9//8JMgUAAAmaBAAAAbr6//+s/f//CTUFAAAJmQQAAAcG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6//+s/f//CTIFAAAJqgQAAAG0+v//rP3//wk1BQAACakEAAABGAUAAGkBAAABsfr//1T/////////AAZQBQAABlN0cmluZwZRBQAAD1NhbGVzIHRheCBncm91cAnUAQAAAa36//9S////AgAAAAGs+v//Kv7//wEAAAAAAAnXAQAABlYFAAAKVGF4R3JvdXBJZAkIAAAACv////8J1wEAAAoJVgUAAAoKCgkIAAAACVsFAAAJCAAAAARb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lAEAAAMAAAAJXgUAAAde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6//+s/f//Cb0EAAAGYQUAADdTYWxlcyB0YXggZ3JvdXAgZm9yIHRoZSBnaXZlbiB0cmFuc2FjdGlvbiAoYmxhbmsgPSBhbGwpAZ76//+s/f//CcAEAAAJUQUAAAGb+v//rP3//wnDBAAACVAFAAAL
    <Output>
      <OutputObject name="AtlasReport_9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y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ENvZGUGIgAAAAxQb3N0aW5nIHR5cGUGIwAAAARFbnVtBiQAAAAABiUAAAAkNzdmYjA3YmEtYzc1Yi00YzdmLWJkYWItYzQ1N2YxZTg3Mzk4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RmNTViMzdjNi02Y2QzLTRiNjEtODZjNS01ZjJhMzM0Zjc4ODIGKwAAAB9UYWJsZS5MZWRnZXJTeXN0ZW1BY2NvdW50cy5Db2RlCgoKCgEVAAAAFAAAAAksAAAACS0AAAAJLgAAAAYvAAAACkFjY291bnROdW0GMAAAAA5MZWRnZXIgYWNjb3VudAYxAAAABlN0cmluZwkkAAAABjMAAAAkNjJlZTY1ZDctNWJkYy00ZTU1LWJiZjMtYzA1ZjgzZmM5NWI5Acz////a/////////wEAAAABy////9n///8AAAAAAcr////Y////AgAAAAAAAAAAAcn////X////AAAAAAoBAAAAAAAAAAABAAAAAAY4AAAAJDYzYjQzNTdkLWQwYzItNDQxZC05YjQ5LWI3OWI2ZmJmMGM1NgY5AAAAJVRhYmxlLkxlZGdlclN5c3RlbUFjY291bnRzLkFjY291bnROdW0KCgoKARYAAAAUAAAACToAAAAJOwAAAAk8AAAABj0AAAA3QXRsYXNNYW5hZ2VkQ29sdW1uX2FkZGVkYzU0LTVlMTgtNGJhYy05NWE1LTg4ZGVlYTc0MDM2YwY+AAAADEFjY291bnQgbmFtZQkkAAAACSQAAAAGQAAAACQ0NTk4M2Y0Ni0yNWI3LTQ1MjItYWJiMS0zMWEzNDcxNmYzMjgBv////9r/////////AgAAAAG+////2f///wIAAAABvf///9j///8CAAAAAAAAAAABvP///9f///8AAAAACgEAAAAAAAAAAAIAAAAABkUAAAAkNzcyYmE2N2ItZDZjOC00MDUxLWIxMzEtMzM4ZjcxYTlkYzg2CSQAAAAKCgoKARcAAAAUAAAACUcAAAAJSAAAAAlJAAAABkoAAAA3QXRsYXNNYW5hZ2VkQ29sdW1uXzUxNGE2YjAzLTMzMjYtNDgyZi1hODAyLWFiOTFjNDlkM2Y3MwZLAAAADUxvY2FsIGFjY291bnQJJAAAAAkkAAAABk0AAAAkYTc5NTYzZGMtZTQ5Zi00MzdkLTljNGQtMTgyMzBjYTg1OTMxAbL////a/////////wMAAAABsf///9n///8CAAAAAbD////Y////AgAAAAAAAAAAAa/////X////AAAAAAoBAAAAAAAAAAADAAAAAAZSAAAAJDVhMjUwZjY5LWNkNTItNDU4My05YmNiLTI0Yjk0NmFmODg1MQkkAAAACgoKCgEYAAAAFAAAAAlUAAAACVUAAAAJVgAAAAZXAAAAN0F0bGFzTWFuYWdlZENvbHVtbl80OWMzZWI5MC05NGQ4LTRiMjMtYjdlNC02N2M4ZmE3ZGU1ZjMGWAAAAA9Mb2NhbCBhY2N0IG5hbWUJJAAAAAkkAAAABloAAAAkOWE5OGVkMzktMTY3Yi00NjA5LTgxMWItNDU4OTQ2ZjJjOTJjAaX////a/////////wQAAAABpP///9n///8CAAAAAaP////Y////AgAAAAAAAAAAAaL////X////AAAAAAoBAAAAAAAAAAAEAAAAAAZfAAAAJDI2NzhlNDY0LTJkZmUtNDAzNC1hMTc5LTFlYTczYzQwNGRmZQkkAAAACgoKCgEZAAAAFAAAAAlhAAAACWIAAAAJYwAAAAZkAAAAN0F0bGFzTWFuYWdlZENvbHVtbl9lNjI4MGFkYy0xY2Y0LTQwYTAtOTQwZi1iZGRhMGYwNjUyMDkGZQAAABFMb2NrZWQgaW4gam91cm5hbAkkAAAACSQAAAAGZwAAACQ1YThmM2MyNi0xZDM0LTQ0ZmYtODk5OS0yYTExZjAxYjBjNTIBmP///9r/////////BQAAAAGX////2f///wIAAAABlv///9j///8CAAAAAAAAAAABlf///9f///8AAAAACgEAAAAAAAAAAAUAAAAABmwAAAAkYjU0NGZmOWQtMzg3Yy00MjFjLTg1MTgtNmI0YTg4YzM2ZmFkCSQAAAAKCgoKBRwAAAA4R2xvYmVTb2Z0d2FyZS5BdGxhczQwLkF0bGFzQ29tbW9uQ2xpZW50LlJlcG9ydC5SZWZlcmVuY2UBAAAACl9yZWZlcmVuY2UHCBoAAAAJbgAAAAcdAAAAAAEAAAAEAAAABDxHbG9iZVNvZnR3YXJlLkF0bGFzNDAuQXRsYXNDb21tb25DbGllbnQuRGF0YVNvdXJjZUZpZWxkVmFsdWUaAAAACW8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w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tAQAACXEAAAAHAAAACXI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lAQAACXMAAAAHAAAACXQAAAABLAAAAB4AAAAJdQAAAAEAAAABAAAAAS0AAAAfAAAAbAEAAAlxAAAABwAAAAl3AAAAAS4AAAAgAAAAZQEAAAlzAAAABwAAAAl5AAAAAToAAAAeAAAACXoAAAAAAAAAAAAAAAE7AAAAHwAAAEcBAAAJewAAAAcAAAAJfAAAAAE8AAAAIAAAAEIBAAAJfQAAAAcAAAAJfgAAAAFHAAAAHgAAAAl6AAAAAAAAAAAAAAABSAAAAB8AAABHAQAACXsAAAAHAAAACYEAAAABSQAAACAAAABCAQAACX0AAAAHAAAACYMAAAABVAAAAB4AAAAJegAAAAAAAAAAAAAAAVUAAAAfAAAARwEAAAl7AAAABwAAAAmGAAAAAVYAAAAgAAAAQgEAAAl9AAAABwAAAAmIAAAAAWEAAAAeAAAACXoAAAAAAAAAAAAAAAFiAAAAHwAAAEcBAAAJewAAAAcAAAAJiwAAAAFjAAAAIAAAAEIBAAAJfQAAAAcAAAAJjQAAAA9uAAAAAQAAAAgBAAAABW8AAAA8R2xvYmVTb2Z0d2FyZS5BdGxhczQwLkF0bGFzQ29tbW9uQ2xpZW50LkRhdGFTb3VyY2VGaWVsZFZhbHVlBAAAABJfaXNEcmlsbERvd25GaWx0ZXIGX2RzS2V5Cl9maWVsZG5hbWULX2ZpZWxkVmFsdWUAAQEBARoAAAAABo4AAAAaVGFibGUuTGVkZ2VyU3lzdGVtQWNjb3VudHMGjwAAAApEYXRhQXJlYUlkCQYAAAAHcAAAAAABAAAABAAAAAQ3R2xvYmVTb2Z0d2FyZS5BdGxhczQwLkF0bGFzQ29tbW9uLlR5cGUuRmllbGRPdXRwdXRGaWVsZA4AAAAJkQAAAA0DBH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3///8yR2xvYmVTb2Z0d2FyZS5BdGxhczQwLkF0bGFzQ29tbW9uLkNvbHVtbkF0dHJpYnV0ZXMBAAAAB3ZhbHVlX18ACA4AAAAGAAAABpQAAAAFVG90YWwBa////27///8Bav///23///8QAAAABpcAAAAETm9uZQFo////bv///wFn////bf///wkAAAAJJAAAAAFl////bv///wFk////bf///wsAAAAGnQAAAAEwAWL///9u////AWH///9t////BAAAAAagAAAAB0dlbmVyYWwBX////27///8BXv///23///8CAAAABqMAAAABMQFc////bv///wFb////bf///wAAAAAGpgAAAAU0NS41NwFzAAAADAAAAA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n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qAAAAAhGb250Qm9sZAapAAAABUZhbHNlAVb///9Z////BqsAAAAKRm9udEl0YWxpYwmpAAAAAVP///9Z////Bq4AAAANRm9udFVuZGVybGluZQavAAAABS00MTQyAVD///9Z////BrEAAAAIRm9udE5hbWUGsgAAAAdDYWxpYnJpAU3///9Z////BrQAAAAJRm9udENvbG9yBrUAAAABMAFK////Wf///wa3AAAACEZvbnRTaXplBrgAAAACMTEBR////1n///8GugAAAAlGb250U3R5bGUGuwAAAAdSZWd1bGFyB3UAAAAAAQAAAAQAAAAEN0dsb2JlU29mdHdhcmUuQXRsYXM0MC5BdGxhc0NvbW1vbi5UeXBlLkZpZWxkT3V0cHV0RmllbGQOAAAACbwAAAANAwd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///27///8BQv///23///8QAAAACZcAAAABQP///27///8BP////23///8JAAAACSQAAAABPf///27///8BPP///23///8LAAAABsUAAAABMQE6////bv///wE5////bf///wQAAAAGyAAAAAdHZW5lcmFsATf///9u////ATb///9t////AgAAAAbLAAAAATEBNP///27///8BM////23///8AAAAABs4AAAACMTYHe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///Wf///wmoAAAACakAAAABLv///1n///8JqwAAAAmpAAAAASv///9Z////Ca4AAAAG1wAAAAUtNDE0MgEo////Wf///wmxAAAABtoAAAAHQ2FsaWJyaQEl////Wf///wm0AAAABt0AAAABMAEi////Wf///wm3AAAABuAAAAACMTEBH////1n///8JugAAAAbjAAAAB1JlZ3VsYXIHegAAAAABAAAAAAAAAAQ3R2xvYmVTb2Z0d2FyZS5BdGxhczQwLkF0bGFzQ29tbW9uLlR5cGUuRmllbGRPdXRwdXRGaWVsZA4AAAABewAAAHEAAAAHf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///9u////ARv///9t////JAAAAAk+AAAAARn///9u////ARj///9t////CwAAAAbpAAAAATIBFv///27///8BFf///23///8EAAAABuwAAAAHR2VuZXJhbAET////bv///wES////bf///wIAAAAG7wAAAAExARD///9u////AQ////9t////AAAAAAbyAAAAAjM1AQ3///9u////AQz///9t////AwAAAAb1AAAAFFZBVCAtIG5vbi1FRUMgLSBwYWlkAX0AAAAMAAAAB34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///1n///8G9wAAAAhGb250Qm9sZAmpAAAAAQf///9Z////BvoAAAAKRm9udEl0YWxpYwmpAAAAAQT///9Z////Bv0AAAANRm9udFVuZGVybGluZQb+AAAABS00MTQyAQH///9Z////BgABAAAIRm9udE5hbWUGAQEAAAdDYWxpYnJpAf7+//9Z////BgMBAAAJRm9udENvbG9yBgQBAAABMAH7/v//Wf///wYGAQAACEZvbnRTaXplBgcBAAACMTEB+P7//1n///8GCQEAAAlGb250U3R5bGUGCgEAAAdSZWd1bGFyB4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/v//bv///wH0/v//bf///yQAAAAJSwAAAAHy/v//bv///wHx/v//bf///wsAAAAGEAEAAAEzAe/+//9u////Ae7+//9t////BAAAAAYTAQAAB0dlbmVyYWwB7P7//27///8B6/7//23///8CAAAABhYBAAABMQHp/v//bv///wHo/v//bf///wAAAAAGGQEAAAUxNC4yOQHm/v//bv///wHl/v//bf///wMAAAAGHAEAAAAHg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Wf///wn3AAAACakAAAAB4P7//1n///8J+gAAAAmpAAAAAd3+//9Z////Cf0AAAAGJQEAAAUtNDE0MgHa/v//Wf///wkAAQAABigBAAAHQ2FsaWJyaQHX/v//Wf///wkDAQAABisBAAABMAHU/v//Wf///wkGAQAABi4BAAACMTEB0f7//1n///8JCQEAAAYxAQAAB1JlZ3VsYXIHh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7+//9u////Ac3+//9t////JAAAAAlYAAAAAcv+//9u////Acr+//9t////CwAAAAY3AQAAATQByP7//27///8Bx/7//23///8EAAAABjoBAAAHR2VuZXJhbAHF/v//bv///wHE/v//bf///wIAAAAGPQEAAAExAcL+//9u////AcH+//9t////AAAAAAZAAQAABTE2LjQzAb/+//9u////Ab7+//9t////AwAAAAZDAQAAAAe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z+//9Z////CfcAAAAJqQAAAAG5/v//Wf///wn6AAAACakAAAABtv7//1n///8J/QAAAAZMAQAABS00MTQyAbP+//9Z////CQABAAAGTwEAAAdDYWxpYnJpAbD+//9Z////CQMBAAAGUgEAAAEwAa3+//9Z////CQYBAAAGVQEAAAIxMQGq/v//Wf///wkJAQAABlgBAAAHUmVndWxhcge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7//27///8Bpv7//23///8kAAAACWUAAAABpP7//27///8Bo/7//23///8LAAAABl4BAAABNQGh/v//bv///wGg/v//bf///wQAAAAGYQEAAAdHZW5lcmFsAZ7+//9u////AZ3+//9t////AgAAAAZkAQAAATEBm/7//27///8Bmv7//23///8AAAAABmcBAAAFMTcuNzEBmP7//27///8Bl/7//23///8DAAAABmoBAAACTm8Hj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v//Wf///wn3AAAACakAAAABkv7//1n///8J+gAAAAmpAAAAAY/+//9Z////Cf0AAAAGcwEAAAUtNDE0MgGM/v//Wf///wkAAQAABnYBAAAHQ2FsaWJyaQGJ/v//Wf///wkDAQAABnkBAAABMAGG/v//Wf///wkGAQAABnwBAAACMTEBg/7//1n///8JCQEAAAZ/AQAAB1JlZ3VsYXI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gP7//9r/////////AAaBAQAABEVudW0GggEAAAxQb3N0aW5nIHR5cGUJgwEAAAF8/v//2P///wIAAAAFe/7//zlHbG9iZVNvZnR3YXJlLkF0bGFzNDAuQXRsYXNDb21tb24uTnVtYmVyU2VxdWVuY2VDb25kaXRpb24BAAAAB3ZhbHVlX18ACA4AAAABAAAAAAAGhgEAABpUYWJsZS5MZWRnZXJTeXN0ZW1BY2NvdW50cwkhAAAACSQAAAAK/////wmGAQAACgkhAAAACgoKCSQAAAAJjAEAAAkkAAAAAbwAAACRAAAAAXL+///a/////////wAGjwEAAAZTdHJpbmcGkAEAAA5MZWRnZXIgYWNjb3VudAmDAQAAAW7+///Y////AgAAAAFt/v//e/7//wEAAAAAAAmGAQAACS8AAAAJJAAAAAr/////CYYBAAAKCS8AAAAKCgoJJAAAAAmaAQAACSQAAAAFgw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3AAAAAacAQAAFExlZGdlclN5c3RlbUFjY291bnRzBp0BAAAPU3lzdGVtIGFjY291bnRzCSQAAAAJJAAAAAkkAAAABWH+//8wR2xvYmVTb2Z0d2FyZS5BdGxhczQwLkF0bGFzQ29tbW9uLkRhdGFTb3VyY2VUeXBlAQAAAAd2YWx1ZV9fAAgOAAAAAAAAAAmgAQAACaEBAAAEXv7//wtTeXN0ZW0uR3VpZAsAAAACX2ECX2ICX2MCX2QCX2UCX2YCX2cCX2gCX2kCX2oCX2sAAAAAAAAAAAAAAAgHBwICAgICAgICNT30HFeGPE2TB08GNq0sFwkkAAAACSQAAAAJpAEAAAmGAQAACgoKCgoBAAAABVr+//80R2xvYmVTb2Z0d2FyZS5BdGxhczQwLkF0bGFzQ29tbW9uLkRhdGFTb3VyY2VKb2luTW9kZQEAAAAHdmFsdWVfXwAIDgAAAAAAAAAFWf7//zVHbG9iZVNvZnR3YXJlLkF0bGFzNDAuQXRsYXNDb21tb24uRGF0YVNvdXJjZUZldGNoTW9kZQEAAAAHdmFsdWVfXwAIDgAAAAAAAAAACagBAAABjAEAACAAAAB9AAAACXMAAAADAAAACaoBAAABmgEAACAAAAB9AAAACXMAAAADAAAACawBAAAEo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rQEAAAMAAAAJrgEAAAS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0BAAAAAAAABK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0BAAADAAAACbABAAAEqA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sQEAAAAAAAAHq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v//Wf///wazAQAACEhlbHBUZXh0BrQBAABAVHJhbnNhY3Rpb24gdHlwZSB0aGF0IGNhbiBiZSBwb3N0ZWQgdG8sIGluIGNhc2Ugc2V0dXAgaXMgbWlzc2luZwFL/v//Wf///wa2AQAABUxhYmVsCYIBAAABSP7//1n///8GuQEAAARUeXBlCYEBAAAHr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Wf///wmzAQAABr0BAAAlQWNjb3VudCBudW1iZXIgZm9yIHBvc3RpbmcgaW4gbGVkZ2VyLgFC/v//Wf///wm2AQAACZABAAABP/7//1n///8JuQEAAAmPAQAAAa0BAAAMAAAAB64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z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sUBAAAfVGFibGUuTGVkZ2VyU3lzdGVtQWNjb3VudHMuQ29kZQmRAAAAATn+//88/v//BsgBAAAlVGFibGUuTGVkZ2VyU3lzdGVtQWNjb3VudHMuQWNjb3VudE51bQm8AAAAB7A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Db+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BssBAAA3VGFibGUuTGVkZ2VyU3lzdGVtQWNjb3VudHMuQWNjb3VudE51bX5UYWJsZS5MZWRnZXJUYWJsZQnMAQAABLE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HMAQAAgwEAAP////8GzQEAAAtMZWRnZXJUYWJsZQbOAQAAGExlZGdlciBjaGFydCBvZiBhY2NvdW50cwkkAAAACSQAAAAJJAAAAAEw/v//Yf7//wAAAAAJ0QEAAAnSAQAAAS3+//9e/v//iaz4Us1WOUaWLWp0vQsxBgkkAAAACSQAAAAJ1QEAAAnLAQAABtcBAAAUTGVkZ2VyU3lzdGVtQWNjb3VudHMG2AEAABpUYWJsZS5MZWRnZXJTeXN0ZW1BY2NvdW50cwbZAQAAJVRhYmxlLkxlZGdlclN5c3RlbUFjY291bnRzLkFjY291bnROdW0G2gEAAApBY2NvdW50TnVtBtsBAAAKQWNjb3VudE51bQEAAAABJP7//1r+//8AAAAAASP+//9Z/v//AAAAAAAJ3gEAAAHRAQAAoAEAAAgAAAAJcwAAAAcAAAAJ4AEAAAHSAQAAoQEAAAAAAAAJcwAAAAAAAAAE1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AAAAAAAAAAd4BAACoAQAAAAAAAAniAQAAAAAAAAfgAQ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iAQAAsQEAAAs=</Report>
</Atlas>
</file>

<file path=customXml/item3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81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DlBvc3RpbmdQcm9maWxlBiUAAAAPUG9zdGluZyBwcm9maWxlBiYAAAAGU3RyaW5nBicAAAAABigAAAAkZTZkYWE1YmYtYjUyMy00MjZhLThhNjctZGFiZTY3MWFkNWJmBdf///8tR2xvYmVTb2Z0d2FyZS5BdGxhczQwLkF0bGFzQ29tbW9uLkFnZ3JlZ2F0aW9uAQAAAAd2YWx1ZV9fAAgOAAAA/////wAAAAAF1v///yxHbG9iZVNvZnR3YXJlLkF0bGFzNDAuQXRsYXNDb21tb24uQ29sdW1uVHlwZQEAAAAHdmFsdWVfXwAIDgAAAAAAAAAF1f///ytHbG9iZVNvZnR3YXJlLkF0bGFzNDAuQXRsYXNDb21tb24uU29ydE9yZGVyAQAAAAd2YWx1ZV9fAAgOAAAAAgAAAAAAAAAABdT///9AR2xvYmVTb2Z0d2FyZS5BdGxhczQwLkF0bGFzQ29tbW9uLlR5cGUuQ29sdW1uK0Nyb3NzVGFiQ29sdW1uVHlwZQEAAAAHdmFsdWVfXwAIDgAAAAAAAAAKAQAAAAAAAAAAAAAAAAAGLQAAACQ3OTY1Mjg0Zi0xYWYwLTQzZmYtYWYyMi1kZjM0OGRmOTg5YzgGLgAAACdUYWJsZS5DdXN0TGVkZ2VyQWNjb3VudHMuUG9zdGluZ1Byb2ZpbGUKCgoKARUAAAAUAAAACS8AAAAJMAAAAAkxAAAABjIAAAALQWNjb3VudENvZGUGMwAAAAxBY2NvdW50IGNvZGUGNAAAAARFbnVtCScAAAAGNgAAACQ0ZWFiMzk2OS0zNDMxLTRkZTQtYTcxYS04NzYwMmEzOWNjMzAByf///9f/////////AQAAAAHI////1v///wAAAAABx////9X///8CAAAAAAAAAAABxv///9T///8AAAAACgEAAAAAAAAAAAEAAAAABjsAAAAkOTkyZWVhMGEtODFkNS00M2E3LWE4ZjItYjQyZmQxZTFkODM0BjwAAAAkVGFibGUuQ3VzdExlZGdlckFjY291bnRzLkFjY291bnRDb2RlCgoKCgEWAAAAFAAAAAk9AAAACT4AAAAJPwAAAAZAAAAAA051bQZBAAAAFEFjY291bnQvR3JvdXAgbnVtYmVyBkIAAAAGU3RyaW5nCScAAAAGRAAAACRjNzJiZjEyMC05ZWE4LTQyNmItYWJkMi0xNmUyYTg0ZDg0OTEBu////9f/////////AgAAAAG6////1v///wAAAAABuf///9X///8CAAAAAAAAAAABuP///9T///8AAAAACgEAAAAAAAAAAAIAAAAABkkAAAAkM2ExOGVkMWYtNTgxOS00NWU3LThjZmItZTk3MDBlNDM1NjNmBkoAAAAcVGFibGUuQ3VzdExlZGdlckFjY291bnRzLk51bQoKCgoBFwAAABQAAAAJSwAAAAlMAAAACU0AAAAGTgAAADdBdGxhc01hbmFnZWRDb2x1bW5fODQyMjg4ZmMtNWUzMi00YmVkLWEwMzgtZjk0MmFlZmNkZmYxBk8AAAANQ3VzdG9tZXIgbmFtZQknAAAACScAAAAGUQAAACQ1M2E4NmIyNy0xYWI3LTRmMTQtYmE0ZC0wNGI2MzU4ODFiNzYBrv///9f/////////AwAAAAGt////1v///wIAAAABrP///9X///8CAAAAAAAAAAABq////9T///8AAAAACgEAAAAAAAAAAAMAAAAABlYAAAAkNzllZmU4ZmQtNzc4OS00YTZiLThlMzgtN2EzMzljMmNmODBhCScAAAAKCgoKARgAAAAUAAAACVgAAAAJWQAAAAlaAAAABlsAAAAKU3VtQWNjb3VudAZcAAAAD1N1bW1hcnkgYWNjb3VudAZdAAAABlN0cmluZwknAAAABl8AAAAkMDY4ZTJhMDYtY2RkMC00N2M0LWJjNWQtYTdjYjA2ZDMzZmIzAaD////X/////////wQAAAABn////9b///8AAAAAAZ7////V////AgAAAAAAAAAAAZ3////U////AAAAAAoBAAAAAAAAAAAEAAAAAAZkAAAAJGU1ZWRiMjEyLTU2MDYtNDM2Zi1hNzI4LWY3MmUwNTM0NDJmZQZlAAAAI1RhYmxlLkN1c3RMZWRnZXJBY2NvdW50cy5TdW1BY2NvdW50CgoKCgEZAAAAFAAAAAlmAAAACWcAAAAJaAAAAAZpAAAAN0F0bGFzTWFuYWdlZENvbHVtbl83ZTYwMGY4My1hMmY0LTQwOTktYmViMy00NThjMjVhMzViYjkGagAAABFMb2NrZWQgaW4gam91cm5hbAknAAAACScAAAAGbAAAACRkN2U1M2MzYS1jNjZkLTQxNmItOWZhOC1jZGM5NzMyNzgzOTYBk////9f/////////BQAAAAGS////1v///wIAAAABkf///9X///8CAAAAAAAAAAABkP///9T///8AAAAACgEAAAAAAAAAAAUAAAAABnEAAAAkZGFhMmQ5OTgtNzZlMS00MzNkLThiNDUtYzc0NTY4ZWU1NGU5CScAAAAKCgoKARoAAAAUAAAACXMAAAAJdAAAAAl1AAAABnYAAAAPQ2xlYXJpbmdBY2NvdW50BncAAAAOU2V0dGxlIGFjY291bnQGeAAAAAZTdHJpbmcJJwAAAAZ6AAAAJGVkZGYyNjhmLWMwNjMtNDI4My1hODZjLTQ3ZGNmMzhjMGExMQGF////1/////////8GAAAAAYT////W////AAAAAAGD////1f///wIAAAAAAAAAAAGC////1P///wAAAAAKAQAAAAAAAAAABgAAAAAGfwAAACRjMzY0OTllYy05MTk1LTQ3ZjgtYTAyYi05Njg0NzNjM2Q2NjcGgAAAAChUYWJsZS5DdXN0TGVkZ2VyQWNjb3VudHMuQ2xlYXJpbmdBY2NvdW50CgoKCgEbAAAAFAAAAAmBAAAACYIAAAAJgwAAAAaEAAAAN0F0bGFzTWFuYWdlZENvbHVtbl9hNzJjMDA3Ny1kMTdmLTQ1ZTctOGY5Mi03NDk1NTRiMTM4MDgGhQAAABFMb2NrZWQgaW4gam91cm5hbAknAAAACScAAAAGhwAAACQ3MDU2Mjk0Mi0yMWZmLTQzYTEtODkwYS04NTM4OGUyZjU1NWUBeP///9f/////////BwAAAAF3////1v///wIAAAABdv///9X///8CAAAAAAAAAAABdf///9T///8AAAAACgEAAAAAAAAAAAcAAAAABowAAAAkYzQxODBkZWEtYzk1Ni00ZTQ0LThhNTctNGQxNzM5YmVjNjA5CScAAAAKCgoKARwAAAAUAAAACY4AAAAJjwAAAAmQAAAABpEAAAAWQ29sbGVjdGlvbkxldHRlckNvdXJzZQaSAAAAGkNvbGxlY3Rpb24gbGV0dGVyIHNlcXVlbmNlBpMAAAAGU3RyaW5nCScAAAAGlQAAACRlNjcxZjEyNS0xY2JkLTRmODQtYjQwZC0wMWQwY2MxNTc0OWUBav///9f/////////CAAAAAFp////1v///wAAAAABaP///9X///8CAAAAAAAAAAABZ////9T///8AAAAACgEAAAAAAAAAAAgAAAAABpoAAAAkMmIzYjA4NjctZmUxZS00MGZlLTg5ZGMtNmNiMjEwYzEzZDM3BpsAAAAvVGFibGUuQ3VzdExlZGdlckFjY291bnRzLkNvbGxlY3Rpb25MZXR0ZXJDb3Vyc2UKCgoKBR8AAAA4R2xvYmVTb2Z0d2FyZS5BdGxhczQwLkF0bGFzQ29tbW9uQ2xpZW50LlJlcG9ydC5SZWZlcmVuY2UBAAAACl9yZWZlcmVuY2UHCB0AAAAJnAAAAAcgAAAAAAEAAAAEAAAABDxHbG9iZVNvZnR3YXJlLkF0bGFzNDAuQXRsYXNDb21tb25DbGllbnQuRGF0YVNvdXJjZUZpZWxkVmFsdWUdAAAACZ0AAAANAw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e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NAQAACZ8AAAAHAAAACaA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aEAAAAHAAAACaIAAAABLwAAACEAAAAJowAAAAEAAAABAAAAATAAAAAiAAAAjAEAAAmfAAAABwAAAAmlAAAAATEAAAAjAAAAiAEAAAmhAAAABwAAAAmnAAAAAT0AAAAhAAAACagAAAABAAAAAQAAAAE+AAAAIgAAAIwBAAAJnwAAAAcAAAAJqgAAAAE/AAAAIwAAAIgBAAAJoQAAAAcAAAAJrAAAAAFLAAAAIQAAAAmtAAAAAAAAAAAAAAABTAAAACIAAABhAQAACa4AAAAHAAAACa8AAAABTQAAACMAAABXAQAACbAAAAAHAAAACbEAAAABWAAAACEAAAAJsgAAAAEAAAABAAAAAVkAAAAiAAAAjAEAAAmfAAAABwAAAAm0AAAAAVoAAAAjAAAAiAEAAAmhAAAABwAAAAm2AAAAAWYAAAAhAAAACbcAAAAAAAAAAAAAAAFnAAAAIgAAAHgBAAAJuAAAAAcAAAAJuQAAAAFoAAAAIwAAAGwBAAAJugAAAAcAAAAJuwAAAAFzAAAAIQAAAAm8AAAAAQAAAAEAAAABdAAAACIAAACMAQAACZ8AAAAHAAAACb4AAAABdQAAACMAAACIAQAACaEAAAAHAAAACcAAAAABgQAAACEAAAAJtwAAAAAAAAAAAAAAAYIAAAAiAAAAeAEAAAm4AAAABwAAAAnDAAAAAYMAAAAjAAAAbAEAAAm6AAAABwAAAAnFAAAAAY4AAAAhAAAACcYAAAABAAAAAQAAAAGPAAAAIgAAAIwBAAAJnwAAAAcAAAAJyAAAAAGQAAAAIwAAAIgBAAAJoQAAAAcAAAAJygAAAA+cAAAAAQAAAAgBAAAABZ0AAAA8R2xvYmVTb2Z0d2FyZS5BdGxhczQwLkF0bGFzQ29tbW9uQ2xpZW50LkRhdGFTb3VyY2VGaWVsZFZhbHVlBAAAABJfaXNEcmlsbERvd25GaWx0ZXIGX2RzS2V5Cl9maWVsZG5hbWULX2ZpZWxkVmFsdWUAAQEBAR0AAAAABssAAAAYVGFibGUuQ3VzdExlZGdlckFjY291bnRzBswAAAAKRGF0YUFyZWFJZAkGAAAAB54AAAAAAQAAAAQAAAAEN0dsb2JlU29mdHdhcmUuQXRsYXM0MC5BdGxhc0NvbW1vbi5UeXBlLkZpZWxkT3V0cHV0RmllbGQOAAAACc4AAAANAwSf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g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M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w////Mkdsb2JlU29mdHdhcmUuQXRsYXM0MC5BdGxhc0NvbW1vbi5Db2x1bW5BdHRyaWJ1dGVzAQAAAAd2YWx1ZV9fAAgOAAAABgAAAAbRAAAABVRvdGFsAS7///8x////AS3///8w////EAAAAAbUAAAABE5vbmUBK////zH///8BKv///zD///8JAAAACScAAAABKP///zH///8BJ////zD///8LAAAABtoAAAABMAEl////Mf///wEk////MP///wQAAAAG3QAAAAdHZW5lcmFsASL///8x////ASH///8w////AgAAAAbgAAAAATEBH////zH///8BHv///zD///8AAAAABuMAAAACMTEBoQAAAAwAAAA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UAAAAIRm9udEJvbGQG5gAAAAVGYWxzZQEZ////HP///wboAAAACkZvbnRJdGFsaWMJ5gAAAAEW////HP///wbrAAAADUZvbnRVbmRlcmxpbmUG7AAAAAUtNDE0MgET////HP///wbuAAAACEZvbnROYW1lBu8AAAAHQ2FsaWJyaQEQ////HP///wbxAAAACUZvbnRDb2xvcgbyAAAAATABDf///xz///8G9AAAAAhGb250U2l6ZQb1AAAAAjExAQr///8c////BvcAAAAJRm9udFN0eWxlBvgAAAAHUmVndWxhcgejAAAAAAEAAAAEAAAABDdHbG9iZVNvZnR3YXJlLkF0bGFzNDAuQXRsYXNDb21tb24uVHlwZS5GaWVsZE91dHB1dEZpZWxkDgAAAAn5AAAADQMHp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b///8x////AQX///8w////EAAAAAnUAAAAAQP///8x////AQL///8w////CQAAAAknAAAAAQD///8x////Af/+//8w////CwAAAAYCAQAAATEB/f7//zH///8B/P7//zD///8EAAAABgUBAAAHR2VuZXJhbAH6/v//Mf///wH5/v//MP///wIAAAAGCAEAAAExAff+//8x////Afb+//8w////AAAAAAYLAQAABTE0LjQzB6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7//xz///8J5QAAAAnmAAAAAfH+//8c////CegAAAAJ5gAAAAHu/v//HP///wnrAAAABhQBAAAFLTQxNDIB6/7//xz///8J7gAAAAYXAQAAB0NhbGlicmkB6P7//xz///8J8QAAAAYaAQAAATAB5f7//xz///8J9AAAAAYdAQAAAjExAeL+//8c////CfcAAAAGIAEAAAdSZWd1bGFyB6gAAAAAAQAAAAQAAAAEN0dsb2JlU29mdHdhcmUuQXRsYXM0MC5BdGxhc0NvbW1vbi5UeXBlLkZpZWxkT3V0cHV0RmllbGQOAAAACSEBAAANAw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v7//zH///8B3f7//zD///8QAAAACdQAAAAB2/7//zH///8B2v7//zD///8JAAAACScAAAAB2P7//zH///8B1/7//zD///8LAAAABioBAAABMgHV/v//Mf///wHU/v//MP///wQAAAAGLQEAAAdHZW5lcmFsAdL+//8x////AdH+//8w////AgAAAAYwAQAAATEBz/7//zH///8Bzv7//zD///8AAAAABjMBAAACMjQHr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v//HP///wnlAAAACeYAAAAByf7//xz///8J6AAAAAnmAAAAAcb+//8c////CesAAAAGPAEAAAUtNDE0MgHD/v//HP///wnuAAAABj8BAAAHQ2FsaWJyaQHA/v//HP///wnxAAAABkIBAAADMjU1Ab3+//8c////CfQAAAAGRQEAAAIxMQG6/v//HP///wn3AAAABkgBAAAHUmVndWxhcgetAAAAAAEAAAAAAAAABDdHbG9iZVNvZnR3YXJlLkF0bGFzNDAuQXRsYXNDb21tb24uVHlwZS5GaWVsZE91dHB1dEZpZWxkDgAAAAGuAAAAnwAAAAev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7//zH///8Btv7//zD///8kAAAACU8AAAABtP7//zH///8Bs/7//zD///8LAAAABk4BAAABMwGx/v//Mf///wGw/v//MP///wQAAAAGUQEAAAdHZW5lcmFsAa7+//8x////Aa3+//8w////AgAAAAZUAQAAATEBq/7//zH///8Bqv7//zD///8AAAAABlcBAAAFMTYuNzEBqP7//zH///8Bp/7//zD///8DAAAABloBAABWPUF0bGFzVGFibGUoIlVBVCIsRGF0YUFyZWFJZCwiVC5DdXN0VGFibGUiLCIlTmFtZSIsIiIsIiIsIiIsIiIsIiIsIiIsIkFjY291bnROdW0iLCRDMyk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HP///wZcAQAACEZvbnRCb2xkCeYAAAABov7//xz///8GXwEAAApGb250SXRhbGljCeYAAAABn/7//xz///8GYgEAAA1Gb250VW5kZXJsaW5lBmMBAAAFLTQxNDIBnP7//xz///8GZQEAAAhGb250TmFtZQZmAQAAB0NhbGlicmkBmf7//xz///8GaAEAAAlGb250Q29sb3IGaQEAAAEwAZb+//8c////BmsBAAAIRm9udFNpemUGbAEAAAIxMQGT/v//HP///wZuAQAACUZvbnRTdHlsZQZvAQAAB1JlZ3VsYXIHsgAAAAABAAAABAAAAAQ3R2xvYmVTb2Z0d2FyZS5BdGxhczQwLkF0bGFzQ29tbW9uLlR5cGUuRmllbGRPdXRwdXRGaWVsZA4AAAAJcAEAAA0D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P/v//Mf///wGO/v//MP///xAAAAAJ1AAAAAGM/v//Mf///wGL/v//MP///wkAAAAJJwAAAAGJ/v//Mf///wGI/v//MP///wsAAAAGeQEAAAE0AYb+//8x////AYX+//8w////BAAAAAZ8AQAAB0dlbmVyYWwBg/7//zH///8Bgv7//zD///8CAAAABn8BAAABMQGA/v//Mf///wF//v//MP///wAAAAAGggEAAAUxOC4yOQ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+//8c////CeUAAAAJ5gAAAAF6/v//HP///wnoAAAACeYAAAABd/7//xz///8J6wAAAAaLAQAABS00MTQyAXT+//8c////Ce4AAAAGjgEAAAdDYWxpYnJpAXH+//8c////CfEAAAAGkQEAAAMyNTUBbv7//xz///8J9AAAAAaUAQAAAjExAWv+//8c////CfcAAAAGlwEAAAdSZWd1bGFyB7cAAAAAAQAAAAAAAAAEN0dsb2JlU29mdHdhcmUuQXRsYXM0MC5BdGxhc0NvbW1vbi5UeXBlLkZpZWxkT3V0cHV0RmllbGQOAAAAAbgAAACfAAAAB7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v//Mf///wFn/v//MP///yQAAAAJagAAAAFl/v//Mf///wFk/v//MP///wsAAAAGnQEAAAE1AWL+//8x////AWH+//8w////BAAAAAagAQAAB0dlbmVyYWwBX/7//zH///8BXv7//zD///8CAAAABqMBAAABMQFc/v//Mf///wFb/v//MP///wAAAAAGpgEAAAUxNy43MQFZ/v//Mf///wFY/v//MP///wMAAAAGqQEAAGQ9QXRsYXNUYWJsZSgiVUFUIixEYXRhQXJlYUlkLCJULkxlZGdlclRhYmxlIiwiJUJsb2NrZWRJbkpvdXJuYWwiLCIiLCIiLCIiLCIiLCIiLCIiLCJBY2NvdW50TnVtIiwkRTMpAboAAAAMAAAAB7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7//xz///8GqwEAAAhGb250Qm9sZAnmAAAAAVP+//8c////Bq4BAAAKRm9udEl0YWxpYwnmAAAAAVD+//8c////BrEBAAANRm9udFVuZGVybGluZQayAQAABS00MTQyAU3+//8c////BrQBAAAIRm9udE5hbWUGtQEAAAdDYWxpYnJpAUr+//8c////BrcBAAAJRm9udENvbG9yBrgBAAABMAFH/v//HP///wa6AQAACEZvbnRTaXplBrsBAAACMTEBRP7//xz///8GvQEAAAlGb250U3R5bGUGvgEAAAdSZWd1bGFyB7wAAAAAAQAAAAQAAAAEN0dsb2JlU29mdHdhcmUuQXRsYXM0MC5BdGxhc0NvbW1vbi5UeXBlLkZpZWxkT3V0cHV0RmllbGQOAAAACb8BAAANAwe+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zH///8BP/7//zD///8QAAAACdQAAAABPf7//zH///8BPP7//zD///8JAAAACScAAAABOv7//zH///8BOf7//zD///8LAAAABsgBAAABNgE3/v//Mf///wE2/v//MP///wQAAAAGywEAAAdHZW5lcmFsATT+//8x////ATP+//8w////AgAAAAbOAQAAATEBMf7//zH///8BMP7//zD///8AAAAABtEBAAAFMTUuMjkHw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v//HP///wnlAAAACeYAAAABK/7//xz///8J6AAAAAnmAAAAASj+//8c////CesAAAAG2gEAAAUtNDE0MgEl/v//HP///wnuAAAABt0BAAAHQ2FsaWJyaQEi/v//HP///wnxAAAABuABAAABMAEf/v//HP///wn0AAAABuMBAAACMTEBHP7//xz///8J9wAAAAbmAQAAB1JlZ3VsYXIHw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+//8x////ARj+//8w////JAAAAAmFAAAAARb+//8x////ARX+//8w////CwAAAAbsAQAAATcBE/7//zH///8BEv7//zD///8EAAAABu8BAAAHR2VuZXJhbAEQ/v//Mf///wEP/v//MP///wIAAAAG8gEAAAExAQ3+//8x////AQz+//8w////AAAAAAb1AQAABTE4Ljg2AQr+//8x////AQn+//8w////AwAAAAb4AQAAZD1BdGxhc1RhYmxlKCJVQVQiLERhdGFBcmVhSWQsIlQuTGVkZ2VyVGFibGUiLCIlQmxvY2tlZEluSm91cm5hbCIsIiIsIiIsIiIsIiIsIiIsIiIsIkFjY291bnROdW0iLCRHMykHx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HP///wmrAQAACeYAAAABBP7//xz///8JrgEAAAnmAAAAAQH+//8c////CbEBAAAGAQIAAAUtNDE0MgH+/f//HP///wm0AQAABgQCAAAHQ2FsaWJyaQH7/f//HP///wm3AQAABgcCAAABMAH4/f//HP///wm6AQAABgoCAAACMTEB9f3//xz///8JvQEAAAYNAgAAB1JlZ3VsYXIHxgAAAAABAAAABAAAAAQ3R2xvYmVTb2Z0d2FyZS5BdGxhczQwLkF0bGFzQ29tbW9uLlR5cGUuRmllbGRPdXRwdXRGaWVsZA4AAAAJDgIAAA0DB8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Mf///wHw/f//MP///xAAAAAJ1AAAAAHu/f//Mf///wHt/f//MP///wkAAAAJJwAAAAHr/f//Mf///wHq/f//MP///wsAAAAGFwIAAAE4Aej9//8x////Aef9//8w////BAAAAAYaAgAAB0dlbmVyYWwB5f3//zH///8B5P3//zD///8CAAAABh0CAAABMQHi/f//Mf///wHh/f//MP///wAAAAAGIAIAAAUyNi40Mw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9//8c////CeUAAAAJ5gAAAAHc/f//HP///wnoAAAACeYAAAAB2f3//xz///8J6wAAAAYpAgAABS00MTQyAdb9//8c////Ce4AAAAGLAIAAAdDYWxpYnJpAdP9//8c////CfEAAAAGLwIAAAEwAdD9//8c////CfQAAAAGMgIAAAIxMQHN/f//HP///wn3AAAABjUCAAAHUmVndWxhcgXO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K/f//1/////////8ABjcCAAAGU3RyaW5nBjgCAAAPUG9zdGluZyBwcm9maWxlCTkCAAABxv3//9X///8CAAAABcX9//85R2xvYmVTb2Z0d2FyZS5BdGxhczQwLkF0bGFzQ29tbW9uLk51bWJlclNlcXVlbmNlQ29uZGl0aW9uAQAAAAd2YWx1ZV9fAAgOAAAAAQAAAAAABjwCAAAYVGFibGUuQ3VzdExlZGdlckFjY291bnRzCSQAAAAJJwAAAAr/////CTwCAAAKCSQAAAAKCgoJJwAAAAlCAgAACScAAAAB+QAAAM4AAAABvP3//9f/////////AAZFAgAABEVudW0GRgIAAAxBY2NvdW50IGNvZGUJOQIAAAG4/f//1f///wIAAAABt/3//8X9//8BAAAAAAAJPAIAAAkyAAAACScAAAAK/////wk8AgAACgkyAAAACgoKCScAAAAJUAIAAAknAAAAASEBAADOAAAAAa79///X/////////wAGUwIAAAZTdHJpbmcGVAIAABRBY2NvdW50L0dyb3VwIG51bWJlcgk5AgAAAar9///V////AgAAAAGp/f//xf3//wEAAAAAAAk8AgAACUAAAAAJJwAAAAr/////CTwCAAAKCUAAAAAKCgoJJwAAAAleAgAACScAAAABcAEAAM4AAAABoP3//9f/////////AAZhAgAABlN0cmluZwZiAgAAD1N1bW1hcnkgYWNjb3VudAk5AgAAAZz9///V////AgAAAAGb/f//xf3//wEAAAAAAAk8AgAACVsAAAAJJwAAAAr/////CTwCAAAKCVsAAAAKCgoJJwAAAAlsAgAACScAAAABvwEAAM4AAAABkv3//9f/////////AAZvAgAABlN0cmluZwZwAgAADlNldHRsZSBhY2NvdW50CTkCAAABjv3//9X///8CAAAAAY39///F/f//AQAAAAAACTwCAAAJdgAAAAknAAAACv////8JPAIAAAoJdgAAAAoKCgknAAAACXoCAAAJJwAAAAEOAgAAzgAAAAGE/f//1/////////8ABn0CAAAGU3RyaW5nBn4CAAAaQ29sbGVjdGlvbiBsZXR0ZXIgc2VxdWVuY2UJOQIAAAGA/f//1f///wIAAAABf/3//8X9//8BAAAAAAAJPAIAAAmRAAAACScAAAAK/////wk8AgAACgmRAAAACgoKCScAAAAJiAIAAAknAAAABTk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IAAAAGigIAABJDdXN0TGVkZ2VyQWNjb3VudHMGiwIAABhDdXN0b21lciBsZWRnZXIgYWNjb3VudHMJJwAAAAknAAAACScAAAAFc/3//zBHbG9iZVNvZnR3YXJlLkF0bGFzNDAuQXRsYXNDb21tb24uRGF0YVNvdXJjZVR5cGUBAAAAB3ZhbHVlX18ACA4AAAAAAAAACY4CAAAJjwIAAARw/f//C1N5c3RlbS5HdWlkCwAAAAJfYQJfYgJfYwJfZAJfZQJfZgJfZwJfaAJfaQJfagJfawAAAAAAAAAAAAAACAcHAgICAgICAgIXA/jEiER+S4U7snr/CIXOCScAAAAJJwAAAAmSAgAACTwCAAAKCgoKCgEAAAAFbP3//zRHbG9iZVNvZnR3YXJlLkF0bGFzNDAuQXRsYXNDb21tb24uRGF0YVNvdXJjZUpvaW5Nb2RlAQAAAAd2YWx1ZV9fAAgOAAAAAAAAAAVr/f//NUdsb2JlU29mdHdhcmUuQXRsYXM0MC5BdGxhc0NvbW1vbi5EYXRhU291cmNlRmV0Y2hNb2RlAQAAAAd2YWx1ZV9fAAgOAAAAAAAAAAAJlgIAAAFCAgAAIwAAAKEAAAAJoQAAAAMAAAAJmAIAAAFQAgAAIwAAAKEAAAAJoQAAAAMAAAAJmgIAAAFeAgAAIwAAAKEAAAAJoQAAAAMAAAAJnAIAAAFsAgAAIwAAAKEAAAAJoQAAAAMAAAAJngIAAAF6AgAAIwAAAKEAAAAJoQAAAAMAAAAJoAIAAAGIAgAAIwAAAKEAAAAJoQAAAAMAAAAJogIAAASO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mjAgAABwAAAAmkAgAABI8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wIAAAAAAAAEk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MCAAAAAAAABJY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aYCAAAAAA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xz///8GqAIAAAhIZWxwVGV4dAapAgAAIFBvc3RpbmcgcHJvZmlsZSBiZWluZyBwcm9jZXNzZWQuAVb9//8c////BqsCAAAFTGFiZWwJOAIAAAFT/f//HP///wauAgAABFR5cGUJNwIAAAe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9//8c////CagCAAAGsgIAADFBY2NvdW50IGNvZGUsIGkuZS4gYWNjb3VudCwgYWNjb3VudCBncm91cCBvciBhbGwuAU39//8c////CasCAAAJRgIAAAFK/f//HP///wmuAgAACUUCAAAHn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f//HP///wmoAgAABrsCAAA1U3BlY2lmeSBhY2NvdW50L2dyb3VwIG51bWJlciBpbmNsdWRlZCBpbiB0aGUgcG9zdGluZy4BRP3//xz///8JqwIAAAlUAgAAAUH9//8c////Ca4CAAAJUwIAAAe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8c////CagCAAAGxAIAABhTdW0gYWNjb3VudCBmb3IgcG9zdGluZy4BO/3//xz///8JqwIAAAliAgAAATj9//8c////Ca4CAAAJYQIAAAe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9//8c////CagCAAAGzQIAADNMZWRnZXIgYWNjb3VudCAobGlxdWlkaXR5KSBmb3IgcmVjZWlwdCBvZiBwYXltZW50cy4BMv3//xz///8JqwIAAAlwAgAAAS/9//8c////Ca4CAAAJbwIAAAei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9//8c////CagCAAAG1gIAAC1JZGVudGlmaWNhdGlvbiBvZiBjb2xsZWN0aW9uIGxldHRlciBzZXF1ZW5jZS4BKf3//xz///8JqwIAAAl+AgAAASb9//8c////Ca4CAAAJfQIAAAGjAgAADAAAAAek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j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eAgAAJ1RhYmxlLkN1c3RMZWRnZXJBY2NvdW50cy5Qb3N0aW5nUHJvZmlsZQnOAAAAASD9//8j/f//BuECAAAkVGFibGUuQ3VzdExlZGdlckFjY291bnRzLkFjY291bnRDb2RlCfkAAAABHf3//yP9//8G5AIAABxUYWJsZS5DdXN0TGVkZ2VyQWNjb3VudHMuTnVtCSEBAAABGv3//yP9//8G5wIAACNUYWJsZS5DdXN0TGVkZ2VyQWNjb3VudHMuU3VtQWNjb3VudAlwAQAAARf9//8j/f//BuoCAAAoVGFibGUuQ3VzdExlZGdlckFjY291bnRzLkNsZWFyaW5nQWNjb3VudAm/AQAAART9//8j/f//Bu0CAAAuVGFibGUuQ3VzdExlZGdlckFjY291bnRzLlZBVHByZXBheW1lbnRzQWNjb3VudAnuAgAAARH9//8j/f//BvACAAAvVGFibGUuQ3VzdExlZGdlckFjY291bnRzLkNvbGxlY3Rpb25MZXR0ZXJDb3Vyc2UJDgIAAASm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7gIAAM4AAAABDv3//9f/////////AAbzAgAABlN0cmluZwb0AgAAFVNhbGVzIHRheCBwcmVwYXltZW50cwk5AgAAAQr9///V////AgAAAAEJ/f//xf3//wEAAAAAAAk8AgAABvkCAAAVVkFUcHJlcGF5bWVudHNBY2NvdW50CScAAAAK/////wk8AgAACgn5AgAACgoKCScAAAAJ/gIAAAknAAAAAf4CAAAjAAAACQAAAAmhAAAAAwAAAAkBAwAABw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z//xz///8JqAIAAAYEAwAAN09mZnNldCBhY2NvdW50IGZvciBjYWxjdWxhdGVkIHNhbGVzIHRheCBvbiBwcmVwYXltZW50cy4B+/z//xz///8JqwIAAAn0AgAAAfj8//8c////Ca4CAAAJ8wIAAAs=</Report>
</Atlas>
</file>

<file path=customXml/item4.xml><?xml version="1.0" encoding="utf-8"?>
<Atlas>
  <Query type="ReportList" id="de3a3e0d-c20f-49ef-9f38-ec82a23257a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RUm91dGVDb3N0Q2F0ZWdvcnkGHgAAAA9Db3N0IGNhdGVnb3JpZXMJCAAAAAkIAAAACQgAAAAF4P///zBHbG9iZVNvZnR3YXJlLkF0bGFzNDAuQXRsYXNDb21tb24uRGF0YVNvdXJjZVR5cGUBAAAAB3ZhbHVlX18ACAIAAAAAAAAACSEAAAAJIgAAAATd////C1N5c3RlbS5HdWlkCwAAAAJfYQJfYgJfYwJfZAJfZQJfZgJfZwJfaAJfaQJfagJfawAAAAAAAAAAAAAACAcHAgICAgICAgKp5KnPz430TamYpTmb6YEdCQgAAAAJCAAAAAklAAAABiYAAAAXVGFibGUuUm91dGVDb3N0Q2F0ZWdvcnk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5BdGxhc1JlcG9ydF8xN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j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////z5HbG9iZVNvZnR3YXJlLkF0bGFzNDAuQXRsYXNDb21tb24uVHlwZS5BdGxhc1F1ZXJ5QXR0cmlidXRlTmFtZQEAAAAHdmFsdWVfXwAIAgAAAAIAAAAGOgAAACRkZTNhM2UwZC1jMjBmLTQ5ZWYtOWYzOC1lYzgyYTIzMjU3YWQBxf///8j///8BxP///8f///8AAAAABj0AAAAEdHJ1ZQHC////yP///wHB////x////wsAAAAGQAAAAA9Db3N0IGNhdGVnb3JpZXMBv////8j///8Bvv///8f///8bAAAABkMAAAAEVHJ1ZQG8////yP///wG7////x////wYAAAAGRgAAAAVGYWxzZQG5////yP///wG4////x////xwAAAAJQwAAAAG2////yP///wG1////x////x0AAAAJRgAAAAGz////yP///wGy////x////yoAAAAJQwAAAAGw////yP///wGv////x////wEAAAAGUgAAAAMzNzEBrf///8j///8BrP///8f///8nAAAABlUAAAALPURhdGFBcmVhSWQBqv///8j///8Bqf///8f///8ZAAAABlgAAAAPQ2VsbHNWZXJ0aWNhbGx5Aaf////I////Aab////H////CQAAAAoBpf///8j///8BpP///8f///8oAAAABl0AAAABNgGi////yP///wGh////x////ysAAAAGY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iAAAAEVJvdXRlQ29zdENhdGVnb3J5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jAAAABwAAAAlk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M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c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AAAAAlpAAAACWoAAAAGawAAAA5Db3N0Q2F0ZWdvcnlJZAZsAAAACENhdGVnb3J5Bm0AAAAGU3RyaW5nCQgAAAAGbwAAACRkN2MyZmFhOC1hZjhkLTQ1YzEtOGE1Ni0xYjJiMTFjMmJkYjc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DlkNjkxNTlhLTg4NTQtNGI3NC04MWZhLWY4Mjk4ZjYzZjQ4ZQZ1AAAAJlRhYmxlLlJvdXRlQ29zdENhdGVnb3J5LkNvc3RDYXRlZ29yeUlkCgoKCgEwAAAALwAAAAl2AAAACXcAAAAJeAAAAAZ5AAAAC0Nvc3RHcm91cElkBnoAAAAKQ29zdCBncm91cAZ7AAAABlN0cmluZwkIAAAABn0AAAAkODQ5OGEwNDAtNTMyZS00NDc2LTlkNGYtMTQ5MDNhMDcyZWUxAYL///+Q/////////wEAAAABgf///4////8AAAAAAYD///+O////AgAAAAAAAAAAAX////+N////AAAAAAoBAAAAAAAAAAABAAAAAAaCAAAAJDM2ZWM2NjM3LTYwZDAtNDU2Mi1iNzVjLTE4M2FjMDcyODNiMQaDAAAAI1RhYmxlLlJvdXRlQ29zdENhdGVnb3J5LkNvc3RHcm91cElkCgoKCgExAAAALwAAAAmEAAAACYUAAAAJhgAAAAaHAAAAD0FjY291bnRXSVBJc3N1ZQaIAAAACVdJUCBpc3N1ZQaJAAAABlN0cmluZwkIAAAABosAAAAkZjljNWJlNjctMzcyOS00NmI1LTliNWUtODgwODE1NGZjMzcwAXT///+Q/////////wIAAAABc////4////8AAAAAAXL///+O////AgAAAAAAAAAAAXH///+N////AAAAAAoBAAAAAAAAAAACAAAAAAaQAAAAJGU1NzE4NjQzLWEyZmMtNGExNS05MDU4LTY1NTIwODViZGFjNAaRAAAAJ1RhYmxlLlJvdXRlQ29zdENhdGVnb3J5LkFjY291bnRXSVBJc3N1ZQoKCgoBMgAAAC8AAAAJkgAAAAmTAAAACZQAAAAGlQAAABNBY2NvdW50V0lQVmFsdWF0aW9uBpYAAAALV0lQIGFjY291bnQGlwAAAAZTdHJpbmcJCAAAAAaZAAAAJGY3ODVhMDljLTk4MWMtNDkwYS1hZjA2LWViZTRlY2VjYTBiMAFm////kP////////8DAAAAAWX///+P////AAAAAAFk////jv///wIAAAAAAAAAAAFj////jf///wAAAAAKAQAAAAAAAAAAAwAAAAAGngAAACRiNTNmYWNhYy1mNWY1LTRiMTItYTFhZS1jYzdkOGI5MTNiZTgGnwAAACtUYWJsZS5Sb3V0ZUNvc3RDYXRlZ29yeS5BY2NvdW50V0lQVmFsdWF0aW9uCgoKCgEzAAAALwAAAAmgAAAACaEAAAAJogAAAAajAAAAEkFjY291bnRXcmtDdHJJc3N1ZQakAAAAEldvcmsgY2VudGVyIGlzc3VlcwalAAAABlN0cmluZwkIAAAABqcAAAAkNDBiZjhkYWEtMjViMC00NzU1LTlkZTMtODI0YjA4NzY3MTQ3AVj///+Q/////////wQAAAABV////4////8AAAAAAVb///+O////AgAAAAAAAAAAAVX///+N////AAAAAAoBAAAAAAAAAAAEAAAAAAasAAAAJGJiNmJlNGE4LTMyMzItNDMwOS1iNWE4LWYzN2MzY2RkNTgxYwatAAAAKlRhYmxlLlJvdXRlQ29zdENhdGVnb3J5LkFjY291bnRXcmtDdHJJc3N1ZQoKCgoBNAAAAC8AAAAJrgAAAAmvAAAACbAAAAAGsQAAABhBY2NvdW50V3JrQ3RySXNzdWVPZmZzZXQGsgAAACJXb3JrIGNlbnRlciBpc3N1ZXMsIG9mZnNldCBhY2NvdW50BrMAAAAGU3RyaW5nCQgAAAAGtQAAACQxNjBkOTY3Zi02MTgyLTQyZTUtYTUyZi0wZjkyYjg3OGQ0YTABSv///5D/////////BQAAAAFJ////j////wAAAAABSP///47///8CAAAAAAAAAAABR////43///8AAAAACgEAAAAAAAAAAAUAAAAABroAAAAkOTVlNTMyYWMtOTNjYi00MTBjLWFjNzctOGY5YmJiOTBiYjI2BrsAAAAwVGFibGUuUm91dGVDb3N0Q2F0ZWdvcnkuQWNjb3VudFdya0N0cklzc3VlT2Zmc2V0CgoKCgFjAAAAEgAAAAdkA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E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9AAAAJlRhYmxlLlJvdXRlQ29zdENhdGVnb3J5LkNvc3RDYXRlZ29yeUlkCb4AAAABQf///0T///8GwAAAACNUYWJsZS5Sb3V0ZUNvc3RDYXRlZ29yeS5Db3N0R3JvdXBJZAnBAAAAAT7///9E////BsMAAAAnVGFibGUuUm91dGVDb3N0Q2F0ZWdvcnkuQWNjb3VudFdJUElzc3VlCcQAAAABO////0T///8GxgAAACtUYWJsZS5Sb3V0ZUNvc3RDYXRlZ29yeS5BY2NvdW50V0lQVmFsdWF0aW9uCccAAAABOP///0T///8GyQAAACpUYWJsZS5Sb3V0ZUNvc3RDYXRlZ29yeS5BY2NvdW50V3JrQ3RySXNzdWUJygAAAAE1////RP///wbMAAAAMFRhYmxlLlJvdXRlQ29zdENhdGVnb3J5LkFjY291bnRXcmtDdHJJc3N1ZU9mZnNld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109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dEAAAAHAAAACdIAAAABdgAAAGgAAAAJ0wAAAAEAAAABAAAAAXcAAABpAAAAPA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RAAAABwAAAAnXAAAAAYQAAABoAAAACdgAAAABAAAAAQAAAAGFAAAAaQAAADw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0QAAAAcAAAAJ3AAAAAGSAAAAaAAAAAndAAAAAQAAAAEAAAABkwAAAGkAAAA8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dEAAAAHAAAACeEAAAABoAAAAGgAAAAJ4gAAAAEAAAABAAAAAaEAAABpAAAAPA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RAAAABwAAAAnmAAAAAa4AAABoAAAACecAAAABAAAAAQAAAAGvAAAAaQAAADw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0Q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IQ2F0ZWdvcnkJ7wAAAAEQ////jv///wIAAAAFD////zlHbG9iZVNvZnR3YXJlLkF0bGFzNDAuQXRsYXNDb21tb24uTnVtYmVyU2VxdWVuY2VDb25kaXRpb24BAAAAB3ZhbHVlX18ACAIAAAABAAAAAAAG8gAAABdUYWJsZS5Sb3V0ZUNvc3RDYXRlZ29yeQlrAAAACQgAAAAK/////wnyAAAACglrAAAACgoKCQgAAAAJ+AAAAAkIAAAAAcEAAAC+AAAAAQb///+Q/////////wAG+wAAAAZTdHJpbmcG/AAAAApDb3N0IGdyb3VwCe8AAAABAv///47///8CAAAAAQH///8P////AQAAAAAACfIAAAAJeQAAAAkIAAAACv////8J8gAAAAoJeQAAAAoKCgkIAAAACQYBAAAJCAAAAAHEAAAAvgAAAAH4/v//kP////////8ABgkBAAAGU3RyaW5nBgoBAAAJV0lQIGlzc3VlCe8AAAAB9P7//47///8CAAAAAfP+//8P////AQAAAAAACfIAAAAJhwAAAAkIAAAACv////8J8gAAAAoJhwAAAAoKCgkIAAAACRQBAAAJCAAAAAHHAAAAvgAAAAHq/v//kP////////8ABhcBAAAGU3RyaW5nBhgBAAALV0lQIGFjY291bnQJ7wAAAAHm/v//jv///wIAAAAB5f7//w////8BAAAAAAAJ8gAAAAmVAAAACQgAAAAK/////wnyAAAACgmVAAAACgoKCQgAAAAJIgEAAAkIAAAAAcoAAAC+AAAAAdz+//+Q/////////wAGJQEAAAZTdHJpbmcGJgEAABJXb3JrIGNlbnRlciBpc3N1ZXMJ7wAAAAHY/v//jv///wIAAAAB1/7//w////8BAAAAAAAJ8gAAAAmjAAAACQgAAAAK/////wnyAAAACgmjAAAACgoKCQgAAAAJMAEAAAkIAAAAAc0AAAC+AAAAAc7+//+Q/////////wAGMwEAAAZTdHJpbmcGNAEAACJXb3JrIGNlbnRlciBpc3N1ZXMsIG9mZnNldCBhY2NvdW50Ce8AAAAByv7//47///8CAAAAAcn+//8P////AQAAAAAACfIAAAAJsQAAAAkIAAAACv////8J8gAAAAoJsQAAAAoKCgkIAAAACT4BAAAJCAAAAAfOAAAAAAEAAAAEAAAABDdHbG9iZVNvZnR3YXJlLkF0bGFzNDAuQXRsYXNDb21tb24uVHlwZS5GaWVsZE91dHB1dEZpZWxkAgAAAAm+AAAADQMEz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0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v7//zJHbG9iZVNvZnR3YXJlLkF0bGFzNDAuQXRsYXNDb21tb24uQ29sdW1uQXR0cmlidXRlcwEAAAAHdmFsdWVfXwAIAgAAAAYAAAAGQwEAAAVUb3RhbAG8/v//v/7//wG7/v//vv7//xAAAAAGRgEAAAROb25lAbn+//+//v//Abj+//++/v//CQAAAAkIAAAAAbb+//+//v//AbX+//++/v//CwAAAAZMAQAAATABs/7//7/+//8Bsv7//77+//8EAAAABk8BAAAHR2VuZXJhbAGw/v//v/7//wGv/v//vv7//wIAAAAGUgEAAAExAa3+//+//v//Aaz+//++/v//AAAAAAZVAQAABTI1LjQzAdEAAAASAAAA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XAQAACEZvbnRCb2xkBlgBAAAFRmFsc2UBp/7//6r+//8GWgEAAApGb250SXRhbGljCVgBAAABpP7//6r+//8GXQEAAA1Gb250VW5kZXJsaW5lBl4BAAAFLTQxNDIBof7//6r+//8GYAEAAAhGb250TmFtZQZhAQAAB0NhbGlicmkBnv7//6r+//8GYwEAAAlGb250Q29sb3IGZAEAAAEwAZv+//+q/v//BmYBAAAIRm9udFNpemUGZwEAAAIxMQGY/v//qv7//wZpAQAACUZvbnRTdHlsZQZqAQAAB1JlZ3VsYXIH0wAAAAABAAAABAAAAAQ3R2xvYmVTb2Z0d2FyZS5BdGxhczQwLkF0bGFzQ29tbW9uLlR5cGUuRmllbGRPdXRwdXRGaWVsZAIAAAAJwQA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v/7//wGT/v//vv7//xAAAAAJRgEAAAGR/v//v/7//wGQ/v//vv7//wkAAAAJCAAAAAGO/v//v/7//wGN/v//vv7//wsAAAAGdAEAAAExAYv+//+//v//AYr+//++/v//BAAAAAZ3AQAAB0dlbmVyYWwBiP7//7/+//8Bh/7//77+//8CAAAABnoBAAABMQGF/v//v/7//wGE/v//vv7//wAAAAAGfQEAAAIxMg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q/v//CVcBAAAJWAEAAAF//v//qv7//wlaAQAACVgBAAABfP7//6r+//8JXQEAAAaGAQAABS00MTQyAXn+//+q/v//CWABAAAGiQEAAAdDYWxpYnJpAXb+//+q/v//CWMBAAAGjAEAAAEwAXP+//+q/v//CWYBAAAGjwEAAAIxMQFw/v//qv7//wlpAQAABpIBAAAHUmVndWxhcgfYAAAAAAEAAAAEAAAABDdHbG9iZVNvZnR3YXJlLkF0bGFzNDAuQXRsYXNDb21tb24uVHlwZS5GaWVsZE91dHB1dEZpZWxkAgAAAAnEAA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+//+//v//AWv+//++/v//EAAAAAlGAQAAAWn+//+//v//AWj+//++/v//CQAAAAkIAAAAAWb+//+//v//AWX+//++/v//CwAAAAacAQAAATIBY/7//7/+//8BYv7//77+//8EAAAABp8BAAAHR2VuZXJhbAFg/v//v/7//wFf/v//vv7//wIAAAAGogEAAAExAV3+//+//v//AVz+//++/v//AAAAAAalAQAABTExLjI5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7//6r+//8JVwEAAAlYAQAAAVf+//+q/v//CVoBAAAJWAEAAAFU/v//qv7//wldAQAABq4BAAAFLTQxNDIBUf7//6r+//8JYAEAAAaxAQAAB0NhbGlicmkBTv7//6r+//8JYwEAAAa0AQAAATABS/7//6r+//8JZgEAAAa3AQAAAjExAUj+//+q/v//CWkBAAAGugEAAAdSZWd1bGFyB90AAAAAAQAAAAQAAAAEN0dsb2JlU29mdHdhcmUuQXRsYXM0MC5BdGxhc0NvbW1vbi5UeXBlLkZpZWxkT3V0cHV0RmllbGQCAAAACccAAAANAwf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7//7/+//8BQ/7//77+//8QAAAACUYBAAABQf7//7/+//8BQP7//77+//8JAAAACQgAAAABPv7//7/+//8BPf7//77+//8LAAAABsQBAAABMwE7/v//v/7//wE6/v//vv7//wQAAAAGxwEAAAdHZW5lcmFsATj+//+//v//ATf+//++/v//AgAAAAbKAQAAATEBNf7//7/+//8BNP7//77+//8AAAAABs0BAAAFMTMuNTcH4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v//qv7//wlXAQAACVgBAAABL/7//6r+//8JWgEAAAlYAQAAASz+//+q/v//CV0BAAAG1gEAAAUtNDE0MgEp/v//qv7//wlgAQAABtkBAAAHQ2FsaWJyaQEm/v//qv7//wljAQAABtwBAAABMAEj/v//qv7//wlmAQAABt8BAAACMTEBIP7//6r+//8JaQEAAAbiAQAAB1JlZ3VsYXIH4gAAAAABAAAABAAAAAQ3R2xvYmVTb2Z0d2FyZS5BdGxhczQwLkF0bGFzQ29tbW9uLlR5cGUuRmllbGRPdXRwdXRGaWVsZAIAAAAJygAAAA0DB+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v//v/7//wEb/v//vv7//xAAAAAJRgEAAAEZ/v//v/7//wEY/v//vv7//wkAAAAJCAAAAAEW/v//v/7//wEV/v//vv7//wsAAAAG7AEAAAE0ARP+//+//v//ARL+//++/v//BAAAAAbvAQAAB0dlbmVyYWwBEP7//7/+//8BD/7//77+//8CAAAABvIBAAABMQEN/v//v/7//wEM/v//vv7//wAAAAAG9QEAAAUxOS43MQ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+q/v//CVcBAAAJWAEAAAEH/v//qv7//wlaAQAACVgBAAABBP7//6r+//8JXQEAAAb+AQAABS00MTQyAQH+//+q/v//CWABAAAGAQIAAAdDYWxpYnJpAf79//+q/v//CWMBAAAGBAIAAAEwAfv9//+q/v//CWYBAAAGBwIAAAIxMQH4/f//qv7//wlpAQAABgoCAAAHUmVndWxhcgfnAAAAAAEAAAAEAAAABDdHbG9iZVNvZnR3YXJlLkF0bGFzNDAuQXRsYXNDb21tb24uVHlwZS5GaWVsZE91dHB1dEZpZWxkAgAAAAnN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+//v//AfP9//++/v//EAAAAAlGAQAAAfH9//+//v//AfD9//++/v//CQAAAAkIAAAAAe79//+//v//Ae39//++/v//CwAAAAYUAgAAATUB6/3//7/+//8B6v3//77+//8EAAAABhcCAAAHR2VuZXJhbAHo/f//v/7//wHn/f//vv7//wIAAAAGGgIAAAExAeX9//+//v//AeT9//++/v//AAAAAAYdAgAABTMzLjcx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6r+//8JVwEAAAlYAQAAAd/9//+q/v//CVoBAAAJWAEAAAHc/f//qv7//wldAQAABiYCAAAFLTQxNDIB2f3//6r+//8JYAEAAAYpAgAAB0NhbGlicmkB1v3//6r+//8JYwEAAAYsAgAAATAB0/3//6r+//8JZgEAAAYvAgAAAjExAdD9//+q/v//CWkBAAAGMgIAAAdSZWd1bGFyAe8AAAAOAAAA6wAAAAYzAgAAEVJvdXRlQ29zdENhdGVnb3J5BjQCAAAPQ29zdCBjYXRlZ29yaWVzCQgAAAAJCAAAAAkIAAAAAcr9///g////AAAAAAk3AgAACTgCAAABx/3//93///+SEUgrNn6jTLHnSJct7H7P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SwIAAAE3AgAAIQAAAAgAAAAJTAIAABE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A1Db3N0IGNhdGVnb3J5Aa39//+q/v//BlQCAAAFTGFiZWwJ7gAAAAGq/f//qv7//wZXAgAABFR5cGUJ7QAAAAdD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9//+q/v//CVECAAAGWwIAACBJZGVudGlmaWNhdGlvbiBvZiB0aGUgY29zdCBncm91cAGk/f//qv7//wlUAgAACfwAAAABof3//6r+//8JVwIAAAn7AAAAB0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6r+//8JUQIAAAZkAgAANklzc3VlcyBhY2NvdW50IGZvciB3b3JrIGNlbnRlciBjb25zdW1wdGlvbiBpbiBwcm9jZXNzLgGb/f//qv7//wlUAgAACQoBAAABmP3//6r+//8JVwIAAAkJAQAAB0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6r+//8JUQIAAAZtAgAANlJlY2VpcHQgYWNjb3VudCBmb3Igd29yayBjZW50ZXIgY29uc3VtcHRpb24gaW4gcHJvY2VzcwGS/f//qv7//wlUAgAACRgBAAABj/3//6r+//8JVwIAAAkXAQAAB0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6r+//8JUQIAAAZ2AgAAK0xlZGdlciBhY2NvdW50IGZvciB3b3JrIGNlbnRlciBjb25zdW1wdGlvbi4Bif3//6r+//8JVAIAAAkmAQAAAYb9//+q/v//CVcCAAAJJQEAAAd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q/v//CVECAAAGfwIAADJPZmZzZXQgbGVkZ2VyIGFjY291bnQgZm9yIHdvcmsgY2VudGVyIGNvbnN1bXB0aW9uLgGA/f//qv7//wlUAgAACTQBAAABff3//6r+//8JVwIAAAkzAQAAAUwCAAASAAAAB00C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mVGFibGUuUm91dGVDb3N0Q2F0ZWdvcnkuQ29zdENhdGVnb3J5SWQJvgAAAAF3/f//RP///waKAgAAIVRhYmxlLlJvdXRlQ29zdENhdGVnb3J5LkNvc3RQcmljZQmLAgAAAXT9//9E////Bo0CAAAjVGFibGUuUm91dGVDb3N0Q2F0ZWdvcnkuQ29zdEdyb3VwSWQJwQAAAAFx/f//RP///waQAgAAHlRhYmxlLlJvdXRlQ29zdENhdGVnb3J5LkVtcGxJZAmRAgAAAW79//9E////BpMCAAAnVGFibGUuUm91dGVDb3N0Q2F0ZWdvcnkuQWNjb3VudFdJUElzc3VlCcQAAAABa/3//0T///8GlgIAACtUYWJsZS5Sb3V0ZUNvc3RDYXRlZ29yeS5BY2NvdW50V0lQVmFsdWF0aW9uCccAAAABaP3//0T///8GmQIAACpUYWJsZS5Sb3V0ZUNvc3RDYXRlZ29yeS5BY2NvdW50V3JrQ3RySXNzdWUJygAAAAFl/f//RP///wacAgAAMFRhYmxlLlJvdXRlQ29zdENhdGVnb3J5LkFjY291bnRXcmtDdHJJc3N1ZU9mZnNldAnNAAAAAU8CAABnAAAAAYsCAAC+AAAAAWL9//+Q/////////wAGnwIAAARSZWFsBqACAAAKQ29zdCBwcmljZQnvAAAAAV79//+O////AgAAAAFd/f//D////wEAAAAAAAnyAAAABqUCAAAJQ29zdFByaWNlCQgAAAAK/////wnyAAAACgmlAgAACgoKCQgAAAAJqgIAAAkIAAAAAZECAAC+AAAAAVT9//+Q/////////wAGrQIAAAZTdHJpbmcGrgIAAAhFbXBsb3llZQnvAAAAAVD9//+O////AgAAAAFP/f//D////wEAAAAAAAnyAAAABrMCAAAGRW1wbElkCQgAAAAK/////wnyAAAACgmzAgAACgoKCQgAAAAJuAIAAAkIAAAABK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RAAAAAwAAAAm7AgAABL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RAAAAAwAAAAm9AgAAB7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6r+//8JUQIAAAbAAgAAFENvc3QgcHJpY2UgcGVyIGhvdXIuAT/9//+q/v//CVQCAAAJoAIAAAE8/f//qv7//wlXAgAACZ8CAAAHv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qv7//wlRAgAABskCAAAiRW1wbG95ZWUgcHJvcG9zZWQgZm9yIHRyYW5zYWN0aW9ucwE2/f//qv7//wlUAgAACa4CAAABM/3//6r+//8JVwIAAAmtAgAACw==
    <Output>
      <OutputObject name="AtlasReport_16"/>
    </Output>
  </Query>
</Atlas>
</file>

<file path=customXml/item5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EMzYwdA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UF0bGFzUmVwb3J0XzRfVGFibGVfMQkd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bAAAACAgJH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8AAAAJIAAAAAkhAAAABiIAAAAETmFtZQYjAAAAC0Rlc2NyaXB0aW9uBiQAAAAGU3RyaW5nBiUAAAAABiYAAAAkNGRjMDliODctNTlkNi00OGNjLTllM2QtYmQ0ZTY2NmZiNWIx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QzMmI0MTE4MS1lMjM2LTQzNTctYjViOC1iZTIxZGU3NjkyOGIGLAAAACBUYWJsZS5UYXhMZWRnZXJBY2NvdW50R3JvdXAuTmFtZQoKCgoBFQAAABQAAAAJLQAAAAkuAAAACS8AAAAGMAAAAA9UYXhBY2NvdW50R3JvdXAGMQAAABRMZWRnZXIgcG9zdGluZyBncm91cAYyAAAABlN0cmluZwklAAAABjQAAAAkYTQyM2RjMjItYzU0MC00ZjEyLWI4YzItNDVhOWY0YmM0YjI3Acv////Z/////////wEAAAAByv///9j///8AAAAAAcn////X////AgAAAAAAAAAAAcj////W////AAAAAAoBAAAAAAAAAAABAAAAAAY5AAAAJGUwODJjNzUwLTg3YWYtNGYyMi1hOTkyLWZiMTgzY2FlMWZhYQY6AAAAK1RhYmxlLlRheExlZGdlckFjY291bnRHcm91cC5UYXhBY2NvdW50R3JvdXAKCgoKARYAAAAUAAAACTsAAAAJPAAAAAk9AAAABj4AAAASVGF4QWNjb3VudE91dGdvaW5nBj8AAAARU2FsZXMgdGF4IHBheWFibGUGQAAAAAZTdHJpbmcJJQAAAAZCAAAAJDljNTlmZWZlLTc0ZTItNDgzOC1iMTdkLTZlMTVmZjdiOTQ5MAG9////2f////////8CAAAAAbz////Y////AAAAAAG7////1////wIAAAAAAAAAAAG6////1v///wAAAAAKAQAAAAAAAAAAAgAAAAAGRwAAACRiODc5ZTZkZi0zNGM2LTRlMWEtOWM0Zi0wNDg1MTQ3MDgwYTgGSAAAAC5UYWJsZS5UYXhMZWRnZXJBY2NvdW50R3JvdXAuVGF4QWNjb3VudE91dGdvaW5nCgoKCgEXAAAAFAAAAAlJAAAACUoAAAAJSwAAAAZMAAAAElRheEFjY291bnRJbmNvbWluZwZNAAAAFFNhbGVzIHRheCByZWNlaXZhYmxlBk4AAAAGU3RyaW5nCSUAAAAGUAAAACRiOTEyYjFlZi1lYzNiLTQ5YzQtYWQ1My0zMjZhZWNjMzk4ZDgBr////9n/////////AwAAAAGu////2P///wAAAAABrf///9f///8CAAAAAAAAAAABrP///9b///8AAAAACgEAAAAAAAAAAAMAAAAABlUAAAAkNGVkYTljNzAtYWMxNy00YzkwLThkMWEtZTA0ZGUyZTQyYWI2BlYAAAAuVGFibGUuVGF4TGVkZ2VyQWNjb3VudEdyb3VwLlRheEFjY291bnRJbmNvbWluZwoKCgoBGAAAABQAAAAJVwAAAAlYAAAACVkAAAAGWgAAABBUYXhBY2NvdW50VXNlVGF4BlsAAAAPVXNlIHRheCBleHBlbnNlBlwAAAAGU3RyaW5nCSUAAAAGXgAAACRmNWVmNjA4Ni1mYzM5LTQ0MGEtOTE0Zi00YzI2OTI4OTJhNjcBof///9n/////////BAAAAAGg////2P///wAAAAABn////9f///8CAAAAAAAAAAABnv///9b///8AAAAACgEAAAAAAAAAAAQAAAAABmMAAAAkNzMyYmQ3M2UtNDVmMi00Y2VlLTk2YzAtOWEyYTk5Mjk1MzA5BmQAAAAsVGFibGUuVGF4TGVkZ2VyQWNjb3VudEdyb3VwLlRheEFjY291bnRVc2VUYXgKCgoKARkAAAAUAAAACWUAAAAJZgAAAAlnAAAABmgAAAAWVGF4T2Zmc2V0QWNjb3VudFVzZVRheAZpAAAAD1VzZSB0YXggcGF5YWJsZQZqAAAABlN0cmluZwklAAAABmwAAAAkNDgyYTRmNDQtMzczYi00YWZjLTgwYzYtODNmOTc2N2NjZDFiAZP////Z/////////wUAAAABkv///9j///8AAAAAAZH////X////AgAAAAAAAAAAAZD////W////AAAAAAoBAAAAAAAAAAAFAAAAAAZxAAAAJDg4NjZkY2I4LTdhYjEtNDc1Ni05YjAxLTg2NGYzMGVmYTExYQZyAAAAMlRhYmxlLlRheExlZGdlckFjY291bnRHcm91cC5UYXhPZmZzZXRBY2NvdW50VXNlVGF4CgoKCgEaAAAAFAAAAAlzAAAACXQAAAAJdQAAAAZ2AAAAEFRheEFjY291bnRSZXBvcnQGdwAAABJTZXR0bGVtZW50IGFjY291bnQGeAAAAAZTdHJpbmcJJQAAAAZ6AAAAJDYwNzM1NWFjLThlZmQtNDI1Yi1hNmY2LTY0YmUzMTVkMWZiZgGF////2f////////8GAAAAAYT////Y////AAAAAAGD////1////wIAAAAAAAAAAAGC////1v///wAAAAAKAQAAAAAAAAAABgAAAAAGfwAAACRlNjU5YmViMy05YTc5LTQzMTYtYjczOS04MjI2YjEwODFjNWEGgAAAACxUYWJsZS5UYXhMZWRnZXJBY2NvdW50R3JvdXAuVGF4QWNjb3VudFJlcG9y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Q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hgAAAAcAAAAJhwAAAAEtAAAAHwAAAAmIAAAAAQAAAAEAAAABLgAAACAAAAAlAAAACYQAAAAHAAAACYoAAAABLwAAACEAAAAcAAAACYYAAAAHAAAACYwAAAABOwAAAB8AAAAJjQAAAAEAAAABAAAAATwAAAAgAAAAJAAAAAmEAAAABwAAAAmPAAAAAT0AAAAhAAAAHAAAAAmGAAAABwAAAAmRAAAAAUkAAAAfAAAACZIAAAABAAAAAQAAAAFKAAAAIAAAACQAAAAJhAAAAAcAAAAJlAAAAAFLAAAAIQAAABwAAAAJhgAAAAcAAAAJlgAAAAFXAAAAHwAAAAmXAAAAAQAAAAEAAAABWAAAACAAAAAkAAAACYQAAAAHAAAACZkAAAABWQAAACEAAAAcAAAACYYAAAAHAAAACZsAAAABZQAAAB8AAAAJnAAAAAEAAAABAAAAAWYAAAAgAAAAJAAAAAmEAAAABwAAAAmeAAAAAWcAAAAhAAAAHAAAAAmGAAAABwAAAAmgAAAAAXMAAAAfAAAACaEAAAABAAAAAQAAAAF0AAAAIAAAACQAAAAJhAAAAAcAAAAJowAAAAF1AAAAIQAAABwAAAAJhgAAAAcAAAAJpQAAAA+BAAAAAQAAAAgBAAAABYIAAAA8R2xvYmVTb2Z0d2FyZS5BdGxhczQwLkF0bGFzQ29tbW9uQ2xpZW50LkRhdGFTb3VyY2VGaWVsZFZhbHVlBAAAABJfaXNEcmlsbERvd25GaWx0ZXIGX2RzS2V5Cl9maWVsZG5hbWULX2ZpZWxkVmFsdWUAAQEBARsAAAAABqYAAAAbVGFibGUuVGF4TGVkZ2VyQWNjb3VudEdyb3Vw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EAAAAAasAAAABE5vbmUBU////1b///8BUv///1X///8JAAAACSUAAAABUP///1b///8BT////1X///8LAAAABrIAAAABMAFN////Vv///wFM////Vf///wQAAAAGtQAAAAdHZW5lcmFsAUr///9W////AUn///9V////AgAAAAa4AAAAATEBR////1b///8BRv///1X///8AAAAABrsAAAAFMjIuODY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E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0AAAAIRm9udEJvbGQGvgAAAAVGYWxzZQFB////RP///wbAAAAACkZvbnRJdGFsaWMJvgAAAAE+////RP///wbDAAAADUZvbnRVbmRlcmxpbmUGxAAAAAUtNDE0MgE7////RP///wbGAAAACEZvbnROYW1lBscAAAAHQ2FsaWJyaQE4////RP///wbJAAAACUZvbnRDb2xvcgbKAAAAATABNf///0T///8GzAAAAAhGb250U2l6ZQbNAAAAAjExATL///9E////Bs8AAAAJRm9udFN0eWxlBtAAAAAHUmVndWxhcgeIAAAAAAEAAAAEAAAABDdHbG9iZVNvZnR3YXJlLkF0bGFzNDAuQXRsYXNDb21tb24uVHlwZS5GaWVsZE91dHB1dEZpZWxkDgAAAAnRAAAADQMHi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///9W////AS3///9V////BgAAAAbUAAAABVRvdGFsASv///9W////ASr///9V////EAAAAAmsAAAAASj///9W////ASf///9V////CQAAAAklAAAAASX///9W////AST///9V////CwAAAAbdAAAAATEBIv///1b///8BIf///1X///8EAAAABuAAAAAHR2VuZXJhbAEf////Vv///wEe////Vf///wIAAAAG4wAAAAExARz///9W////ARv///9V////AAAAAAbmAAAABTQ1LjU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T///8JvQAAAAm+AAAAARb///9E////CcAAAAAJvgAAAAET////RP///wnDAAAABu8AAAAFLTQxNDIBEP///0T///8JxgAAAAbyAAAAB0NhbGlicmkBDf///0T///8JyQAAAAb1AAAAATABCv///0T///8JzAAAAAb4AAAAAjExAQf///9E////Cc8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wAAAABAP///1b///8B//7//1X///8JAAAACSUAAAAB/f7//1b///8B/P7//1X///8LAAAABgUBAAABMgH6/v//Vv///wH5/v//Vf///wQAAAAGCAEAAAdHZW5lcmFsAff+//9W////Afb+//9V////AgAAAAYLAQAAATEB9P7//1b///8B8/7//1X///8AAAAABg4BAAACMzU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RP///wm9AAAACb4AAAAB7v7//0T///8JwAAAAAm+AAAAAev+//9E////CcMAAAAGFwEAAAUtNDE0MgHo/v//RP///wnGAAAABhoBAAAHQ2FsaWJyaQHl/v//RP///wnJAAAABh0BAAABMAHi/v//RP///wnMAAAABiABAAACMTEB3/7//0T///8Jzw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AAAAAHY/v//Vv///wHX/v//Vf///wkAAAAJJQAAAAHV/v//Vv///wHU/v//Vf///wsAAAAGLQEAAAEzAdL+//9W////AdH+//9V////BAAAAAYwAQAAB0dlbmVyYWwBz/7//1b///8Bzv7//1X///8CAAAABjMBAAABMQHM/v//Vv///wHL/v//Vf///wAAAAAGNgEAAAUyMC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E////Cb0AAAAJvgAAAAHG/v//RP///wnAAAAACb4AAAABw/7//0T///8JwwAAAAY/AQAABS00MTQyAcD+//9E////CcYAAAAGQgEAAAdDYWxpYnJpAb3+//9E////CckAAAAGRQEAAAEwAbr+//9E////CcwAAAAGSAEAAAIxMQG3/v//RP///wnP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sAAAAAbD+//9W////Aa/+//9V////CQAAAAklAAAAAa3+//9W////Aaz+//9V////CwAAAAZVAQAAATQBqv7//1b///8Bqf7//1X///8EAAAABlgBAAAHR2VuZXJhbAGn/v//Vv///wGm/v//Vf///wIAAAAGWwEAAAExAaT+//9W////AaP+//9V////AAAAAAZeAQAABTIwLjI5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T///8JvQAAAAm+AAAAAZ7+//9E////CcAAAAAJvgAAAAGb/v//RP///wnDAAAABmcBAAAFLTQxNDIBmP7//0T///8JxgAAAAZqAQAAB0NhbGlicmkBlf7//0T///8JyQAAAAZtAQAAATABkv7//0T///8JzAAAAAZwAQAAAjExAY/+//9E////Cc8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wAAAABiP7//1b///8Bh/7//1X///8JAAAACSUAAAABhf7//1b///8BhP7//1X///8LAAAABn0BAAABNQGC/v//Vv///wGB/v//Vf///wQAAAAGgAEAAAdHZW5lcmFsAX/+//9W////AX7+//9V////AgAAAAaDAQAAATEBfP7//1b///8Be/7//1X///8AAAAABoYBAAAFMTcuNzE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RP///wm9AAAACb4AAAABdv7//0T///8JwAAAAAm+AAAAAXP+//9E////CcMAAAAGjwEAAAUtNDE0MgFw/v//RP///wnGAAAABpIBAAAHQ2FsaWJyaQFt/v//RP///wnJAAAABpUBAAABMAFq/v//RP///wnMAAAABpgBAAACMTEBZ/7//0T///8Jzw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AAAAAFg/v//Vv///wFf/v//Vf///wkAAAAJJQAAAAFd/v//Vv///wFc/v//Vf///wsAAAAGpQEAAAE2AVr+//9W////AVn+//9V////BAAAAAaoAQAAB0dlbmVyYWwBV/7//1b///8BVv7//1X///8CAAAABqsBAAABMQFU/v//Vv///wFT/v//Vf///wAAAAAGrgEAAAUyMC4xNA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E////Cb0AAAAJvgAAAAFO/v//RP///wnAAAAACb4AAAABS/7//0T///8JwwAAAAa3AQAABS00MTQyAUj+//9E////CcYAAAAGugEAAAdDYWxpYnJpAUX+//9E////CckAAAAGvQEAAAEwAUL+//9E////CcwAAAAGwAEAAAIxMQE//v//RP///wnP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RGVzY3JpcHRpb24JxwEAAAE4/v//1////wIAAAAFN/7//zlHbG9iZVNvZnR3YXJlLkF0bGFzNDAuQXRsYXNDb21tb24uTnVtYmVyU2VxdWVuY2VDb25kaXRpb24BAAAAB3ZhbHVlX18ACA4AAAABAAAAAAAGygEAABtUYWJsZS5UYXhMZWRnZXJBY2NvdW50R3JvdXAJIgAAAAklAAAACv////8JygEAAAoJIgAAAAoKCgklAAAACdABAAAJJQAAAAHRAAAAqQAAAAEu/v//2f////////8ABtMBAAAGU3RyaW5nBtQBAAAUTGVkZ2VyIHBvc3RpbmcgZ3JvdXA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OKOANDlsxkSKQVrEP5puawklAAAACSUAAAAJLgIAAAnKAQAACgoKCgoBAAAABdD9//80R2xvYmVTb2Z0d2FyZS5BdGxhczQwLkF0bGFzQ29tbW9uLkRhdGFTb3VyY2VKb2luTW9kZQEAAAAHdmFsdWVfXwAIDgAAAAAAAAAFz/3//zVHbG9iZVNvZnR3YXJlLkF0bGFzNDAuQXRsYXNDb21tb24uRGF0YVNvdXJjZUZldGNoTW9kZQEAAAAHdmFsdWVfXwAIDgAAAAAAAAAACTICAAAB0AEAACEAAAAXAAAACYYAAAADAAAACTQCAAAB3gEAACEAAAAXAAAACYYAAAADAAAACTYCAAAB7AEAACEAAAAXAAAACYYAAAADAAAACTgCAAAB+gEAACEAAAAXAAAACYYAAAADAAAACToCAAABCAIAACEAAAAXAAAACYYAAAADAAAACTwCAAABFgIAACEAAAAXAAAACYYAAAADAAAACT4CAAABJAIAACEAAAAX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QQIAABE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E////BkYCAAAISGVscFRleHQGRwIAACBEZXNjcmlwdGlvbiBvZiB0aGUgcG9zdGluZyBncm91cAG4/f//RP///wZJAgAABUxhYmVsCcYBAAABtf3//0T///8GTAIAAARUeXBlCcUBAAAHN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RP///wlGAgAABlACAAArTmFtZSBvZiBsZWRnZXIgcG9zdGluZyBncm91cCBmb3Igc2FsZXMgdGF4LgGv/f//RP///wlJAgAACdQBAAABrP3//0T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T///8JRgIAAAZZAgAAJEFjY291bnQgbnVtYmVyIGZvciBzYWxlcyB0YXggcGF5YWJsZQGm/f//RP///wlJAgAACeIBAAABo/3//0T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T///8JRgIAAAZiAgAAJ0FjY291bnQgbnVtYmVyIGZvciBzYWxlcyB0YXggcmVjZWl2YWJsZQGd/f//RP///wlJAgAACfABAAABmv3//0T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T///8JRgIAAAZrAgAAIkxlZGdlciBhY2NvdW50IGZvciBwb3N0aW5nIHVzZSB0YXgBlP3//0T///8JSQIAAAn+AQAAAZH9//9E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E////CUYCAAAGdAIAACVMZWRnZXIgYWNjb3VudCBmb3Igb2Zmc2V0dGluZyB1c2UgdGF4AYv9//9E////CUkCAAAJDAIAAAGI/f//RP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RP///wlGAgAABn0CAAAgQWNjb3VudCBmb3IgcGF5bWVudCBvZiBzYWxlcyB0YXgBgv3//0T///8JSQIAAAkaAgAAAX/9//9E////CUwCAAAJGQIAAAFBAgAADAAAAAdCAgAAAAEAAAAQ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0QAAAAF5/f//fP3//waIAgAAIFRhYmxlLlRheExlZGdlckFjY291bnRHcm91cC5OYW1lCak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BZ/3//3z9//8GmgIAACxUYWJsZS5UYXhMZWRnZXJBY2NvdW50R3JvdXAuQ2FzaERpc2NPdXRnb2luZwmbAgAAAWT9//98/f//Bp0CAAAtVGFibGUuVGF4TGVkZ2VyQWNjb3VudEdyb3VwLlRheEFjY291bnRGcmVlUGN0CZ4CAAABYf3//3z9//8GoAIAAClUYWJsZS5UYXhMZWRnZXJBY2NvdW50R3JvdXAuUGVubnlEaWZmQ3VzdAmhAgAAAV79//98/f//BqMCAAApVGFibGUuVGF4TGVkZ2VyQWNjb3VudEdyb3VwLlBlbm55RGlmZlZlbmQJpAIAAAFb/f//fP3//wamAgAAMVRhYmxlLlRheExlZGdlckFjY291bnRHcm91cC5UYXhTYWxlc09mZnNldEFjY291bnQJpwIAAAFY/f//fP3//wapAgAAOVRhYmxlLlRheExlZGdlckFjY291bnRHcm91cC5UYXhBY2NvdW50SW5jb21pbmdMb25nVGVybV9CUgmqAgAAAVX9//98/f//BqwCAAAzVGFibGUuVGF4TGVkZ2VyQWNjb3VudEdyb3VwLlRheEFjY291bnRVbnJlYWxpemVkUGF5Ca0CAAABUv3//3z9//8GrwIAADNUYWJsZS5UYXhMZWRnZXJBY2NvdW50R3JvdXAuVGF4QWNjb3VudFVucmVhbGl6ZWRSZWMJsAIAAAFP/f//fP3//wayAgAALFRhYmxlLlRheExlZGdlckFjY291bnRHcm91cC5DYXNoRGlzY0luY29taW5nCbMC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sCAACpAAAAAUz9///Z/////////wAGtQIAAAZTdHJpbmcGtgIAABZDdXN0b21lciBjYXNoIGRpc2NvdW50CccBAAABSP3//9f///8CAAAAAUf9//83/v//AQAAAAAACcoBAAAGuwIAABBDYXNoRGlzY091dGdvaW5nCSUAAAAK/////wnKAQAACgm7AgAACgoKCSUAAAAJwAIAAAklAAAAAZ4CAACpAAAAAT79///Z/////////wAGwwIAAAZTdHJpbmcGxAIAAA5JbnZlc3RtZW50IHRheAnHAQAAATr9///X////AgAAAAE5/f//N/7//wEAAAAAAAnKAQAABskCAAARVGF4QWNjb3VudEZyZWVQY3QJJQAAAAr/////CcoBAAAKCckCAAAKCgoJJQAAAAnOAgAACSUAAAABoQIAAKkAAAABMP3//9n/////////AAbRAgAABlN0cmluZwbSAgAAGlBlbm55IGRpZmZlcmVuY2VzIGN1c3RvbWVyCccBAAABLP3//9f///8CAAAAASv9//83/v//AQAAAAAACcoBAAAG1wIAAA1QZW5ueURpZmZDdXN0CSUAAAAK/////wnKAQAACgnXAgAACgoKCSUAAAAJ3AIAAAklAAAAAaQCAACpAAAAASL9///Z/////////wAG3wIAAAZTdHJpbmcG4AIAABhQZW5ueSBkaWZmZXJlbmNlcyB2ZW5kb3IJxwEAAAEe/f//1////wIAAAABHf3//zf+//8BAAAAAAAJygEAAAblAgAADVBlbm55RGlmZlZlbmQJJQAAAAr/////CcoBAAAKCeUCAAAKCgoJJQAAAAnqAgAACSUAAAABpwIAAKkAAAABFP3//9n/////////AAbtAgAABlN0cmluZwbuAgAAEVNhbGVzIHRheCBleHBlbnNlCccBAAABEP3//9f///8CAAAAAQ/9//83/v//AQAAAAAACcoBAAAG8wIAABVUYXhTYWxlc09mZnNldEFjY291bnQJJQAAAAr/////CcoBAAAKCfMCAAAKCgoJJQAAAAn4AgAACSUAAAABqgIAAKkAAAABBv3//9n/////////AAb7AgAABlN0cmluZwb8AgAAHlNhbGVzIFRheCBSZWNlaXZhYmxlIExvbmcgVGVybQnHAQAAAQL9///X////AgAAAAEB/f//N/7//wEAAAAAAAnKAQAABgEDAAAdVGF4QWNjb3VudEluY29taW5nTG9uZ1Rlcm1fQlIJJQAAAAr/////CcoBAAAKCQEDAAAKCgoJJQAAAAkGAwAACSUAAAABrQIAAKkAAAAB+Pz//9n/////////AAYJAwAABlN0cmluZwYKAwAAFlVucmVhbGl6ZWQgdGF4IHBheWFibGUJxwEAAAH0/P//1////wIAAAAB8/z//zf+//8BAAAAAAAJygEAAAYPAwAAF1RheEFjY291bnRVbnJlYWxpemVkUGF5CSUAAAAK/////wnKAQAACgkPAwAACgoKCSUAAAAJFAMAAAklAAAAAbACAACpAAAAAer8///Z/////////wAGFwMAAAZTdHJpbmcGGAMAABlVbnJlYWxpemVkIHRheCByZWNlaXZhYmxlCccBAAAB5vz//9f///8CAAAAAeX8//83/v//AQAAAAAACcoBAAAGHQMAABdUYXhBY2NvdW50VW5yZWFsaXplZFJlYwklAAAACv////8JygEAAAoJHQMAAAoKCgklAAAACSIDAAAJJQAAAAGzAgAAqQAAAAHc/P//2f////////8ABiUDAAAGU3RyaW5nBiYDAAAUVmVuZG9yIGNhc2ggZGlzY291bnQJxwEAAAHY/P//1////wIAAAAB1/z//zf+//8BAAAAAAAJygEAAAYrAwAAEENhc2hEaXNjSW5jb21pbmcJJQAAAAr/////CcoBAAAKCSsDAAAKCgoJJQAAAAkwAwAACSUAAAABwAIAACEAAAAGAAAACYYAAAADAAAACTMDAAABzgIAACEAAAAGAAAACYYAAAADAAAACTUDAAAB3AIAACEAAAAGAAAACYYAAAADAAAACTcDAAAB6gIAACEAAAAGAAAACYYAAAADAAAACTkDAAAB+AIAACEAAAAGAAAACYYAAAADAAAACTsDAAABBgMAACEAAAAGAAAACYYAAAADAAAACT0DAAABFAMAACEAAAAGAAAACYYAAAADAAAACT8DAAABIgMAACEAAAAGAAAACYYAAAADAAAACUEDAAABMAMAACEAAAAGAAAACYYAAAADAAAACUMDAAAHM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P//RP///wlJAgAACbYCAAABufz//0T///8JTAIAAAm1AgAABz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0T///8JSQIAAAnEAgAAAbP8//9E////CUwCAAAJwwIAAAc3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8//9E////CUkCAAAJ0gIAAAGt/P//RP///wlMAgAACdECAAAHO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RP///wlJAgAACeACAAABp/z//0T///8JTAIAAAnfAgAABz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0T///8JSQIAAAnuAgAAAaH8//9E////CUwCAAAJ7QIAAAc9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78//9E////CUkCAAAJ/AIAAAGb/P//RP///wlMAgAACfsCAAAHP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RP///wlJAgAACQoDAAABlfz//0T///8JTAIAAAkJAwAAB0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z//0T///8JSQIAAAkYAwAAAY/8//9E////CUwCAAAJFwMAAAd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8//9E////CUkCAAAJJgMAAAGJ/P//RP///wlMAgAACSUDAAAL</Report>
</Atlas>
</file>

<file path=customXml/item6.xml><?xml version="1.0" encoding="utf-8"?>
<Atlas>
  <Query type="ReportList" id="b7852cae-769c-423c-9adf-e4f0f638a62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kAAAAJ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SQ3VzdExlZGdlckFjY291bnRzBh4AAAAYQ3VzdG9tZXIgbGVkZ2VyIGFjY291bnRzCQgAAAAJCAAAAAkIAAAABeD///8wR2xvYmVTb2Z0d2FyZS5BdGxhczQwLkF0bGFzQ29tbW9uLkRhdGFTb3VyY2VUeXBlAQAAAAd2YWx1ZV9fAAgCAAAAAAAAAAkhAAAACSIAAAAE3f///wtTeXN0ZW0uR3VpZAsAAAACX2ECX2ICX2MCX2QCX2UCX2YCX2cCX2gCX2kCX2oCX2sAAAAAAAAAAAAAAAgHBwICAgICAgICn/n0m2wOdkKv6Ja+SyVL8AkIAAAACQgAAAAJJQAAAAYmAAAAGFRhYmxlLkN1c3RMZWRnZXJBY2NvdW50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NBxEVAAAABAAAAAY4AAAADUF0bGFzUmVwb3J0XzU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Yjc4NTJjYWUtNzY5Yy00MjNjLTlhZGYtZTRmMGY2MzhhNjIxAcL////F////AcH////E////AAAAAAZAAAAABHRydWUBv////8X///8Bvv///8T///8LAAAABkMAAAAYQ3VzdG9tZXIgbGVkZ2VyIGFjY291bnRzAbz////F////Abv////E////GwAAAAZGAAAABFRydWUBuf///8X///8BuP///8T///8GAAAABkkAAAAFRmFsc2UBtv///8X///8Btf///8T///8cAAAACUYAAAABs////8X///8Bsv///8T///8dAAAACUkAAAABsP///8X///8Br////8T///8qAAAACUYAAAABrf///8X///8BrP///8T///8BAAAABlUAAAADMzcxAar////F////Aan////E////JwAAAAZYAAAACz1EYXRhQXJlYUlkAaf////F////Aab////E////GQAAAAZbAAAAD0NlbGxzVmVydGljYWxseQGk////xf///wGj////xP///wkAAAAKAaL////F////AaH////E////KAAAAAZgAAAAATkBn////8X///8Bnv///8T///8rAAAABmM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QAAABJDdXN0TGVkZ2VyQWNjb3VudH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YAAAAHAAAACW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g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rAAAACWwAAAAJbQAAAAZuAAAADlBvc3RpbmdQcm9maWxlBm8AAAAPUG9zdGluZyBwcm9maWxlBnAAAAAGU3RyaW5nCQgAAAAGcgAAACRlNmRhYTViZi1iNTIzLTQyNmEtOGE2Ny1kYWJlNjcxYWQ1YmYFjf///y1HbG9iZVNvZnR3YXJlLkF0bGFzNDAuQXRsYXNDb21tb24uQWdncmVnYXRpb24BAAAAB3ZhbHVlX18ACAIAAAD/////AAAAAAWM////LEdsb2JlU29mdHdhcmUuQXRsYXM0MC5BdGxhc0NvbW1vbi5Db2x1bW5UeXBlAQAAAAd2YWx1ZV9fAAgCAAAAAAAAAAWL////K0dsb2JlU29mdHdhcmUuQXRsYXM0MC5BdGxhc0NvbW1vbi5Tb3J0T3JkZXIBAAAAB3ZhbHVlX18ACAIAAAACAAAAAAAAAAAFiv///0BHbG9iZVNvZnR3YXJlLkF0bGFzNDAuQXRsYXNDb21tb24uVHlwZS5Db2x1bW4rQ3Jvc3NUYWJDb2x1bW5UeXBlAQAAAAd2YWx1ZV9fAAgCAAAAAAAAAAoBAAAAAAAAAAAAAAAAAAZ3AAAAJDc5NjUyODRmLTFhZjAtNDNmZi1hZjIyLWRmMzQ4ZGY5ODljOAZ4AAAAJ1RhYmxlLkN1c3RMZWRnZXJBY2NvdW50cy5Qb3N0aW5nUHJvZmlsZQoKCgoBMAAAAC8AAAAJeQAAAAl6AAAACXsAAAAGfAAAAAtBY2NvdW50Q29kZQZ9AAAADEFjY291bnQgY29kZQZ+AAAABEVudW0JCAAAAAaAAAAAJDRlYWIzOTY5LTM0MzEtNGRlNC1hNzFhLTg3NjAyYTM5Y2MzMAF/////jf////////8BAAAAAX7///+M////AAAAAAF9////i////wIAAAAAAAAAAAF8////iv///wAAAAAKAQAAAAAAAAAAAQAAAAAGhQAAACQ5OTJlZWEwYS04MWQ1LTQzYTctYThmMi1iNDJmZDFlMWQ4MzQGhgAAACRUYWJsZS5DdXN0TGVkZ2VyQWNjb3VudHMuQWNjb3VudENvZGUKCgoKATEAAAAvAAAACYcAAAAJiAAAAAmJAAAABooAAAADTnVtBosAAAAUQWNjb3VudC9Hcm91cCBudW1iZXIGjAAAAAZTdHJpbmcJCAAAAAaOAAAAJGM3MmJmMTIwLTllYTgtNDI2Yi1hYmQyLTE2ZTJhODRkODQ5MQFx////jf////////8CAAAAAXD///+M////AAAAAAFv////i////wIAAAAAAAAAAAFu////iv///wAAAAAKAQAAAAAAAAAAAgAAAAAGkwAAACQzYTE4ZWQxZi01ODE5LTQ1ZTctOGNmYi1lOTcwMGU0MzU2M2YGlAAAABxUYWJsZS5DdXN0TGVkZ2VyQWNjb3VudHMuTnVtCgoKCgEyAAAALwAAAAmVAAAACZYAAAAJlwAAAAaYAAAAN0F0bGFzTWFuYWdlZENvbHVtbl84NDIyODhmYy01ZTMyLTRiZWQtYTAzOC1mOTQyYWVmY2RmZjEGmQAAAA1DdXN0b21lciBuYW1lCQgAAAAJCAAAAAabAAAAJDUzYTg2YjI3LTFhYjctNGYxNC1iYTRkLTA0YjYzNTg4MWI3NgFk////jf////////8DAAAAAWP///+M////AgAAAAFi////i////wIAAAAAAAAAAAFh////iv///wAAAAAKAQAAAAAAAAAAAwAAAAAGoAAAACQ3OWVmZThmZC03Nzg5LTRhNmItOGUzOC03YTMzOWMyY2Y4MGEJCAAAAAoKCgoBMwAAAC8AAAAJogAAAAmjAAAACaQAAAAGpQAAAApTdW1BY2NvdW50BqYAAAAPU3VtbWFyeSBhY2NvdW50BqcAAAAGU3RyaW5nCQgAAAAGqQAAACQwNjhlMmEwNi1jZGQwLTQ3YzQtYmM1ZC1hN2NiMDZkMzNmYjMBVv///43/////////BAAAAAFV////jP///wAAAAABVP///4v///8CAAAAAAAAAAABU////4r///8AAAAACgEAAAAAAAAAAAQAAAAABq4AAAAkZTVlZGIyMTItNTYwNi00MzZmLWE3MjgtZjcyZTA1MzQ0MmZlBq8AAAAjVGFibGUuQ3VzdExlZGdlckFjY291bnRzLlN1bUFjY291bnQKCgoKATQAAAAvAAAACbAAAAAJsQAAAAmyAAAABrMAAAA3QXRsYXNNYW5hZ2VkQ29sdW1uXzdlNjAwZjgzLWEyZjQtNDA5OS1iZWIzLTQ1OGMyNWEzNWJiOQa0AAAAEUxvY2tlZCBpbiBqb3VybmFsCQgAAAAJCAAAAAa2AAAAJGQ3ZTUzYzNhLWM2NmQtNDE2Yi05ZmE4LWNkYzk3MzI3ODM5NgFJ////jf////////8FAAAAAUj///+M////AgAAAAFH////i////wIAAAAAAAAAAAFG////iv///wAAAAAKAQAAAAAAAAAABQAAAAAGuwAAACRkYWEyZDk5OC03NmUxLTQzM2QtOGI0NS1jNzQ1NjhlZTU0ZTkJCAAAAAoKCgoBNQAAAC8AAAAJvQAAAAm+AAAACb8AAAAGwAAAAA9DbGVhcmluZ0FjY291bnQGwQAAAA5TZXR0bGUgYWNjb3VudAbCAAAABlN0cmluZwkIAAAABsQAAAAkZWRkZjI2OGYtYzA2My00MjgzLWE4NmMtNDdkY2YzOGMwYTExATv///+N/////////wYAAAABOv///4z///8AAAAAATn///+L////AgAAAAAAAAAAATj///+K////AAAAAAoBAAAAAAAAAAAGAAAAAAbJAAAAJGMzNjQ5OWVjLTkxOTUtNDdmOC1hMDJiLTk2ODQ3M2MzZDY2NwbKAAAAKFRhYmxlLkN1c3RMZWRnZXJBY2NvdW50cy5DbGVhcmluZ0FjY291bnQKCgoKATYAAAAvAAAACcsAAAAJzAAAAAnNAAAABs4AAAA3QXRsYXNNYW5hZ2VkQ29sdW1uX2E3MmMwMDc3LWQxN2YtNDVlNy04ZjkyLTc0OTU1NGIxMzgwOAbPAAAAEUxvY2tlZCBpbiBqb3VybmFsCQgAAAAJCAAAAAbRAAAAJDcwNTYyOTQyLTIxZmYtNDNhMS04OTBhLTg1Mzg4ZTJmNTU1ZQEu////jf////////8HAAAAAS3///+M////AgAAAAEs////i////wIAAAAAAAAAAAEr////iv///wAAAAAKAQAAAAAAAAAABwAAAAAG1gAAACRjNDE4MGRlYS1jOTU2LTRlNDQtOGE1Ny00ZDE3MzliZWM2MDkJCAAAAAoKCgoBNwAAAC8AAAAJ2AAAAAnZAAAACdoAAAAG2wAAABZDb2xsZWN0aW9uTGV0dGVyQ291cnNlBtwAAAAaQ29sbGVjdGlvbiBsZXR0ZXIgc2VxdWVuY2UG3QAAAAZTdHJpbmcJCAAAAAbfAAAAJGU2NzFmMTI1LTFjYmQtNGY4NC1iNDBkLTAxZDBjYzE1NzQ5ZQEg////jf////////8IAAAAAR////+M////AAAAAAEe////i////wIAAAAAAAAAAAEd////iv///wAAAAAKAQAAAAAAAAAACAAAAAAG5AAAACQyYjNiMDg2Ny1mZTFlLTQwZmUtODlkYy02Y2IyMTBjMTNkMzcG5QAAAC9UYWJsZS5DdXN0TGVkZ2VyQWNjb3VudHMuQ29sbGVjdGlvbkxldHRlckNvdXJzZQoKCgoBZgAAABIAAAAHZw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5wAAACdUYWJsZS5DdXN0TGVkZ2VyQWNjb3VudHMuUG9zdGluZ1Byb2ZpbGUJ6AAAAAEX////Gv///wbqAAAAJFRhYmxlLkN1c3RMZWRnZXJBY2NvdW50cy5BY2NvdW50Q29kZQnrAAAAART///8a////Bu0AAAAcVGFibGUuQ3VzdExlZGdlckFjY291bnRzLk51bQnuAAAAARH///8a////BvAAAAAjVGFibGUuQ3VzdExlZGdlckFjY291bnRzLlN1bUFjY291bnQJ8QAAAAEO////Gv///wbzAAAAKFRhYmxlLkN1c3RMZWRnZXJBY2NvdW50cy5DbGVhcmluZ0FjY291bnQJ9AAAAAEL////Gv///wb2AAAAL1RhYmxlLkN1c3RMZWRnZXJBY2NvdW50cy5Db2xsZWN0aW9uTGV0dGVyQ291cnNlCfcAAAAEa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gAAAABAAAAAQAAAARs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0BAAAJ+QAAAAcAAAAJ+gA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+wAAAAcAAAAJ/AAAAAF5AAAAawAAAAn9AAAAAQAAAAEAAAABegAAAGwAAACMAQAACfkAAAAHAAAACf8AAAAEe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fsAAAAHAAAACQEBAAABhwAAAGsAAAAJAgEAAAEAAAABAAAAAYgAAABsAAAAjAEAAAn5AAAABwAAAAkE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n7AAAABwAAAAkGAQAAAZUAAABrAAAACQcBAAAAAAAAAAAAAAGWAAAAbAAAAGEBAAAJCAEAAAcAAAAJC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BAAAJCgEAAAcAAAAJCwEAAAGiAAAAawAAAAkMAQAAAQAAAAEAAAABowAAAGwAAACMAQAACfkAAAAHAAAACQ4BAAAEp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fsAAAAHAAAACRABAAABsAAAAGsAAAAJEQEAAAAAAAAAAAAAAbEAAABsAAAAeAEAAAkSAQAABwAAAAkTAQAABL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AEAAAkUAQAABwAAAAkVAQAAAb0AAABrAAAACRYBAAABAAAAAQAAAAG+AAAAbAAAAIwBAAAJ+QAAAAcAAAAJGAEAAAS/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+wAAAAcAAAAJGgEAAAHLAAAAawAAAAkRAQAAAAAAAAAAAAABzAAAAGwAAAB4AQAACRIBAAAHAAAACR0BAAAEz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sAQAACRQBAAAHAAAACR8BAAAB2AAAAGsAAAAJIAEAAAEAAAABAAAAAdkAAABsAAAAjAEAAAn5AAAABwAAAAki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n7AAAABwAAAAkkAQAABe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dv+//+N/////////wAGJgEAAAZTdHJpbmcGJwEAAA9Qb3N0aW5nIHByb2ZpbGUJKAEAAAHX/v//i////wIAAAAF1v7//zlHbG9iZVNvZnR3YXJlLkF0bGFzNDAuQXRsYXNDb21tb24uTnVtYmVyU2VxdWVuY2VDb25kaXRpb24BAAAAB3ZhbHVlX18ACAIAAAABAAAAAAAGKwEAABhUYWJsZS5DdXN0TGVkZ2VyQWNjb3VudHMJbgAAAAkIAAAACv////8JKwEAAAoJbgAAAAoKCgkIAAAACTEBAAAJCAAAAAHrAAAA6AAAAAHN/v//jf////////8ABjQBAAAERW51bQY1AQAADEFjY291bnQgY29kZQkoAQAAAcn+//+L////AgAAAAHI/v//1v7//wEAAAAAAAkrAQAACXwAAAAJCAAAAAr/////CSsBAAAKCXwAAAAKCgoJCAAAAAk/AQAACQgAAAAB7gAAAOgAAAABv/7//43/////////AAZCAQAABlN0cmluZwZDAQAAFEFjY291bnQvR3JvdXAgbnVtYmVyCSgBAAABu/7//4v///8CAAAAAbr+///W/v//AQAAAAAACSsBAAAJigAAAAkIAAAACv////8JKwEAAAoJigAAAAoKCgkIAAAACU0BAAAJCAAAAAHxAAAA6AAAAAGx/v//jf////////8ABlABAAAGU3RyaW5nBlEBAAAPU3VtbWFyeSBhY2NvdW50CSgBAAABrf7//4v///8CAAAAAaz+///W/v//AQAAAAAACSsBAAAJpQAAAAkIAAAACv////8JKwEAAAoJpQAAAAoKCgkIAAAACVsBAAAJCAAAAAH0AAAA6AAAAAGj/v//jf////////8ABl4BAAAGU3RyaW5nBl8BAAAOU2V0dGxlIGFjY291bnQJKAEAAAGf/v//i////wIAAAABnv7//9b+//8BAAAAAAAJKwEAAAnAAAAACQgAAAAK/////wkrAQAACgnAAAAACgoKCQgAAAAJaQEAAAkIAAAAAfcAAADoAAAAAZX+//+N/////////wAGbAEAAAZTdHJpbmcGbQEAABpDb2xsZWN0aW9uIGxldHRlciBzZXF1ZW5jZQkoAQAAAZH+//+L////AgAAAAGQ/v//1v7//wEAAAAAAAkrAQAACdsAAAAJCAAAAAr/////CSsBAAAKCdsAAAAKCgoJCAAAAAl3AQAACQgAAAAH+AAAAAABAAAABAAAAAQ3R2xvYmVTb2Z0d2FyZS5BdGxhczQwLkF0bGFzQ29tbW9uLlR5cGUuRmllbGRPdXRwdXRGaWVsZAIAAAAJ6AAAAA0DBP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/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G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YX+//8yR2xvYmVTb2Z0d2FyZS5BdGxhczQwLkF0bGFzQ29tbW9uLkNvbHVtbkF0dHJpYnV0ZXMBAAAAB3ZhbHVlX18ACAIAAAAGAAAABnwBAAAFVG90YWwBg/7//4b+//8Bgv7//4X+//8QAAAABn8BAAAETm9uZQGA/v//hv7//wF//v//hf7//wkAAAAJCAAAAAF9/v//hv7//wF8/v//hf7//wsAAAAGhQEAAAEwAXr+//+G/v//AXn+//+F/v//BAAAAAaIAQAAB0dlbmVyYWwBd/7//4b+//8Bdv7//4X+//8CAAAABosBAAABMQF0/v//hv7//wFz/v//hf7//wAAAAAGjgEAAAIxMQH7AAAAEgAAAAf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HH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kAEAAAhGb250Qm9sZAaRAQAABUZhbHNlAW7+//9x/v//BpMBAAAKRm9udEl0YWxpYwmRAQAAAWv+//9x/v//BpYBAAANRm9udFVuZGVybGluZQaXAQAABS00MTQyAWj+//9x/v//BpkBAAAIRm9udE5hbWUGmgEAAAdDYWxpYnJpAWX+//9x/v//BpwBAAAJRm9udENvbG9yBp0BAAABMAFi/v//cf7//wafAQAACEZvbnRTaXplBqABAAACMTEBX/7//3H+//8GogEAAAlGb250U3R5bGUGowEAAAdSZWd1bGFyB/0AAAAAAQAAAAQAAAAEN0dsb2JlU29mdHdhcmUuQXRsYXM0MC5BdGxhc0NvbW1vbi5UeXBlLkZpZWxkT3V0cHV0RmllbGQCAAAACesAAAANAwf/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4b+//8BWv7//4X+//8QAAAACX8BAAABWP7//4b+//8BV/7//4X+//8JAAAACQgAAAABVf7//4b+//8BVP7//4X+//8LAAAABq0BAAABMQFS/v//hv7//wFR/v//hf7//wQAAAAGsAEAAAdHZW5lcmFsAU/+//+G/v//AU7+//+F/v//AgAAAAazAQAAATEBTP7//4b+//8BS/7//4X+//8AAAAABrYBAAAFMTQuNDMHA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J/v//cf7//wmQAQAACZEBAAABRv7//3H+//8JkwEAAAmRAQAAAUP+//9x/v//CZYBAAAGvwEAAAUtNDE0MgFA/v//cf7//wmZAQAABsIBAAAHQ2FsaWJyaQE9/v//cf7//wmcAQAABsUBAAABMAE6/v//cf7//wmfAQAABsgBAAACMTEBN/7//3H+//8JogEAAAbLAQAAB1JlZ3VsYXIHAgEAAAABAAAABAAAAAQ3R2xvYmVTb2Z0d2FyZS5BdGxhczQwLkF0bGFzQ29tbW9uLlR5cGUuRmllbGRPdXRwdXRGaWVsZAIAAAAJ7gAAAA0DBw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v//hv7//wEy/v//hf7//xAAAAAJfwEAAAEw/v//hv7//wEv/v//hf7//wkAAAAJCAAAAAEt/v//hv7//wEs/v//hf7//wsAAAAG1QEAAAEyASr+//+G/v//ASn+//+F/v//BAAAAAbYAQAAB0dlbmVyYWwBJ/7//4b+//8BJv7//4X+//8CAAAABtsBAAABMQEk/v//hv7//wEj/v//hf7//wAAAAAG3gEAAAIyNA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+//9x/v//CZABAAAJkQEAAAEe/v//cf7//wmTAQAACZEBAAABG/7//3H+//8JlgEAAAbnAQAABS00MTQyARj+//9x/v//CZkBAAAG6gEAAAdDYWxpYnJpARX+//9x/v//CZwBAAAG7QEAAAMyNTUBEv7//3H+//8JnwEAAAbwAQAAAjExAQ/+//9x/v//CaIBAAAG8wEAAAdSZWd1bGFyBwcBAAAAAQAAAAAAAAAEN0dsb2JlU29mdHdhcmUuQXRsYXM0MC5BdGxhc0NvbW1vbi5UeXBlLkZpZWxkT3V0cHV0RmllbGQCAAAAAQgBAAD5AAAA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v//hv7//wEL/v//hf7//yQAAAAJmQAAAAEJ/v//hv7//wEI/v//hf7//wsAAAAG+QEAAAEzAQb+//+G/v//AQX+//+F/v//BAAAAAb8AQAAB0dlbmVyYWwBA/7//4b+//8BAv7//4X+//8CAAAABv8BAAABMQEA/v//hv7//wH//f//hf7//wAAAAAGAgIAAAUxNi43MQH9/f//hv7//wH8/f//hf7//wMAAAAGBQIAAFY9QXRsYXNUYWJsZSgiVUFUIixEYXRhQXJlYUlkLCJULkN1c3RUYWJsZSIsIiVOYW1lIiwiIiwiIiwiIiwiIiwiIiwiIiwiQWNjb3VudE51bSIsJEMzKQEKAQAAEgAAAA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9//9x/v//BgcCAAAIRm9udEJvbGQJkQEAAAH3/f//cf7//wYKAgAACkZvbnRJdGFsaWMJkQEAAAH0/f//cf7//wYNAgAADUZvbnRVbmRlcmxpbmUGDgIAAAUtNDE0MgHx/f//cf7//wYQAgAACEZvbnROYW1lBhECAAAHQ2FsaWJyaQHu/f//cf7//wYTAgAACUZvbnRDb2xvcgYUAgAAATAB6/3//3H+//8GFgIAAAhGb250U2l6ZQYXAgAAAjExAej9//9x/v//BhkCAAAJRm9udFN0eWxlBhoCAAAHUmVndWxhcgcMAQAAAAEAAAAEAAAABDdHbG9iZVNvZnR3YXJlLkF0bGFzNDAuQXRsYXNDb21tb24uVHlwZS5GaWVsZE91dHB1dEZpZWxkAgAAAAnxAAAADQMHD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9//+G/v//AeP9//+F/v//EAAAAAl/AQAAAeH9//+G/v//AeD9//+F/v//CQAAAAkIAAAAAd79//+G/v//Ad39//+F/v//CwAAAAYkAgAAATQB2/3//4b+//8B2v3//4X+//8EAAAABicCAAAHR2VuZXJhbAHY/f//hv7//wHX/f//hf7//wIAAAAGKgIAAAExAdX9//+G/v//AdT9//+F/v//AAAAAAYtAgAABTE4LjI5Bx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3//3H+//8JkAEAAAmRAQAAAc/9//9x/v//CZMBAAAJkQEAAAHM/f//cf7//wmWAQAABjYCAAAFLTQxNDIByf3//3H+//8JmQEAAAY5AgAAB0NhbGlicmkBxv3//3H+//8JnAEAAAY8AgAAAzI1NQHD/f//cf7//wmfAQAABj8CAAACMTEBwP3//3H+//8JogEAAAZCAgAAB1JlZ3VsYXIHEQEAAAABAAAAAAAAAAQ3R2xvYmVTb2Z0d2FyZS5BdGxhczQwLkF0bGFzQ29tbW9uLlR5cGUuRmllbGRPdXRwdXRGaWVsZAIAAAABEgEAAPkAAAAHE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39//+G/v//Abz9//+F/v//JAAAAAm0AAAAAbr9//+G/v//Abn9//+F/v//CwAAAAZIAgAAATUBt/3//4b+//8Btv3//4X+//8EAAAABksCAAAHR2VuZXJhbAG0/f//hv7//wGz/f//hf7//wIAAAAGTgIAAAExAbH9//+G/v//AbD9//+F/v//AAAAAAZRAgAABTE3LjcxAa79//+G/v//Aa39//+F/v//AwAAAAZUAgAAZD1BdGxhc1RhYmxlKCJVQVQiLERhdGFBcmVhSWQsIlQuTGVkZ2VyVGFibGUiLCIlQmxvY2tlZEluSm91cm5hbCIsIiIsIiIsIiIsIiIsIiIsIiIsIkFjY291bnROdW0iLCRFMykBFAEAABIAAAA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f//cf7//wZWAgAACEZvbnRCb2xkCZEBAAABqP3//3H+//8GWQIAAApGb250SXRhbGljCZEBAAABpf3//3H+//8GXAIAAA1Gb250VW5kZXJsaW5lBl0CAAAFLTQxNDIBov3//3H+//8GXwIAAAhGb250TmFtZQZgAgAAB0NhbGlicmkBn/3//3H+//8GYgIAAAlGb250Q29sb3IGYwIAAAEwAZz9//9x/v//BmUCAAAIRm9udFNpemUGZgIAAAIxMQGZ/f//cf7//wZoAgAACUZvbnRTdHlsZQZpAgAAB1JlZ3VsYXIHFgEAAAABAAAABAAAAAQ3R2xvYmVTb2Z0d2FyZS5BdGxhczQwLkF0bGFzQ29tbW9uLlR5cGUuRmllbGRPdXRwdXRGaWVsZAIAAAAJ9AAAAA0DBx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hv7//wGU/f//hf7//xAAAAAJfwEAAAGS/f//hv7//wGR/f//hf7//wkAAAAJCAAAAAGP/f//hv7//wGO/f//hf7//wsAAAAGcwIAAAE2AYz9//+G/v//AYv9//+F/v//BAAAAAZ2AgAAB0dlbmVyYWwBif3//4b+//8BiP3//4X+//8CAAAABnkCAAABMQGG/f//hv7//wGF/f//hf7//wAAAAAGfAIAAAUxNS4yOQc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9x/v//CZABAAAJkQEAAAGA/f//cf7//wmTAQAACZEBAAABff3//3H+//8JlgEAAAaFAgAABS00MTQyAXr9//9x/v//CZkBAAAGiAIAAAdDYWxpYnJpAXf9//9x/v//CZwBAAAGiwIAAAEwAXT9//9x/v//CZ8BAAAGjgIAAAIxMQFx/f//cf7//wmiAQAABpECAAAHUmVndWxhcgc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v3//4b+//8Bbf3//4X+//8kAAAACc8AAAABa/3//4b+//8Bav3//4X+//8LAAAABpcCAAABNwFo/f//hv7//wFn/f//hf7//wQAAAAGmgIAAAdHZW5lcmFsAWX9//+G/v//AWT9//+F/v//AgAAAAadAgAAATEBYv3//4b+//8BYf3//4X+//8AAAAABqACAAAFMTguODYBX/3//4b+//8BXv3//4X+//8DAAAABqMCAABkPUF0bGFzVGFibGUoIlVBVCIsRGF0YUFyZWFJZCwiVC5MZWRnZXJUYWJsZSIsIiVCbG9ja2VkSW5Kb3VybmFsIiwiIiwiIiwiIiwiIiwiIiwiIiwiQWNjb3VudE51bSIsJEczKQ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9//9x/v//CVYCAAAJkQEAAAFZ/f//cf7//wlZAgAACZEBAAABVv3//3H+//8JXAIAAAasAgAABS00MTQyAVP9//9x/v//CV8CAAAGrwIAAAdDYWxpYnJpAVD9//9x/v//CWICAAAGsgIAAAEwAU39//9x/v//CWUCAAAGtQIAAAIxMQFK/f//cf7//wloAgAABrgCAAAHUmVndWxhcgcgAQAAAAEAAAAEAAAABDdHbG9iZVNvZnR3YXJlLkF0bGFzNDAuQXRsYXNDb21tb24uVHlwZS5GaWVsZE91dHB1dEZpZWxkAgAAAAn3AAAADQMHI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b9//+G/v//AUX9//+F/v//EAAAAAl/AQAAAUP9//+G/v//AUL9//+F/v//CQAAAAkIAAAAAUD9//+G/v//AT/9//+F/v//CwAAAAbCAgAAATgBPf3//4b+//8BPP3//4X+//8EAAAABsUCAAAHR2VuZXJhbAE6/f//hv7//wE5/f//hf7//wIAAAAGyAIAAAExATf9//+G/v//ATb9//+F/v//AAAAAAbLAgAABTI2LjQz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3H+//8JkAEAAAmRAQAAATH9//9x/v//CZMBAAAJkQEAAAEu/f//cf7//wmWAQAABtQCAAAFLTQxNDIBK/3//3H+//8JmQEAAAbXAgAAB0NhbGlicmkBKP3//3H+//8JnAEAAAbaAgAAATABJf3//3H+//8JnwEAAAbdAgAAAjExASL9//9x/v//CaIBAAAG4AIAAAdSZWd1bGFyASgBAAAOAAAAQgAAAAbhAgAAEkN1c3RMZWRnZXJBY2NvdW50cwbiAgAAGEN1c3RvbWVyIGxlZGdlciBhY2NvdW50cwkIAAAACQgAAAAJCAAAAAEc/f//4P///wAAAAAJ5QIAAAnmAgAAARn9///d////FwP4xIhEfkuFO7J6/wiFzgkIAAAACQgAAAAJ6QIAAAkrAQAACgoKCgoBAAAAARX9///Z////AAAAAAEU/f//2P///wAAAAAACe0CAAAEM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e8CAAAEP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ECAAAET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MCAAAEW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UCAAAEa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cCAAAEd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kCAAAB5QIAACEAAAAHAAAACfoCAAAHAAAACfsCAAAB5gIAACIAAAAAAAAACfoCAAAAAAAABOk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gAAAAAAAAHtAgAAKQAAAAAAAAAJ/QIAAAAAAAAH7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f//cf7//wb/AgAACEhlbHBUZXh0BgADAAAgUG9zdGluZyBwcm9maWxlIGJlaW5nIHByb2Nlc3NlZC4B//z//3H+//8GAgMAAAVMYWJlbAknAQAAAfz8//9x/v//BgUDAAAEVHlwZQkmAQAAB/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z//3H+//8J/wIAAAYJAwAAMUFjY291bnQgY29kZSwgaS5lLiBhY2NvdW50LCBhY2NvdW50IGdyb3VwIG9yIGFsbC4B9vz//3H+//8JAgMAAAk1AQAAAfP8//9x/v//CQUDAAAJNAEAAAfz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8//9x/v//Cf8CAAAGEgMAADVTcGVjaWZ5IGFjY291bnQvZ3JvdXAgbnVtYmVyIGluY2x1ZGVkIGluIHRoZSBwb3N0aW5nLgHt/P//cf7//wkCAwAACUMBAAAB6vz//3H+//8JBQMAAAlCAQAAB/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z//3H+//8J/wIAAAYbAwAAGFN1bSBhY2NvdW50IGZvciBwb3N0aW5nLgHk/P//cf7//wkCAwAACVEBAAAB4fz//3H+//8JBQMAAAlQAQAAB/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z//3H+//8J/wIAAAYkAwAAM0xlZGdlciBhY2NvdW50IChsaXF1aWRpdHkpIGZvciByZWNlaXB0IG9mIHBheW1lbnRzLgHb/P//cf7//wkCAwAACV8BAAAB2Pz//3H+//8JBQMAAAleAQAAB/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z//3H+//8J/wIAAAYtAwAALUlkZW50aWZpY2F0aW9uIG9mIGNvbGxlY3Rpb24gbGV0dGVyIHNlcXVlbmNlLgHS/P//cf7//wkCAwAACW0BAAABz/z//3H+//8JBQMAAAlsAQAAAfoCAAASAAAAB/s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z8//8a////BjUDAAAnVGFibGUuQ3VzdExlZGdlckFjY291bnRzLlBvc3RpbmdQcm9maWxlCegAAAAByfz//xr///8GOAMAACRUYWJsZS5DdXN0TGVkZ2VyQWNjb3VudHMuQWNjb3VudENvZGUJ6wAAAAHG/P//Gv///wY7AwAAHFRhYmxlLkN1c3RMZWRnZXJBY2NvdW50cy5OdW0J7gAAAAHD/P//Gv///wY+AwAAI1RhYmxlLkN1c3RMZWRnZXJBY2NvdW50cy5TdW1BY2NvdW50CfEAAAABwPz//xr///8GQQMAAChUYWJsZS5DdXN0TGVkZ2VyQWNjb3VudHMuQ2xlYXJpbmdBY2NvdW50CfQAAAABvfz//xr///8GRAMAAC5UYWJsZS5DdXN0TGVkZ2VyQWNjb3VudHMuVkFUcHJlcGF5bWVudHNBY2NvdW50CUUDAAABuvz//xr///8GRwMAAC9UYWJsZS5DdXN0TGVkZ2VyQWNjb3VudHMuQ29sbGVjdGlvbkxldHRlckNvdXJzZQn3AAAAAf0CAABqAAAAAUUDAADoAAAAAbf8//+N/////////wAGSgMAAAZTdHJpbmcGSwMAABVTYWxlcyB0YXggcHJlcGF5bWVudHMJKAEAAAGz/P//i////wIAAAABsvz//9b+//8BAAAAAAAJKwEAAAZQAwAAFVZBVHByZXBheW1lbnRzQWNjb3VudAkIAAAACv////8JKwEAAAoJUAMAAAoKCgkIAAAACVUDAAAJCAAAAARV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+wAAAAMAAAAJWAM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9x/v//Cf8CAAAGWwMAADdPZmZzZXQgYWNjb3VudCBmb3IgY2FsY3VsYXRlZCBzYWxlcyB0YXggb24gcHJlcGF5bWVudHMuAaT8//9x/v//CQIDAAAJSwMAAAGh/P//cf7//wkFAwAACUoDAAAL
    <Output>
      <OutputObject name="AtlasReport_5"/>
    </Output>
  </Query>
</Atlas>
</file>

<file path=customXml/item7.xml><?xml version="1.0" encoding="utf-8"?>
<Atlas>
  <Report name="AtlasReport_1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gAAAAkDAAAACQQAAAAGBQAAAA5BdGxhc1JlcG9ydF8xNA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AwAAAAM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BAAAAAQtR2xvYmVTb2Z0d2FyZS5BdGxhczQwLkF0bGFzQ29tbW9uLlR5cGUuQ29sdW1uDgAAAAkUAAAACRUAAAAJFgAAAAoMFw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XAAAACAIAAAAGGAAAABZBdGxhc1JlcG9ydF8xNF9UYWJsZV8xCRk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cAAAAICAka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wAAAAkcAAAACR0AAAAGHgAAAApMZWRnZXJDb2RlBh8AAAAJVmFsaWQgZm9yBiAAAAAERW51bQYhAAAAAAYiAAAAJDFhZjI5Mzc4LWQxMzEtNDcwNy1hMjk3LTUyZDIwZTI3Y2Y2Z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NzViZGNiOTgtOGU0OC00OGM5LTg1MjItMjNlNDEzZmVkMzM5BigAAAAmVGFibGUuQVJRX0xlZGdlclBvc3RQcm9maWxlLkxlZGdlckNvZGUKCgoKARUAAAAUAAAACSkAAAAJKgAAAAkrAAAABiwAAAAOTGVkZ2VyUmVsYXRpb24GLQAAAA5MZWRnZXIgYWNjb3VudAYuAAAABlN0cmluZwkhAAAABjAAAAAkN2ZjOTA2MzQtZTZjOS00YWY1LTgzZDMtNGNmMzU4NGZiOGY0Ac/////d/////////wEAAAABzv///9z///8AAAAAAc3////b////AgAAAAAAAAAAAcz////a////AAAAAAoBAAAAAAAAAAABAAAAAAY1AAAAJDk2YzU4MWZlLTQyM2YtNDM5Yi05MmIyLWFmOTQ4NzNiMmIwNgY2AAAAKlRhYmxlLkFSUV9MZWRnZXJQb3N0UHJvZmlsZS5MZWRnZXJSZWxhdGlvbgoKCgoBFgAAABQAAAAJNwAAAAk4AAAACTkAAAAGOgAAAAtDb2RlRXN0YXRJZAY7AAAAEFN0YXRpc3RpY2FsIENvZGUGPAAAAAZTdHJpbmcJIQAAAAY+AAAAJDViZTMwZGVmLTNmNTYtNDk3MC04MTQ3LTFiYzQ5ZTBjYmE4NQHB////3f////////8CAAAAAcD////c////AAAAAAG/////2////wIAAAAAAAAAAAG+////2v///wAAAAAKAQAAAAAAAAAAAgAAAAAGQwAAACQwMWM5NjNlOS01YTU0LTRkNmYtYjQwNy02ZmJjNWZmYzVjYjYGRAAAACdUYWJsZS5BUlFfTGVkZ2VyUG9zdFByb2ZpbGUuQ29kZUVzdGF0SWQKCgoKBRkAAAA4R2xvYmVTb2Z0d2FyZS5BdGxhczQwLkF0bGFzQ29tbW9uQ2xpZW50LlJlcG9ydC5SZWZlcmVuY2UBAAAACl9yZWZlcmVuY2UHCBcAAAAJRQAAAAcaAAAAAAEAAAAEAAAABDxHbG9iZVNvZnR3YXJlLkF0bGFzNDAuQXRsYXNDb21tb25DbGllbnQuRGF0YVNvdXJjZUZpZWxkVmFsdWUXAAAACUYAAAANAwQb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HAAAAAQAAAAEAAAAEH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nAAAACUgAAAAHAAAACUkAAAAEH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UoAAAAHAAAACUsAAAABKQAAABsAAAAJTAAAAAEAAAABAAAAASoAAAAcAAAAZgAAAAlIAAAABwAAAAlOAAAAASsAAAAdAAAAYgAAAAlKAAAABwAAAAlQAAAAATcAAAAbAAAACVEAAAABAAAAAQAAAAE4AAAAHAAAAGYAAAAJSAAAAAcAAAAJUwAAAAE5AAAAHQAAAGIAAAAJSgAAAAcAAAAJVQAAAA9FAAAAAQAAAAgBAAAABUYAAAA8R2xvYmVTb2Z0d2FyZS5BdGxhczQwLkF0bGFzQ29tbW9uQ2xpZW50LkRhdGFTb3VyY2VGaWVsZFZhbHVlBAAAABJfaXNEcmlsbERvd25GaWx0ZXIGX2RzS2V5Cl9maWVsZG5hbWULX2ZpZWxkVmFsdWUAAQEBARcAAAAABlYAAAAbVGFibGUuQVJRX0xlZGdlclBvc3RQcm9maWxlBlcAAAAKRGF0YUFyZWFJZAkGAAAAB0cAAAAAAQAAAAQAAAAEN0dsb2JlU29mdHdhcmUuQXRsYXM0MC5BdGxhc0NvbW1vbi5UeXBlLkZpZWxkT3V0cHV0RmllbGQOAAAACVkAAAANAwRI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J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l////Mkdsb2JlU29mdHdhcmUuQXRsYXM0MC5BdGxhc0NvbW1vbi5Db2x1bW5BdHRyaWJ1dGVzAQAAAAd2YWx1ZV9fAAgOAAAABgAAAAZcAAAABVRvdGFsAaP///+m////AaL///+l////EAAAAAZfAAAABE5vbmUBoP///6b///8Bn////6X///8JAAAACSEAAAABnf///6b///8BnP///6X///8LAAAABmUAAAABMAGa////pv///wGZ////pf///wQAAAAGaAAAAAdHZW5lcmFsAZf///+m////AZb///+l////AgAAAAZrAAAAATEBlP///6b///8Bk////6X///8AAAAABm4AAAAFMjQuNTcBSgAAAAwAAAA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R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AAAAAIRm9udEJvbGQGcQAAAAVGYWxzZQGO////kf///wZzAAAACkZvbnRJdGFsaWMJcQAAAAGL////kf///wZ2AAAADUZvbnRVbmRlcmxpbmUGdwAAAAUtNDE0MgGI////kf///wZ5AAAACEZvbnROYW1lBnoAAAAHQ2FsaWJyaQGF////kf///wZ8AAAACUZvbnRDb2xvcgZ9AAAAATABgv///5H///8GfwAAAAhGb250U2l6ZQaAAAAAAjExAX////+R////BoIAAAAJRm9udFN0eWxlBoMAAAAHUmVndWxhcgdMAAAAAAEAAAAEAAAABDdHbG9iZVNvZnR3YXJlLkF0bGFzNDAuQXRsYXNDb21tb24uVHlwZS5GaWVsZE91dHB1dEZpZWxkDgAAAAmEAAAADQMHT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v///+m////AXr///+l////EAAAAAlfAAAAAXj///+m////AXf///+l////CQAAAAkhAAAAAXX///+m////AXT///+l////CwAAAAaNAAAAATEBcv///6b///8Bcf///6X///8EAAAABpAAAAAHR2VuZXJhbAFv////pv///wFu////pf///wIAAAAGkwAAAAExAWz///+m////AWv///+l////AAAAAAaWAAAAAjE2B1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///5H///8JcAAAAAlxAAAAAWb///+R////CXMAAAAJcQAAAAFj////kf///wl2AAAABp8AAAAFLTQxNDIBYP///5H///8JeQAAAAaiAAAAB0NhbGlicmkBXf///5H///8JfAAAAAalAAAAATABWv///5H///8JfwAAAAaoAAAAAjExAVf///+R////CYIAAAAGqwAAAAdSZWd1bGFyB1EAAAAAAQAAAAQAAAAEN0dsb2JlU29mdHdhcmUuQXRsYXM0MC5BdGxhc0NvbW1vbi5UeXBlLkZpZWxkT3V0cHV0RmllbGQOAAAACaw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///6b///8BUv///6X///8QAAAACV8AAAABUP///6b///8BT////6X///8JAAAACSEAAAABTf///6b///8BTP///6X///8LAAAABrUAAAABMgFK////pv///wFJ////pf///wQAAAAGuAAAAAdHZW5lcmFsAUf///+m////AUb///+l////AgAAAAa7AAAAATEBRP///6b///8BQ////6X///8AAAAABr4AAAAFMTYuMjk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///kf///wlwAAAACXEAAAABPv///5H///8JcwAAAAlxAAAAATv///+R////CXYAAAAGxwAAAAUtNDE0MgE4////kf///wl5AAAABsoAAAAHQ2FsaWJyaQE1////kf///wl8AAAABs0AAAABMAEy////kf///wl/AAAABtAAAAACMTEBL////5H///8JggAAAAbTAAAAB1JlZ3VsYXIFW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LP///93/////////AAbVAAAABEVudW0G1gAAAAlWYWxpZCBmb3IJ1wAAAAEo////2////wIAAAAFJ////zlHbG9iZVNvZnR3YXJlLkF0bGFzNDAuQXRsYXNDb21tb24uTnVtYmVyU2VxdWVuY2VDb25kaXRpb24BAAAAB3ZhbHVlX18ACA4AAAABAAAAAAAG2gAAABtUYWJsZS5BUlFfTGVkZ2VyUG9zdFByb2ZpbGUJHgAAAAkhAAAACv////8J2gAAAAoJHgAAAAoKCgkhAAAACeAAAAAJIQAAAAGEAAAAWQAAAAEe////3f////////8ABuMAAAAGU3RyaW5nBuQAAAAOTGVkZ2VyIGFjY291bnQJ1wAAAAEa////2////wIAAAABGf///yf///8BAAAAAAAJ2gAAAAksAAAACSEAAAAK/////wnaAAAACgksAAAACgoKCSEAAAAJ7gAAAAkhAAAAAawAAABZAAAAARD////d/////////wAG8QAAAAZTdHJpbmcG8gAAABBTdGF0aXN0aWNhbCBDb2RlCdcAAAABDP///9v///8CAAAAAQv///8n////AQAAAAAACdoAAAAJOgAAAAkhAAAACv////8J2gAAAAoJOgAAAAoKCgkhAAAACfwAAAAJIQAAAAXX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CdQAABv4AAAAVQVJRX0xlZGdlclBvc3RQcm9maWxlBv8AAAAPUG9zdGluZyBwcm9maWxlCSEAAAAJIQAAAAkhAAAABf/+//8wR2xvYmVTb2Z0d2FyZS5BdGxhczQwLkF0bGFzQ29tbW9uLkRhdGFTb3VyY2VUeXBlAQAAAAd2YWx1ZV9fAAgOAAAAAAAAAAkCAQAACQMBAAAE/P7//wtTeXN0ZW0uR3VpZAsAAAACX2ECX2ICX2MCX2QCX2UCX2YCX2cCX2gCX2kCX2oCX2sAAAAAAAAAAAAAAAgHBwICAgICAgICBlZV3CKPrk2OLuhQ33wb5AkhAAAACSEAAAAJBgEAAAnaAAAACgoKCgoBAAAABfj+//80R2xvYmVTb2Z0d2FyZS5BdGxhczQwLkF0bGFzQ29tbW9uLkRhdGFTb3VyY2VKb2luTW9kZQEAAAAHdmFsdWVfXwAIDgAAAAAAAAAF9/7//zVHbG9iZVNvZnR3YXJlLkF0bGFzNDAuQXRsYXNDb21tb24uRGF0YVNvdXJjZUZldGNoTW9kZQEAAAAHdmFsdWVfXwAIDgAAAAAAAAAACQoBAAAB4AAAAB0AAAAxAAAACUoAAAADAAAACQwBAAAB7gAAAB0AAAAxAAAACUoAAAADAAAACQ4BAAAB/AAAAB0AAAAxAAAACUoAAAADAAAACRABAAAEA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QEAAAMAAAAJEgEAAAQD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BAAAAAAAABAY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K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UAQAAAAAAAAcM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+//+R////BhYBAAAISGVscFRleHQGFwEAABtTdGF0ZW1lbnQgc2hvdWxkIGFwcGx5IGZvcj8B6P7//5H///8GGQEAAAVMYWJlbAnWAAAAAeX+//+R////BhwBAAAEVHlwZQnVAAAABw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H///8JFgEAAAYgAQAAJUFjY291bnQgbnVtYmVyIGZvciBwb3N0aW5nIGluIGxlZGdlci4B3/7//5H///8JGQEAAAnkAAAAAdz+//+R////CRwBAAAJ4w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+//+R////CRYBAAAGKQEAAARDb2RlAdb+//+R////CRkBAAAJ8gAAAAHT/v//kf///wkcAQAACfEAAAABEQEAAAwAAAAHEg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0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QEAACZUYWJsZS5BUlFfTGVkZ2VyUG9zdFByb2ZpbGUuTGVkZ2VyQ29kZQlZAAAAAc3+///Q/v//BjQBAAAqVGFibGUuQVJRX0xlZGdlclBvc3RQcm9maWxlLkxlZGdlclJlbGF0aW9uCYQAAAAByv7//9D+//8GNwEAACdUYWJsZS5BUlFfTGVkZ2VyUG9zdFByb2ZpbGUuQ29kZUVzdGF0SWQJrAAAAAQU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8.xml><?xml version="1.0" encoding="utf-8"?>
<Atlas>
  <Query type="ReportList" id="4c899453-94e9-4ce6-ae9f-a40e6375315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0AAAAN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b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TWFya3VwVGFibGUGHgAAABNNaXNjLiBjaGFyZ2VzIGNvZGVzCQgAAAAJCAAAAAkIAAAABeD///8wR2xvYmVTb2Z0d2FyZS5BdGxhczQwLkF0bGFzQ29tbW9uLkRhdGFTb3VyY2VUeXBlAQAAAAd2YWx1ZV9fAAgCAAAAAAAAAAkhAAAACSIAAAAE3f///wtTeXN0ZW0uR3VpZAsAAAACX2ECX2ICX2MCX2QCX2UCX2YCX2cCX2gCX2kCX2oCX2sAAAAAAAAAAAAAAAgHBwICAgICAgICvqwqjAZkGE+LIR0SbJ0Y+AkIAAAACQgAAAAJJQAAAAYmAAAAEVRhYmxlLk1hcmt1c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k4AAAACTkAAAAJOgAAAAk7AAAADQMRFQAAAAQAAAAGPAAAAA1BdGxhc1JlcG9ydF83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f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A////Pkdsb2JlU29mdHdhcmUuQXRsYXM0MC5BdGxhc0NvbW1vbi5UeXBlLkF0bGFzUXVlcnlBdHRyaWJ1dGVOYW1lAQAAAAd2YWx1ZV9fAAgCAAAAAgAAAAZBAAAAJDRjODk5NDUzLTk0ZTktNGNlNi1hZTlmLWE0MGU2Mzc1MzE1MgG+////wf///wG9////wP///wAAAAAGRAAAAAR0cnVlAbv////B////Abr////A////CwAAAAZHAAAAE01pc2MuIGNoYXJnZXMgY29kZXMBuP///8H///8Bt////8D///8bAAAABkoAAAAEVHJ1ZQG1////wf///wG0////wP///wYAAAAGTQAAAAVGYWxzZQGy////wf///wGx////wP///xwAAAAJSgAAAAGv////wf///wGu////wP///x0AAAAJTQAAAAGs////wf///wGr////wP///yoAAAAJSgAAAAGp////wf///wGo////wP///wEAAAAGWQAAAAMzNjIBpv///8H///8Bpf///8D///8nAAAABlwAAAALPURhdGFBcmVhSWQBo////8H///8Bov///8D///8ZAAAABl8AAAAPQ2VsbHNWZXJ0aWNhbGx5AaD////B////AZ/////A////CQAAAAoBnv///8H///8Bnf///8D///8oAAAABmQAAAACMTMBm////8H///8Bmv///8D///8rAAAABmc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QAAAAtNYXJrdXB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agAAABEAAAAJa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q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u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8AAAAJcAAAAAlxAAAABnIAAAAKTW9kdWxlVHlwZQZzAAAABk1vZHVsZQZ0AAAABEVudW0JCAAAAAZ2AAAAJDExNWE4YjYyLTZkY2YtNDgzYy1hMDg5LTliYTk3OGM5MzYyNwWJ////LUdsb2JlU29mdHdhcmUuQXRsYXM0MC5BdGxhc0NvbW1vbi5BZ2dyZWdhdGlvbgEAAAAHdmFsdWVfXwAIAgAAAP////8AAAAABYj///8sR2xvYmVTb2Z0d2FyZS5BdGxhczQwLkF0bGFzQ29tbW9uLkNvbHVtblR5cGUBAAAAB3ZhbHVlX18ACAIAAAAAAAAABYf///8rR2xvYmVTb2Z0d2FyZS5BdGxhczQwLkF0bGFzQ29tbW9uLlNvcnRPcmRlcgEAAAAHdmFsdWVfXwAIAgAAAAIAAAAAAAAAAAWG////QEdsb2JlU29mdHdhcmUuQXRsYXM0MC5BdGxhc0NvbW1vbi5UeXBlLkNvbHVtbitDcm9zc1RhYkNvbHVtblR5cGUBAAAAB3ZhbHVlX18ACAIAAAAAAAAACgEAAAAAAAAAAAAAAAAABnsAAAAkM2VjN2JmMDctMTU5MC00ZGYyLTg5NTYtZDYzZjI4NjU4NGQ1BnwAAAAcVGFibGUuTWFya3VwVGFibGUuTW9kdWxlVHlwZQoKCgoBMAAAAC8AAAAJfQAAAAl+AAAACX8AAAAGgAAAAApNYXJrdXBDb2RlBoEAAAASTWlzYy4gY2hhcmdlcyBjb2RlBoIAAAAGU3RyaW5nCQgAAAAGhAAAACQwODMwMjk3ZC01NGU5LTRiMGQtYTZhZi1lMDgxMjNjYzMwYzcBe////4n/////////AQAAAAF6////iP///wAAAAABef///4f///8CAAAAAAAAAAABeP///4b///8AAAAACgEAAAAAAAAAAAEAAAAABokAAAAkZTk5MTFhOWQtZTE1ZS00MzdiLTg2MWYtZWViZTVmNGM1Njc2BooAAAAcVGFibGUuTWFya3VwVGFibGUuTWFya3VwQ29kZQoKCgoBMQAAAC8AAAAJiwAAAAmMAAAACY0AAAAGjgAAAANUeHQGjwAAAAtEZXNjcmlwdGlvbgaQAAAABlN0cmluZwkIAAAABpIAAAAkYzUyNGExYTMtNDE4ZC00YWE4LWEwOWMtOTMyODlhNDA2Mzc2AW3///+J/////////wIAAAABbP///4j///8AAAAAAWv///+H////AgAAAAAAAAAAAWr///+G////AAAAAAoBAAAAAAAAAAACAAAAAAaXAAAAJGQ1NTgxOTFhLWZhMTYtNDAwNC1iMzFlLTk1NDU3NDMwNWFhYgaYAAAAFVRhYmxlLk1hcmt1cFRhYmxlLlR4dAoKCgoBMgAAAC8AAAAJmQAAAAmaAAAACZsAAAAGnAAAAA1Vc2VJbk1hdGNoaW5nBp0AAAApQ29tcGFyZSBwdXJjaGFzZSBvcmRlciBhbmQgaW52b2ljZSB2YWx1ZXMGngAAAARFbnVtCQgAAAAGoAAAACQxMzIzOWNiNC03NjU0LTQwZmQtOGYwYy1kMjIyNDYwZDQ4ZTcBX////4n/////////AwAAAAFe////iP///wAAAAABXf///4f///8CAAAAAAAAAAABXP///4b///8AAAAACgEAAAAAAAAAAAMAAAAABqUAAAAkNmJlN2MwNmUtMjU5Zi00N2E4LWFkYTItNzhkNzNkYzFmN2I5BqYAAAAfVGFibGUuTWFya3VwVGFibGUuVXNlSW5NYXRjaGluZwoKCgoBMwAAAC8AAAAJpwAAAAmoAAAACakAAAAGqgAAAAxUYXhJdGVtR3JvdXAGqwAAABRJdGVtIHNhbGVzIHRheCBncm91cAasAAAABlN0cmluZwkIAAAABq4AAAAkZTBiYjNjMmYtZjc2Yi00NmEwLTk2NmQtZTllY2UzYmYzODQxAVH///+J/////////wQAAAABUP///4j///8AAAAAAU////+H////AgAAAAAAAAAAAU7///+G////AAAAAAoBAAAAAAAAAAAEAAAAAAazAAAAJDliOTA0MmY5LTljOGItNDFiYi1hODNmLWY3YThiNDM3ZjRiOQa0AAAAHlRhYmxlLk1hcmt1cFRhYmxlLlRheEl0ZW1Hcm91cAoKCgoBNAAAAC8AAAAJtQAAAAm2AAAACbcAAAAGuAAAAAhDdXN0VHlwZQa5AAAACkRlYml0IHR5cGUGugAAAARFbnVtCQgAAAAGvAAAACRjOTM4MjFlOS1kNjAzLTQ1YzgtOTFiNi02NjM3YTVkYzA1NWMBQ////4n/////////BQAAAAFC////iP///wAAAAABQf///4f///8CAAAAAAAAAAABQP///4b///8AAAAACgEAAAAAAAAAAAUAAAAABsEAAAAkN2FjZWM4OTAtNTRjMS00ODRjLWE4MjAtODkzY2VlMmFmOThiBsIAAAAaVGFibGUuTWFya3VwVGFibGUuQ3VzdFR5cGUKCgoKATUAAAAvAAAACcMAAAAJxAAAAAnFAAAABsYAAAALQ3VzdFBvc3RpbmcGxwAAAA1EZWJpdCBwb3N0aW5nBsgAAAAERW51bQkIAAAABsoAAAAkOGIyNTY3YzEtMjk2Ni00ODZlLTkxMzEtNjljNjcxODZmYTVhATX///+J/////////wYAAAABNP///4j///8AAAAAATP///+H////AgAAAAAAAAAAATL///+G////AAAAAAoBAAAAAAAAAAAGAAAAAAbPAAAAJGM5MGFiMWVkLWU3MjYtNGU3Yi1iNjQ2LWFhYjY4ZTkxNTUyZgbQAAAAHVRhYmxlLk1hcmt1cFRhYmxlLkN1c3RQb3N0aW5nCgoKCgE2AAAALwAAAAnRAAAACdIAAAAJ0wAAAAbUAAAAC0N1c3RBY2NvdW50BtUAAAANRGViaXQgYWNjb3VudAbWAAAABlN0cmluZwkIAAAABtgAAAAkYzM0ZTQ3YWQtNzNmZS00MTBkLThiYzMtNjI4OTljMGE4MGM1ASf///+J/////////wcAAAABJv///4j///8AAAAAASX///+H////AgAAAAAAAAAAAST///+G////AAAAAAoBAAAAAAAAAAAHAAAAAAbdAAAAJGY4ZmZjOWM5LTA1OGEtNDQ4OS1iOGUwLTczYjE3ODhiZDA1NgbeAAAAHVRhYmxlLk1hcmt1cFRhYmxlLkN1c3RBY2NvdW50CgoKCgE3AAAALwAAAAnfAAAACeAAAAAJ4QAAAAbiAAAAN0F0bGFzTWFuYWdlZENvbHVtbl8zMGVkZTAwOC1mODRjLTQyYTktOGM0YS00MjI1MzFjNTU1MGIG4wAAABFMb2NrZWQgaW4gam91cm5hbAkIAAAACQgAAAAG5QAAACQyNjIwNWViYi02NWJlLTRlMWItOTMwMC03MWUzZjUwYzhiY2EBGv///4n/////////CAAAAAEZ////iP///wIAAAABGP///4f///8CAAAAAAAAAAABF////4b///8AAAAACgEAAAAAAAAAAAgAAAAABuoAAAAkMjAzYTFlMjEtMGI4OC00OTQ5LThkOTQtMzM0OWQyZjkyNTcwCQgAAAAKCgoKATgAAAAvAAAACewAAAAJ7QAAAAnuAAAABu8AAAAIVmVuZFR5cGUG8AAAAAtDcmVkaXQgdHlwZQbxAAAABEVudW0JCAAAAAbzAAAAJGQxMmUwNDk5LWYzZmUtNDc5My1iMGI4LThkODI0ZWU0MWQ1MwEM////if////////8JAAAAAQv///+I////AAAAAAEK////h////wIAAAAAAAAAAAEJ////hv///wAAAAAKAQAAAAAAAAAACQAAAAAG+AAAACRlNWNhOTI5Ny1mN2M3LTRiM2UtYTlmNi03NWUzYmJiYTVjYmUG+QAAABpUYWJsZS5NYXJrdXBUYWJsZS5WZW5kVHlwZQoKCgoBOQAAAC8AAAAJ+gAAAAn7AAAACfwAAAAG/QAAAAtWZW5kUG9zdGluZwb+AAAADkNyZWRpdCBwb3N0aW5nBv8AAAAERW51bQkIAAAABgEBAAAkZDFlZWJmNWEtOTIwMS00NDFhLWIzMjAtZmFiZTVjNTE4NjdiAf7+//+J/////////woAAAAB/f7//4j///8AAAAAAfz+//+H////AgAAAAAAAAAAAfv+//+G////AAAAAAoBAAAAAAAAAAAKAAAAAAYGAQAAJGNkNDgzMjljLWEwMGMtNDVlMi1iNWY0LTMyNWVhMWQ4MGNmMwYHAQAAHVRhYmxlLk1hcmt1cFRhYmxlLlZlbmRQb3N0aW5nCgoKCgE6AAAALwAAAAkIAQAACQkBAAAJCgEAAAYLAQAAC1ZlbmRBY2NvdW50BgwBAAAOQ3JlZGl0IGFjY291bnQGDQEAAAZTdHJpbmcJCAAAAAYPAQAAJDRhMjA4ZDZkLTg3MzEtNGY0NS04YmZkLTU4YTE5NDVkZjJmMQHw/v//if////////8LAAAAAe/+//+I////AAAAAAHu/v//h////wIAAAAAAAAAAAHt/v//hv///wAAAAAKAQAAAAAAAAAACwAAAAAGFAEAACQxZjZkY2VmMC02OTZjLTQxNjEtOGUwYi1kYjg4MmVmMDBlYTcGFQEAAB1UYWJsZS5NYXJrdXBUYWJsZS5WZW5kQWNjb3VudAoKCgoBOwAAAC8AAAAJFgEAAAkXAQAACRgBAAAGGQEAADdBdGxhc01hbmFnZWRDb2x1bW5fNmFiNDgzMWUtODFkNS00YmQ3LWEyMWQtYzY3MjllYTY4MjY1BhoBAAARTG9ja2VkIGluIGpvdXJuYWwJCAAAAAkIAAAABhwBAAAkOTUwZjljYzEtMjQ3My00MzJmLWE1MWItZGNkNzdhZTcxMTQyAeP+//+J/////////wwAAAAB4v7//4j///8CAAAAAeH+//+H////AgAAAAAAAAAAAeD+//+G////AAAAAAoBAAAAAAAAAAAMAAAAAAYhAQAAJGNjY2VmOWViLTkzYTQtNDhjYi05NGU1LTkwNDdmM2I5YzYzMwkIAAAACgoKCgFqAAAAEgAAAAdr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d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kAQAAHFRhYmxlLk1hcmt1cFRhYmxlLk1vZHVsZVR5cGUJJQEAAAHa/v//3f7//wYnAQAAHFRhYmxlLk1hcmt1cFRhYmxlLk1hcmt1cENvZGUJKAEAAAHX/v//3f7//wYqAQAAFVRhYmxlLk1hcmt1cFRhYmxlLlR4dAkrAQAAAdT+///d/v//Bi0BAAAfVGFibGUuTWFya3VwVGFibGUuVXNlSW5NYXRjaGluZwkuAQAAAdH+///d/v//BjABAAAeVGFibGUuTWFya3VwVGFibGUuVGF4SXRlbUdyb3VwCTEBAAABzv7//93+//8GMwEAABpUYWJsZS5NYXJrdXBUYWJsZS5DdXN0VHlwZQk0AQAAAcv+///d/v//BjYBAAAdVGFibGUuTWFya3VwVGFibGUuQ3VzdFBvc3RpbmcJNwEAAAHI/v//3f7//wY5AQAAHVRhYmxlLk1hcmt1cFRhYmxlLkN1c3RBY2NvdW50CToBAAABxf7//93+//8GPAEAABpUYWJsZS5NYXJrdXBUYWJsZS5WZW5kVHlwZQk9AQAAAcL+///d/v//Bj8BAAAdVGFibGUuTWFya3VwVGFibGUuVmVuZFBvc3RpbmcJQAEAAAG//v//3f7//wZCAQAAHVRhYmxlLk1hcmt1cFRhYmxlLlZlbmRBY2NvdW50CUMBAAAEb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QBAAABAAAAAQAAAARw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UBAAAJRQEAAAcAAAAJRgEAAAR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SAEAAAF9AAAAbwAAAAlJAQAAAQAAAAEAAAABfgAAAHAAAABUAQAACUUBAAAHAAAACUsBAAAEf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U0BAAABiwAAAG8AAAAJTgEAAAEAAAABAAAAAYwAAABwAAAAVAEAAAlFAQAABwAAAAlQAQAABI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SAQAAAZkAAABvAAAACVMBAAABAAAAAQAAAAGaAAAAcAAAAFQBAAAJRQEAAAcAAAAJVQEAAAS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VwEAAAGnAAAAbwAAAAlYAQAAAQAAAAEAAAABqAAAAHAAAABUAQAACUUBAAAHAAAACVoBAAAEq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VwBAAABtQAAAG8AAAAJXQEAAAEAAAABAAAAAbYAAABwAAAAVAEAAAlFAQAABwAAAAlfAQAABL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hAQAAAcMAAABvAAAACWIBAAABAAAAAQAAAAHEAAAAcAAAAFQBAAAJRQEAAAcAAAAJZA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ZgEAAAHRAAAAbwAAAAlnAQAAAQAAAAEAAAAB0gAAAHAAAABUAQAACUUBAAAHAAAACWkBAAAE0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WsBAAAB3wAAAG8AAAAJbAEAAAAAAAAAAAAAAeAAAABwAAAAOgEAAAltAQAABwAAAAluAQAABO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AEAAAlvAQAABwAAAAlwAQAAAewAAABvAAAACXEBAAABAAAAAQAAAAHtAAAAcAAAAFQBAAAJRQEAAAcAAAAJcw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dQEAAAH6AAAAbwAAAAl2AQAAAQAAAAEAAAAB+wAAAHAAAABUAQAACUUBAAAHAAAACXgBAAAE/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XoBAAABCAEAAG8AAAAJewEAAAEAAAABAAAAAQkBAABwAAAAVAEAAAlFAQAABwAAAAl9AQAABA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/AQAAARYBAABvAAAACWwBAAAAAAAAAAAAAAEXAQAAcAAAADoBAAAJbQEAAAcAAAAJg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BAAAJbwEAAAcAAAAJhAEAAAUl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7/v//if////////8ABoYBAAAERW51bQaHAQAABk1vZHVsZQmIAQAAAXf+//+H////AgAAAAV2/v//OUdsb2JlU29mdHdhcmUuQXRsYXM0MC5BdGxhc0NvbW1vbi5OdW1iZXJTZXF1ZW5jZUNvbmRpdGlvbgEAAAAHdmFsdWVfXwAIAgAAAAEAAAAAAAaLAQAAEVRhYmxlLk1hcmt1cFRhYmxlCXIAAAAJCAAAAAr/////CYsBAAAKCXIAAAAKCgoJCAAAAAmRAQAACQgAAAABKAEAACUBAAABbf7//4n/////////AAaUAQAABlN0cmluZwaVAQAAEk1pc2MuIGNoYXJnZXMgY29kZQmIAQAAAWn+//+H////AgAAAAFo/v//dv7//wEAAAAAAAmLAQAACYAAAAAJCAAAAAr/////CYsBAAAKCYAAAAAKCgoJCAAAAAmfAQAACQgAAAABKwEAACUBAAABX/7//4n/////////AAaiAQAABlN0cmluZwajAQAAC0Rlc2NyaXB0aW9uCYgBAAABW/7//4f///8CAAAAAVr+//92/v//AQAAAAAACYsBAAAJjgAAAAkIAAAACv////8JiwEAAAoJjgAAAAoKCgkIAAAACa0BAAAJCAAAAAEuAQAAJQEAAAFR/v//if////////8ABrABAAAERW51bQaxAQAAKUNvbXBhcmUgcHVyY2hhc2Ugb3JkZXIgYW5kIGludm9pY2UgdmFsdWVzCYgBAAABTf7//4f///8CAAAAAUz+//92/v//AQAAAAAACYsBAAAJnAAAAAkIAAAACv////8JiwEAAAoJnAAAAAoKCgkIAAAACbsBAAAJCAAAAAExAQAAJQEAAAFD/v//if////////8ABr4BAAAGU3RyaW5nBr8BAAAUSXRlbSBzYWxlcyB0YXggZ3JvdXAJiAEAAAE//v//h////wIAAAABPv7//3b+//8BAAAAAAAJiwEAAAmqAAAACQgAAAAK/////wmLAQAACgmqAAAACgoKCQgAAAAJyQEAAAkIAAAAATQBAAAlAQAAATX+//+J/////////wAGzAEAAARFbnVtBs0BAAAKRGViaXQgdHlwZQmIAQAAATH+//+H////AgAAAAEw/v//dv7//wEAAAAAAAmLAQAACbgAAAAJCAAAAAr/////CYsBAAAKCbgAAAAKCgoJCAAAAAnXAQAACQgAAAABNwEAACUBAAABJ/7//4n/////////AAbaAQAABEVudW0G2wEAAA1EZWJpdCBwb3N0aW5nCYgBAAABI/7//4f///8CAAAAASL+//92/v//AQAAAAAACYsBAAAJxgAAAAkIAAAACv////8JiwEAAAoJxgAAAAoKCgkIAAAACeUBAAAJCAAAAAE6AQAAJQEAAAEZ/v//if////////8ABugBAAAGU3RyaW5nBukBAAANRGViaXQgYWNjb3VudAmIAQAAARX+//+H////AgAAAAEU/v//dv7//wEAAAAAAAmLAQAACdQAAAAJCAAAAAr/////CYsBAAAKCdQAAAAKCgoJCAAAAAnzAQAACQgAAAABPQEAACUBAAABC/7//4n/////////AAb2AQAABEVudW0G9wEAAAtDcmVkaXQgdHlwZQmIAQAAAQf+//+H////AgAAAAEG/v//dv7//wEAAAAAAAmLAQAACe8AAAAJCAAAAAr/////CYsBAAAKCe8AAAAKCgoJCAAAAAkBAgAACQgAAAABQAEAACUBAAAB/f3//4n/////////AAYEAgAABEVudW0GBQIAAA5DcmVkaXQgcG9zdGluZwmIAQAAAfn9//+H////AgAAAAH4/f//dv7//wEAAAAAAAmLAQAACf0AAAAJCAAAAAr/////CYsBAAAKCf0AAAAKCgoJCAAAAAkPAgAACQgAAAABQwEAACUBAAAB7/3//4n/////////AAYSAgAABlN0cmluZwYTAgAADkNyZWRpdCBhY2NvdW50CYgBAAAB6/3//4f///8CAAAAAer9//92/v//AQAAAAAACYsBAAAJCwEAAAkIAAAACv////8JiwEAAAoJCwEAAAoKCgkIAAAACR0CAAAJCAAAAAdEAQAAAAEAAAAEAAAABDdHbG9iZVNvZnR3YXJlLkF0bGFzNDAuQXRsYXNDb21tb24uVHlwZS5GaWVsZE91dHB1dEZpZWxkAgAAAAklAQAADQMER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R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OD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3/3//zJHbG9iZVNvZnR3YXJlLkF0bGFzNDAuQXRsYXNDb21tb24uQ29sdW1uQXR0cmlidXRlcwEAAAAHdmFsdWVfXwAIAgAAAAYAAAAGIgIAAAVUb3RhbAHd/f//4P3//wHc/f//3/3//xAAAAAGJQIAAAROb25lAdr9///g/f//Adn9///f/f//CQAAAAkIAAAAAdf9///g/f//Adb9///f/f//CwAAAAYrAgAAATAB1P3//+D9//8B0/3//9/9//8EAAAABi4CAAAHR2VuZXJhbAHR/f//4P3//wHQ/f//3/3//wIAAAAGMQIAAAExAc79///g/f//Ac39///f/f//AAAAAAY0AgAAAjEyAUcBAAASAAAA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y/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2AgAACEZvbnRCb2xkBjcCAAAFRmFsc2UByP3//8v9//8GOQIAAApGb250SXRhbGljCTcCAAABxf3//8v9//8GPAIAAA1Gb250VW5kZXJsaW5lBj0CAAAFLTQxNDIBwv3//8v9//8GPwIAAAhGb250TmFtZQZAAgAAB0NhbGlicmkBv/3//8v9//8GQgIAAAlGb250Q29sb3IGQwIAAAEwAbz9///L/f//BkUCAAAIRm9udFNpemUGRgIAAAIxMQG5/f//y/3//wZIAgAACUZvbnRTdHlsZQZJAgAAB1JlZ3VsYXIHSQEAAAABAAAABAAAAAQ3R2xvYmVTb2Z0d2FyZS5BdGxhczQwLkF0bGFzQ29tbW9uLlR5cGUuRmllbGRPdXRwdXRGaWVsZAIAAAAJKAEAAA0DB0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f//4P3//wG0/f//3/3//xAAAAAJJQIAAAGy/f//4P3//wGx/f//3/3//wkAAAAJCAAAAAGv/f//4P3//wGu/f//3/3//wsAAAAGUwIAAAExAaz9///g/f//Aav9///f/f//BAAAAAZWAgAAB0dlbmVyYWwBqf3//+D9//8BqP3//9/9//8CAAAABlkCAAABMQGm/f//4P3//wGl/f//3/3//wAAAAAGXAIAAAUxMy43MQd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9///L/f//CTYCAAAJNwIAAAGg/f//y/3//wk5AgAACTcCAAABnf3//8v9//8JPAIAAAZlAgAABS00MTQyAZr9///L/f//CT8CAAAGaAIAAAdDYWxpYnJpAZf9///L/f//CUICAAAGawIAAAEwAZT9///L/f//CUUCAAAGbgIAAAIxMQGR/f//y/3//wlIAgAABnECAAAHUmVndWxhcgdOAQAAAAEAAAAEAAAABDdHbG9iZVNvZnR3YXJlLkF0bGFzNDAuQXRsYXNDb21tb24uVHlwZS5GaWVsZE91dHB1dEZpZWxkAgAAAAkrAQAADQMHU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39///g/f//AYz9///f/f//EAAAAAklAgAAAYr9///g/f//AYn9///f/f//CQAAAAkIAAAAAYf9///g/f//AYb9///f/f//CwAAAAZ7AgAAATIBhP3//+D9//8Bg/3//9/9//8EAAAABn4CAAAHR2VuZXJhbAGB/f//4P3//wGA/f//3/3//wIAAAAGgQIAAAExAX79///g/f//AX39///f/f//AAAAAAaEAgAABTIzLjg2B1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3//8v9//8JNgIAAAk3AgAAAXj9///L/f//CTkCAAAJNwIAAAF1/f//y/3//wk8AgAABo0CAAAFLTQxNDIBcv3//8v9//8JPwIAAAaQAgAAB0NhbGlicmkBb/3//8v9//8JQgIAAAaTAgAAATABbP3//8v9//8JRQIAAAaWAgAAAjExAWn9///L/f//CUgCAAAGmQIAAAdSZWd1bGFyB1MBAAAAAQAAAAQAAAAEN0dsb2JlU29mdHdhcmUuQXRsYXM0MC5BdGxhc0NvbW1vbi5UeXBlLkZpZWxkT3V0cHV0RmllbGQCAAAACS4BAAANAwd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3//+D9//8BZP3//9/9//8QAAAACSUCAAABYv3//+D9//8BYf3//9/9//8JAAAACQgAAAABX/3//+D9//8BXv3//9/9//8LAAAABqMCAAABMwFc/f//4P3//wFb/f//3/3//wQAAAAGpgIAAAdHZW5lcmFsAVn9///g/f//AVj9///f/f//AgAAAAapAgAAATEBVv3//+D9//8BVf3//9/9//8AAAAABqwCAAAEOC4yOQ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P9///L/f//CTYCAAAJNwIAAAFQ/f//y/3//wk5AgAACTcCAAABTf3//8v9//8JPAIAAAa1AgAABS00MTQyAUr9///L/f//CT8CAAAGuAIAAAdDYWxpYnJpAUf9///L/f//CUICAAAGuwIAAAEwAUT9///L/f//CUUCAAAGvgIAAAIxMQFB/f//y/3//wlIAgAABsECAAAHUmVndWxhcgdYAQAAAAEAAAAEAAAABDdHbG9iZVNvZnR3YXJlLkF0bGFzNDAuQXRsYXNDb21tb24uVHlwZS5GaWVsZE91dHB1dEZpZWxkAgAAAAkxAQAADQMHW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39///g/f//ATz9///f/f//EAAAAAklAgAAATr9///g/f//ATn9///f/f//CQAAAAkIAAAAATf9///g/f//ATb9///f/f//CwAAAAbLAgAAATQBNP3//+D9//8BM/3//9/9//8EAAAABs4CAAAHR2VuZXJhbAEx/f//4P3//wEw/f//3/3//wIAAAAG0QIAAAExAS79///g/f//AS39///f/f//AAAAAAbUAgAABTEyLjE0B1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8v9//8JNgIAAAk3AgAAASj9///L/f//CTkCAAAJNwIAAAEl/f//y/3//wk8AgAABt0CAAAFLTQxNDIBIv3//8v9//8JPwIAAAbgAgAAB0NhbGlicmkBH/3//8v9//8JQgIAAAbjAgAAATABHP3//8v9//8JRQIAAAbmAgAAAjExARn9///L/f//CUgCAAAG6QIAAAdSZWd1bGFyB10BAAAAAQAAAAQAAAAEN0dsb2JlU29mdHdhcmUuQXRsYXM0MC5BdGxhc0NvbW1vbi5UeXBlLkZpZWxkT3V0cHV0RmllbGQCAAAACTQBAAANAwd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f3//+D9//8BFP3//9/9//8QAAAACSUCAAABEv3//+D9//8BEf3//9/9//8JAAAACQgAAAABD/3//+D9//8BDv3//9/9//8LAAAABvMCAAABNQEM/f//4P3//wEL/f//3/3//wQAAAAG9gIAAAdHZW5lcmFsAQn9///g/f//AQj9///f/f//AgAAAAb5AgAAATEBBv3//+D9//8BBf3//9/9//8AAAAABvwCAAAFMTYuNTcHY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f//y/3//wk2AgAACTcCAAABAP3//8v9//8JOQIAAAk3AgAAAf38///L/f//CTwCAAAGBQMAAAUtNDE0MgH6/P//y/3//wk/AgAABggDAAAHQ2FsaWJyaQH3/P//y/3//wlCAgAABgsDAAABMAH0/P//y/3//wlFAgAABg4DAAACMTEB8fz//8v9//8JSAIAAAYRAwAAB1JlZ3VsYXIHYgEAAAABAAAABAAAAAQ3R2xvYmVTb2Z0d2FyZS5BdGxhczQwLkF0bGFzQ29tbW9uLlR5cGUuRmllbGRPdXRwdXRGaWVsZAIAAAAJNwEAAA0DB2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P//4P3//wHs/P//3/3//xAAAAAJJQIAAAHq/P//4P3//wHp/P//3/3//wkAAAAJCAAAAAHn/P//4P3//wHm/P//3/3//wsAAAAGGwMAAAE2AeT8///g/f//AeP8///f/f//BAAAAAYeAwAAB0dlbmVyYWwB4fz//+D9//8B4Pz//9/9//8CAAAABiEDAAABMQHe/P//4P3//wHd/P//3/3//wAAAAAGJAMAAAUxNC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8///L/f//CTYCAAAJNwIAAAHY/P//y/3//wk5AgAACTcCAAAB1fz//8v9//8JPAIAAAYtAwAABS00MTQyAdL8///L/f//CT8CAAAGMAMAAAdDYWxpYnJpAc/8///L/f//CUICAAAGMwMAAAEwAcz8///L/f//CUUCAAAGNgMAAAIxMQHJ/P//y/3//wlIAgAABjkDAAAHUmVndWxhcgdnAQAAAAEAAAAEAAAABDdHbG9iZVNvZnR3YXJlLkF0bGFzNDAuQXRsYXNDb21tb24uVHlwZS5GaWVsZE91dHB1dEZpZWxkAgAAAAk6AQAADQM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/g/f//AcT8///f/f//EAAAAAklAgAAAcL8///g/f//AcH8///f/f//CQAAAAkIAAAAAb/8///g/f//Ab78///f/f//CwAAAAZDAwAAATcBvPz//+D9//8Bu/z//9/9//8EAAAABkYDAAAHR2VuZXJhbAG5/P//4P3//wG4/P//3/3//wIAAAAGSQMAAAExAbb8///g/f//AbX8///f/f//AAAAAAZMAwAABTEyLjI5B2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8v9//8JNgIAAAk3AgAAAbD8///L/f//CTkCAAAJNwIAAAGt/P//y/3//wk8AgAABlUDAAAFLTQxNDIBqvz//8v9//8JPwIAAAZYAwAAB0NhbGlicmkBp/z//8v9//8JQgIAAAZbAwAAATABpPz//8v9//8JRQIAAAZeAwAAAjExAaH8///L/f//CUgCAAAGYQMAAAdSZWd1bGFyB2wBAAAAAQAAAAAAAAAEN0dsb2JlU29mdHdhcmUuQXRsYXM0MC5BdGxhc0NvbW1vbi5UeXBlLkZpZWxkT3V0cHV0RmllbGQCAAAAAW0BAABFAQAAB24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e/P//4P3//wGd/P//3/3//yQAAAAJ4wAAAAGb/P//4P3//wGa/P//3/3//wsAAAAGZwMAAAE4AZj8///g/f//AZf8///f/f//BAAAAAZqAwAAB0dlbmVyYWwBlfz//+D9//8BlPz//9/9//8CAAAABm0DAAABMQGS/P//4P3//wGR/P//3/3//wAAAAAGcAMAAAUxNy43MQGP/P//4P3//wGO/P//3/3//wMAAAAGcwMAAAABbwEAABI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P//y/3//wZ1AwAACEZvbnRCb2xkCTcCAAABifz//8v9//8GeAMAAApGb250SXRhbGljCTcCAAABhvz//8v9//8GewMAAA1Gb250VW5kZXJsaW5lBnwDAAAFLTQxNDIBg/z//8v9//8GfgMAAAhGb250TmFtZQZ/AwAAB0NhbGlicmkBgPz//8v9//8GgQMAAAlGb250Q29sb3IGggMAAAEwAX38///L/f//BoQDAAAIRm9udFNpemUGhQMAAAIxMQF6/P//y/3//waHAwAACUZvbnRTdHlsZQaIAwAAB1JlZ3VsYXIHcQEAAAABAAAABAAAAAQ3R2xvYmVTb2Z0d2FyZS5BdGxhczQwLkF0bGFzQ29tbW9uLlR5cGUuRmllbGRPdXRwdXRGaWVsZAIAAAAJPQEAAA0DB3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2/P//4P3//wF1/P//3/3//xAAAAAJJQIAAAFz/P//4P3//wFy/P//3/3//wkAAAAJCAAAAAFw/P//4P3//wFv/P//3/3//wsAAAAGkgMAAAE5AW38///g/f//AWz8///f/f//BAAAAAaVAwAAB0dlbmVyYWwBavz//+D9//8Bafz//9/9//8CAAAABpgDAAABMQFn/P//4P3//wFm/P//3/3//wAAAAAGmwMAAAUxNi41Nwd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/L/f//CTYCAAAJNwIAAAFh/P//y/3//wk5AgAACTcCAAABXvz//8v9//8JPAIAAAakAwAABS00MTQyAVv8///L/f//CT8CAAAGpwMAAAdDYWxpYnJpAVj8///L/f//CUICAAAGqgMAAAEwAVX8///L/f//CUUCAAAGrQMAAAIxMQFS/P//y/3//wlIAgAABrADAAAHUmVndWxhcgd2AQAAAAEAAAAEAAAABDdHbG9iZVNvZnR3YXJlLkF0bGFzNDAuQXRsYXNDb21tb24uVHlwZS5GaWVsZE91dHB1dEZpZWxkAgAAAAlAAQAADQMHe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78///g/f//AU38///f/f//EAAAAAklAgAAAUv8///g/f//AUr8///f/f//CQAAAAkIAAAAAUj8///g/f//AUf8///f/f//CwAAAAa6AwAAAjEwAUX8///g/f//AUT8///f/f//BAAAAAa9AwAAB0dlbmVyYWwBQvz//+D9//8BQfz//9/9//8CAAAABsADAAABMQE//P//4P3//wE+/P//3/3//wAAAAAGwwMAAAUyOS44Ngd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z8///L/f//CTYCAAAJNwIAAAE5/P//y/3//wk5AgAACTcCAAABNvz//8v9//8JPAIAAAbMAwAABS00MTQyATP8///L/f//CT8CAAAGzwMAAAdDYWxpYnJpATD8///L/f//CUICAAAG0gMAAAEwAS38///L/f//CUUCAAAG1QMAAAIxMQEq/P//y/3//wlIAgAABtgDAAAHUmVndWxhcgd7AQAAAAEAAAAEAAAABDdHbG9iZVNvZnR3YXJlLkF0bGFzNDAuQXRsYXNDb21tb24uVHlwZS5GaWVsZE91dHB1dEZpZWxkAgAAAAlDAQAADQMHf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b8///g/f//ASX8///f/f//EAAAAAklAgAAASP8///g/f//ASL8///f/f//CQAAAAkIAAAAASD8///g/f//AR/8///f/f//CwAAAAbiAwAAAjExAR38///g/f//ARz8///f/f//BAAAAAblAwAAB0dlbmVyYWwBGvz//+D9//8BGfz//9/9//8CAAAABugDAAABMQEX/P//4P3//wEW/P//3/3//wAAAAAG6wMAAAUxNy40Mwd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T8///L/f//CTYCAAAJNwIAAAER/P//y/3//wk5AgAACTcCAAABDvz//8v9//8JPAIAAAb0AwAABS00MTQyAQv8///L/f//CT8CAAAG9wMAAAdDYWxpYnJpAQj8///L/f//CUICAAAG+gMAAAMyNTUBBfz//8v9//8JRQIAAAb9AwAAAjExAQL8///L/f//CUgCAAAGAAQAAAdSZWd1bGFyB4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/+///4P3//wH++///3/3//yQAAAAJGgEAAAH8+///4P3//wH7+///3/3//wsAAAAGBgQAAAIxMgH5+///4P3//wH4+///3/3//wQAAAAGCQQAAAdHZW5lcmFsAfb7///g/f//AfX7///f/f//AgAAAAYMBAAAATEB8/v//+D9//8B8vv//9/9//8AAAAABg8EAAAFMTguODYB8Pv//+D9//8B7/v//9/9//8DAAAABhIEAAACTm8Hh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///y/3//wl1AwAACTcCAAAB6vv//8v9//8JeAMAAAk3AgAAAef7///L/f//CXsDAAAGGwQAAAUtNDE0MgHk+///y/3//wl+AwAABh4EAAAHQ2FsaWJyaQHh+///y/3//wmBAwAABiEEAAABMAHe+///y/3//wmEAwAABiQEAAACMTEB2/v//8v9//8JhwMAAAYnBAAAB1JlZ3VsYXIBiAEAAA4AAADlAAAABigEAAALTWFya3VwVGFibGUGKQQAABNNaXNjLiBjaGFyZ2VzIGNvZGVzCQgAAAAJCAAAAAkIAAAAAdX7///g////AAAAAAksBAAACS0EAAAB0vv//93////cDWOR3z8DRrDaKWiX+789CQgAAAAJCAAAAAkwBAAACYsBAAAKCgoKCgEAAAABzvv//9n///8AAAAAAc37///Y////AAAAAAAJNAQ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NgQAAAS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OAQ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OgQ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PAQ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PgQ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QAQAAAT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QgQAAAT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RAQAAAQB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RgQAAAQP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SAQAAAQ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SgQAAAEsBAAAIQAAAAsAAAAJSwQAABEAAAAJTAQAAAEtBAAAIgAAAAAAAAAJSwQAAAAAAAAEM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sEAAAAAAAAATQEAAApAAAAAAAAAAlOBAAAAAAAAAc2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H7///L/f//BlAEAAAISGVscFRleHQGUQQAADxTcGVjaWZ5IHdoaWNoIG1vZHVsZSB0aGUgbWlzYy4gY2hhcmdlcyBncm91cCBpcyBhdHRhY2hlZCB0by4Brvv//8v9//8GUwQAAAVMYWJlbAmHAQAAAav7///L/f//BlYEAAAEVHlwZQmGAQAABz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v//8v9//8JUAQAAAZaBAAAI0lkZW50aWZpY2F0aW9uIG9mIHRoZSBtaXNjLiBjaGFyZ2VzAaX7///L/f//CVMEAAAJlQEAAAGi+///y/3//wlWBAAACZQBAAAHO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y/3//wlQBAAABmMEAAAgRGVzY3JpcHRpb24gb2YgdGhlIG1pc2MuIGNoYXJnZXMBnPv//8v9//8JUwQAAAmjAQAAAZn7///L/f//CVYEAAAJogEAAAc8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/L/f//CVAEAAAGbAQAAFdJbmNsdWRlIHRoaXMgbWlzYy4gY2hhcmdlcyBjb2RlIHdoZW4gY29tcGFyaW5nIHB1cmNoYXNlIG9yZGVyIGFuZCBpbnZvaWNlIG1pc2MuIGNoYXJnZXMBk/v//8v9//8JUwQAAAmxAQAAAZD7///L/f//CVYEAAAJsAEAAAc+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37///L/f//CVAEAAAGdQQAADxHcm91cCBvZiBzYWxlcyB0YXggY29kZXMgdGhhdCBjYW4gYmUgY2FsY3VsYXRlZCBmb3IgYW4gaXRlbS4Bivv//8v9//8JUwQAAAm/AQAAAYf7///L/f//CVYEAAAJvgEAAAd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7///L/f//CVAEAAAGfgQAABNTcGVjaWZ5IGRlYml0IHR5cGUuAYH7///L/f//CVMEAAAJzQEAAAF++///y/3//wlWBAAACcwBAAAHQ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+///y/3//wlQBAAABocEAAAmU3BlY2lmeSBwb3N0aW5nIG9mIGRlYml0IHRyYW5zYWN0aW9ucy4BePv//8v9//8JUwQAAAnbAQAAAXX7///L/f//CVYEAAAJ2gEAAAdE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7///L/f//CVAEAAAGkAQAADdKb3VybmFsIGxpbmUgYW1vdW50IHRvIGJlIGRlYml0ZWQgdG8gc3BlY2lmaWVkIGFjY291bnQuAW/7///L/f//CVMEAAAJ6QEAAAFs+///y/3//wlWBAAACegB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+///y/3//wlQBAAABpkEAAAUU3BlY2lmeSBjcmVkaXQgdHlwZS4BZvv//8v9//8JUwQAAAn3AQAAAWP7///L/f//CVYEAAAJ9gE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///L/f//CVAEAAAGogQAACdTcGVjaWZ5IHBvc3Rpbmcgb2YgY3JlZGl0IHRyYW5zYWN0aW9ucy4BXfv//8v9//8JUwQAAAkFAgAAAVr7///L/f//CVYEAAAJBAIAAAdK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7///L/f//CVAEAAAGqwQAADdKb3VybmFsIGxpbmUgYW1vdW50IHRvIGJlIGNyZWRpdGVkIHRvIHNwZWNpZmllZCBhY2NvdW50AVT7///L/f//CVMEAAAJEwIAAAFR+///y/3//wlWBAAACRICAAABSwQAABIAAAAHTAQ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Tvv//93+//8GswQAABxUYWJsZS5NYXJrdXBUYWJsZS5Nb2R1bGVUeXBlCSUBAAABS/v//93+//8GtgQAABxUYWJsZS5NYXJrdXBUYWJsZS5NYXJrdXBDb2RlCSgBAAABSPv//93+//8GuQQAABVUYWJsZS5NYXJrdXBUYWJsZS5UeHQJKwEAAAFF+///3f7//wa8BAAAH1RhYmxlLk1hcmt1cFRhYmxlLlVzZUluTWF0Y2hpbmcJLgEAAAFC+///3f7//wa/BAAAHlRhYmxlLk1hcmt1cFRhYmxlLlRheEl0ZW1Hcm91cAkxAQAAAT/7///d/v//BsIEAAAaVGFibGUuTWFya3VwVGFibGUuQ3VzdFR5cGUJNAEAAAE8+///3f7//wbFBAAAHVRhYmxlLk1hcmt1cFRhYmxlLkN1c3RQb3N0aW5nCTcBAAABOfv//93+//8GyAQAAB1UYWJsZS5NYXJrdXBUYWJsZS5DdXN0QWNjb3VudAk6AQAAATb7///d/v//BssEAAAaVGFibGUuTWFya3VwVGFibGUuVmVuZFR5cGUJPQEAAAEz+///3f7//wbOBAAAHVRhYmxlLk1hcmt1cFRhYmxlLlZlbmRQb3N0aW5nCUABAAABMPv//93+//8G0QQAAB1UYWJsZS5NYXJrdXBUYWJsZS5WZW5kQWNjb3VudAlDAQAAAU4EAABuAAAACw==
    <Output>
      <OutputObject name="AtlasReport_7"/>
    </Output>
  </Query>
</Atlas>
</file>

<file path=customXml/item9.xml><?xml version="1.0" encoding="utf-8"?>
<Atlas>
  <Report name="AtlasReport_1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AAAAAkDAAAACQQAAAAGBQAAAA5BdGxhc1JlcG9ydF8xMgYGAAAAAzM2N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kF0bGFzUmVwb3J0XzEyX1RhYmxlXzEJHQ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wAAAAgICR4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fAAAACSAAAAAJIQAAAAYiAAAACUFzc2V0Q29kZQYjAAAACVZhbGlkIGZvcgYkAAAABEVudW0GJQAAAAAGJgAAACQ2ZjM5ZGJiNy0zM2I4LTRiNmMtODFhMS1mNGM1ZmMxZmYxNzEF2f///y1HbG9iZVNvZnR3YXJlLkF0bGFzNDAuQXRsYXNDb21tb24uQWdncmVnYXRpb24BAAAAB3ZhbHVlX18ACA4AAAD/////AAAAAAXY////LEdsb2JlU29mdHdhcmUuQXRsYXM0MC5BdGxhc0NvbW1vbi5Db2x1bW5UeXBlAQAAAAd2YWx1ZV9fAAgOAAAAAAAAAAXX////K0dsb2JlU29mdHdhcmUuQXRsYXM0MC5BdGxhc0NvbW1vbi5Tb3J0T3JkZXIBAAAAB3ZhbHVlX18ACA4AAAACAAAAAAAAAAAF1v///0BHbG9iZVNvZnR3YXJlLkF0bGFzNDAuQXRsYXNDb21tb24uVHlwZS5Db2x1bW4rQ3Jvc3NUYWJDb2x1bW5UeXBlAQAAAAd2YWx1ZV9fAAgOAAAAAAAAAAoBAAAAAAAAAAAAAAAAAAYrAAAAJGM0OWEwZDUzLWU2MTQtNGU2My05MjJhLTU0MjM2YmE5MDRjNQYsAAAAJ1RhYmxlLkFzc2V0RGlzcG9zYWxQYXJhbWV0ZXJzLkFzc2V0Q29kZQoKCgoBFQAAABQAAAAJLQAAAAkuAAAACS8AAAAGMAAAAAlTb2xkU2NyYXAGMQAAAA1TYWxlIG9yIHNjcmFwBjIAAAAERW51bQklAAAABjQAAAAkY2Q4MDgwZTctYThiNS00ODE5LWEzODctOGIxYWQ0NGIxMjU2Acv////Z/////////wEAAAAByv///9j///8AAAAAAcn////X////AgAAAAAAAAAAAcj////W////AAAAAAoBAAAAAAAAAAABAAAAAAY5AAAAJDI1MTdmNzYxLTVkNDUtNGUzZC1iMDFhLTAzMDA0NTY4ZGI4MgY6AAAAJ1RhYmxlLkFzc2V0RGlzcG9zYWxQYXJhbWV0ZXJzLlNvbGRTY3JhcAoKCgoBFgAAABQAAAAJOwAAAAk8AAAACT0AAAAGPgAAAAlQb3N0VmFsdWUGPwAAAApQb3N0IHZhbHVlBkAAAAAERW51bQklAAAABkIAAAAkNzQ5OGE2YmUtODNhYi00NmE2LTg1YmItZTZkNzU1MGM1N2VkAb3////Z/////////wIAAAABvP///9j///8AAAAAAbv////X////AgAAAAAAAAAAAbr////W////AAAAAAoBAAAAAAAAAAACAAAAAAZHAAAAJDQwMTUwZGIzLTVlNzctNDBiOS04YjM4LTY2NjMwZWQ2Zjk3NQZIAAAAJ1RhYmxlLkFzc2V0RGlzcG9zYWxQYXJhbWV0ZXJzLlBvc3RWYWx1ZQoKCgoBFwAAABQAAAAJSQAAAAlKAAAACUsAAAAGTAAAAA1PZmZzZXRBY2NvdW50Bk0AAAAOT2Zmc2V0IGFjY291bnQGTgAAAAZTdHJpbmcJJQAAAAZQAAAAJGQ3MGExM2IyLWFiZGYtNDcwZS05MjQ0LTRhMzkwNzMxZjUzMAGv////2f////////8DAAAAAa7////Y////AAAAAAGt////1////wIAAAAAAAAAAAGs////1v///wAAAAAKAQAAAAAAAAAAAwAAAAAGVQAAACQ5MmYzMmQ0Mi00ZTU5LTRkNWMtOWNjZi0wZTYzYmM4MzhjYWEGVgAAACtUYWJsZS5Bc3NldERpc3Bvc2FsUGFyYW1ldGVycy5PZmZzZXRBY2NvdW50CgoKCgEYAAAAFAAAAAlXAAAACVgAAAAJWQAAAAZaAAAADUFzc2V0UmVsYXRpb24GWwAAABRGaXhlZCBhc3NldCByZWxhdGlvbgZcAAAABlN0cmluZwklAAAABl4AAAAkMWE0OTA1YzEtOTE0Yi00MTIyLTgyZjgtM2E5NjUwZjBmZDMzAaH////Z/////////wQAAAABoP///9j///8AAAAAAZ/////X////AgAAAAAAAAAAAZ7////W////AAAAAAoBAAAAAAAAAAAEAAAAAAZjAAAAJDc4NWNkYzgwLWFiYTEtNDc2Yi04OTc1LTM4NTgwODliZWVlYwZkAAAAK1RhYmxlLkFzc2V0RGlzcG9zYWxQYXJhbWV0ZXJzLkFzc2V0UmVsYXRpb24KCgoKARkAAAAUAAAACWUAAAAJZgAAAAlnAAAABmgAAAAJVmFsdWVUeXBlBmkAAAAQU2FsZXMgdmFsdWUgdHlwZQZqAAAABEVudW0JJQAAAAZsAAAAJDBmMWNmODFkLWE4MjEtNDZmZS05OWU5LTEwZTk4MjU2MGM1OAGT////2f////////8FAAAAAZL////Y////AAAAAAGR////1////wIAAAAAAAAAAAGQ////1v///wAAAAAKAQAAAAAAAAAABQAAAAAGcQAAACRjYTZhMDI4Ni0wN2I1LTRmZGMtYTZkNi02YTFkYTJmYTBmMmUGcgAAACdUYWJsZS5Bc3NldERpc3Bvc2FsUGFyYW1ldGVycy5WYWx1ZVR5cGUKCgoKARoAAAAUAAAACXMAAAAJdAAAAAl1AAAABnYAAAAHQWNjb3VudAZ3AAAADkxlZGdlciBhY2NvdW50BngAAAAGU3RyaW5nCSUAAAAGegAAACRkODEzOTJiMC00NDdhLTQ0YjctYmNmZS1kYjEwMDM4ZDNjNDcBhf///9n/////////BgAAAAGE////2P///wAAAAABg////9f///8CAAAAAAAAAAABgv///9b///8AAAAACgEAAAAAAAAAAAYAAAAABn8AAAAkOGQ1ZmRhODktYmM1OS00MTkyLTk3ZTgtM2Q1YjI0MjQyMGFiBoAAAAAlVGFibGUuQXNzZXREaXNwb3NhbFBhcmFtZXRlcnMuQWNjb3Vu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hgAAAAcAAAAJhwAAAAEtAAAAHwAAAAmIAAAAAQAAAAEAAAABLgAAACAAAAALAAAACYQAAAAHAAAACYoAAAABLwAAACEAAAAHAAAACYYAAAAHAAAACYwAAAABOwAAAB8AAAAJjQAAAAEAAAABAAAAATwAAAAgAAAACwAAAAmEAAAABwAAAAmPAAAAAT0AAAAhAAAABwAAAAmGAAAABwAAAAmRAAAAAUkAAAAfAAAACZIAAAABAAAAAQAAAAFKAAAAIAAAAAsAAAAJhAAAAAcAAAAJlAAAAAFLAAAAIQAAAAcAAAAJhgAAAAcAAAAJlgAAAAFXAAAAHwAAAAmXAAAAAQAAAAEAAAABWAAAACAAAAALAAAACYQAAAAHAAAACZkAAAABWQAAACEAAAAHAAAACYYAAAAHAAAACZsAAAABZQAAAB8AAAAJnAAAAAEAAAABAAAAAWYAAAAgAAAACwAAAAmEAAAABwAAAAmeAAAAAWcAAAAhAAAABwAAAAmGAAAABwAAAAmgAAAAAXMAAAAfAAAACaEAAAABAAAAAQAAAAF0AAAAIAAAAAsAAAAJhAAAAAcAAAAJowAAAAF1AAAAIQAAAAcAAAAJhgAAAAcAAAAJpQAAAA+BAAAAAQAAAAgBAAAABYIAAAA8R2xvYmVTb2Z0d2FyZS5BdGxhczQwLkF0bGFzQ29tbW9uQ2xpZW50LkRhdGFTb3VyY2VGaWVsZFZhbHVlBAAAABJfaXNEcmlsbERvd25GaWx0ZXIGX2RzS2V5Cl9maWVsZG5hbWULX2ZpZWxkVmFsdWUAAQEBARsAAAAABqYAAAAdVGFibGUuQXNzZXREaXNwb3NhbFBhcmFtZXRlcnM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U0NC44N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MTMuNTc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B0dlbmVyYWwB9/7//1b///8B9v7//1X///8CAAAABgsBAAABMQH0/v//Vv///wHz/v//Vf///wAAAAAGDgEAAAUxNy4yO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9B////CcAAAAAJwQAAAAHu/v//Qf///wnDAAAACcEAAAAB6/7//0H///8JxgAAAAYXAQAABS00MTQyAej+//9B////CckAAAAGGgEAAAdDYWxpYnJpAeX+//9B////CcwAAAAGHQEAAAEwAeL+//9B////Cc8AAAAGIAEAAAIxMQHf/v//Qf///wnSAAAABiMBAAAHUmVndWxhcgeSAAAAAAEAAAAEAAAABDdHbG9iZVNvZnR3YXJlLkF0bGFzNDAuQXRsYXNDb21tb24uVHlwZS5GaWVsZE91dHB1dEZpZWxkDgAAAAkkAQAADQMHl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9W////Adr+//9V////EAAAAAmvAAAAAdj+//9W////Adf+//9V////CQAAAAklAAAAAdX+//9W////AdT+//9V////CwAAAAYtAQAAATMB0v7//1b///8B0f7//1X///8EAAAABjABAAAHR2VuZXJhbAHP/v//Vv///wHO/v//Vf///wIAAAAGMwEAAAExAcz+//9W////Acv+//9V////AAAAAAY2AQAAAjE2B5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0H///8JwAAAAAnBAAAAAcb+//9B////CcMAAAAJwQAAAAHD/v//Qf///wnGAAAABj8BAAAFLTQxNDIBwP7//0H///8JyQAAAAZCAQAAB0NhbGlicmkBvf7//0H///8JzAAAAAZFAQAAATABuv7//0H///8JzwAAAAZIAQAAAjExAbf+//9B////CdIAAAAGSwEAAAdSZWd1bGFyB5cAAAAAAQAAAAQAAAAEN0dsb2JlU29mdHdhcmUuQXRsYXM0MC5BdGxhc0NvbW1vbi5UeXBlLkZpZWxkT3V0cHV0RmllbGQOAAAACUwBAAANAwe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7//1b///8Bsv7//1X///8QAAAACa8AAAABsP7//1b///8Br/7//1X///8JAAAACSUAAAABrf7//1b///8BrP7//1X///8LAAAABlUBAAABNAGq/v//Vv///wGp/v//Vf///wQAAAAGWAEAAAdHZW5lcmFsAaf+//9W////Aab+//9V////AgAAAAZbAQAAATEBpP7//1b///8Bo/7//1X///8AAAAABl4BAAAFMjAuMTQHm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Qf///wnAAAAACcEAAAABnv7//0H///8JwwAAAAnBAAAAAZv+//9B////CcYAAAAGZwEAAAUtNDE0MgGY/v//Qf///wnJAAAABmoBAAAHQ2FsaWJyaQGV/v//Qf///wnMAAAABm0BAAABMAGS/v//Qf///wnPAAAABnABAAACMTEBj/7//0H///8J0gAAAAZzAQAAB1JlZ3VsYXIHnAAAAAABAAAABAAAAAQ3R2xvYmVTb2Z0d2FyZS5BdGxhczQwLkF0bGFzQ29tbW9uLlR5cGUuRmllbGRPdXRwdXRGaWVsZA4AAAAJdAEAAA0DB54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v//Vv///wGK/v//Vf///xAAAAAJrwAAAAGI/v//Vv///wGH/v//Vf///wkAAAAJJQAAAAGF/v//Vv///wGE/v//Vf///wsAAAAGfQEAAAE1AYL+//9W////AYH+//9V////BAAAAAaAAQAAB0dlbmVyYWwBf/7//1b///8Bfv7//1X///8CAAAABoMBAAABMQF8/v//Vv///wF7/v//Vf///wAAAAAGhgEAAAUxNy4yOQ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+//9B////CcAAAAAJwQAAAAF2/v//Qf///wnDAAAACcEAAAABc/7//0H///8JxgAAAAaPAQAABS00MTQyAXD+//9B////CckAAAAGkgEAAAdDYWxpYnJpAW3+//9B////CcwAAAAGlQEAAAEwAWr+//9B////Cc8AAAAGmAEAAAIxMQFn/v//Qf///wnSAAAABpsBAAAHUmVndWxhcgehAAAAAAEAAAAEAAAABDdHbG9iZVNvZnR3YXJlLkF0bGFzNDAuQXRsYXNDb21tb24uVHlwZS5GaWVsZE91dHB1dEZpZWxkDgAAAAmcAQAADQM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+//9W////AWL+//9V////EAAAAAmvAAAAAWD+//9W////AV/+//9V////CQAAAAklAAAAAV3+//9W////AVz+//9V////CwAAAAalAQAAATYBWv7//1b///8BWf7//1X///8EAAAABqgBAAAHR2VuZXJhbAFX/v//Vv///wFW/v//Vf///wIAAAAGqwEAAAExAVT+//9W////AVP+//9V////AAAAAAauAQAAAjE2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7//0H///8JwAAAAAnBAAAAAU7+//9B////CcMAAAAJwQAAAAFL/v//Qf///wnGAAAABrcBAAAFLTQxNDIBSP7//0H///8JyQAAAAa6AQAAB0NhbGlicmkBRf7//0H///8JzAAAAAa9AQAAATABQv7//0H///8JzwAAAAbAAQAAAjExAT/+//9B////CdIAAAAGwwEAAAdSZWd1bGFyBa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z+///Z/////////wAGxQEAAARFbnVtBsYBAAAJVmFsaWQgZm9yCccBAAABOP7//9f///8CAAAABTf+//85R2xvYmVTb2Z0d2FyZS5BdGxhczQwLkF0bGFzQ29tbW9uLk51bWJlclNlcXVlbmNlQ29uZGl0aW9uAQAAAAd2YWx1ZV9fAAgOAAAAAQAAAAAABsoBAAAdVGFibGUuQXNzZXREaXNwb3NhbFBhcmFtZXRlcnMJIgAAAAklAAAACv////8JygEAAAoJIgAAAAoKCgklAAAACdABAAAJJQAAAAHUAAAAqQAAAAEu/v//2f////////8ABtMBAAAERW51bQbUAQAADVNhbGUgb3Igc2NyYXAJxwEAAAEq/v//1////wIAAAABKf7//zf+//8BAAAAAAAJygEAAAkwAAAACSUAAAAK/////wnKAQAACgkwAAAACgoKCSUAAAAJ3gEAAAklAAAAAfwAAACpAAAAASD+///Z/////////wAG4QEAAARFbnVtBuIBAAAKUG9zdCB2YWx1ZQnHAQAAARz+///X////AgAAAAEb/v//N/7//wEAAAAAAAnKAQAACT4AAAAJJQAAAAr/////CcoBAAAKCT4AAAAKCgoJJQAAAAnsAQAACSUAAAABJAEAAKkAAAABEv7//9n/////////AAbvAQAABlN0cmluZwbwAQAADk9mZnNldCBhY2NvdW50CccBAAABDv7//9f///8CAAAAAQ3+//83/v//AQAAAAAACcoBAAAJTAAAAAklAAAACv////8JygEAAAoJTAAAAAoKCgklAAAACfoBAAAJJQAAAAFMAQAAqQAAAAEE/v//2f////////8ABv0BAAAGU3RyaW5nBv4BAAAURml4ZWQgYXNzZXQgcmVsYXRpb24JxwEAAAEA/v//1////wIAAAAB//3//zf+//8BAAAAAAAJygEAAAlaAAAACSUAAAAK/////wnKAQAACglaAAAACgoKCSUAAAAJCAIAAAklAAAAAXQBAACpAAAAAfb9///Z/////////wAGCwIAAARFbnVtBgwCAAAQU2FsZXMgdmFsdWUgdHlwZQnHAQAAAfL9///X////AgAAAAHx/f//N/7//wEAAAAAAAnKAQAACWgAAAAJJQAAAAr/////CcoBAAAKCWgAAAAKCgoJJQAAAAkWAgAACSUAAAABnAEAAKkAAAAB6P3//9n/////////AAYZAgAABlN0cmluZwYaAgAADkxlZGdlci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FBAAABiYCAAAXQXNzZXREaXNwb3NhbFBhcmFtZXRlcnMGJwIAABNEaXNwb3NhbCBwYXJhbWV0ZXJzCSUAAAAJJQAAAAklAAAABdf9//8wR2xvYmVTb2Z0d2FyZS5BdGxhczQwLkF0bGFzQ29tbW9uLkRhdGFTb3VyY2VUeXBlAQAAAAd2YWx1ZV9fAAgOAAAAAAAAAAkqAgAACSsCAAAE1P3//wtTeXN0ZW0uR3VpZAsAAAACX2ECX2ICX2MCX2QCX2UCX2YCX2cCX2gCX2kCX2oCX2sAAAAAAAAAAAAAAAgHBwICAgICAgICAx4U1dioOkaVZQp02GNkEAklAAAACSUAAAAJLgIAAAnKAQAACgoKCgoBAAAABdD9//80R2xvYmVTb2Z0d2FyZS5BdGxhczQwLkF0bGFzQ29tbW9uLkRhdGFTb3VyY2VKb2luTW9kZQEAAAAHdmFsdWVfXwAIDgAAAAAAAAAFz/3//zVHbG9iZVNvZnR3YXJlLkF0bGFzNDAuQXRsYXNDb21tb24uRGF0YVNvdXJjZUZldGNoTW9kZQEAAAAHdmFsdWVfXwAIDgAAAAAAAAAACTICAAAB0AEAACEAAAAHAAAACYYAAAADAAAACTQCAAAB3gEAACEAAAAHAAAACYYAAAADAAAACTYCAAAB7AEAACEAAAAHAAAACYYAAAADAAAACTgCAAAB+gEAACEAAAAHAAAACYYAAAADAAAACToCAAABCAIAACEAAAAHAAAACYYAAAADAAAACTwCAAABFgIAACEAAAAHAAAACYYAAAADAAAACT4CAAABJAIAACEAAAAH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BtTdGF0ZW1lbnQgc2hvdWxkIGFwcGx5IGZvcj8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KklzIHRoZSBmaXhlZCBhc3NldCB0byBiZSBzb2xkIG9yIHNjcmFwcGVkPwGv/f//Qf///wlJAgAACdQBAAABrP3//0H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H///8JRgIAAAZZAgAAJVRoZSB2YWx1ZSB0byBiZSBwb3N0ZWQgZm9yIHRoaXMgbGluZS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NPZmZzZXQgYWNjb3VudCBmb3IgdGhlIHRyYW5zYWN0aW9uLgGd/f//Qf///wlJAgAACfABAAABmv3//0H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H///8JRgIAAAZrAgAAI0ZpeGVkIGFzc2V0IG51bWJlciBvciBncm91cCBudW1iZXIuAZT9//9B////CUkCAAAJ/gEAAAGR/f//Qf///wlMAgAACf0BAAAHP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Qf///wlGAgAABnQCAAA1UG9zdCB0aGlzIGVudHJ5IGlmIHNhbGUgbWFrZXMgcHJvZml0LCBsb3NzIG9yIGVpdGhlci4Bi/3//0H///8JSQIAAAkMAgAAAYj9//9B////CUwCAAAJCwI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9B////CUYCAAAGfQIAACVBY2NvdW50IG51bWJlciBmb3IgcG9zdGluZyBpbiBsZWRnZXIuAYL9//9B////CUkCAAAJGgIAAAF//f//Qf///wlMAgAACRkCAAABQQIAAAwAAAAHQg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P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hQIAACdUYWJsZS5Bc3NldERpc3Bvc2FsUGFyYW1ldGVycy5Bc3NldENvZGUJqQAAAAF5/f//fP3//waIAgAAJ1RhYmxlLkFzc2V0RGlzcG9zYWxQYXJhbWV0ZXJzLlNvbGRTY3JhcAnUAAAAAXb9//98/f//BosCAAAnVGFibGUuQXNzZXREaXNwb3NhbFBhcmFtZXRlcnMuUG9zdFZhbHVlCfwAAAABc/3//3z9//8GjgIAACtUYWJsZS5Bc3NldERpc3Bvc2FsUGFyYW1ldGVycy5PZmZzZXRBY2NvdW50CSQBAAABcP3//3z9//8GkQIAACtUYWJsZS5Bc3NldERpc3Bvc2FsUGFyYW1ldGVycy5Bc3NldFJlbGF0aW9uCUwBAAABbf3//3z9//8GlAIAACdUYWJsZS5Bc3NldERpc3Bvc2FsUGFyYW1ldGVycy5WYWx1ZVR5cGUJdAEAAAFq/f//fP3//waXAgAAJVRhYmxlLkFzc2V0RGlzcG9zYWxQYXJhbWV0ZXJzLkFjY291bnQJnAEAAARE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10.xml><?xml version="1.0" encoding="utf-8"?>
<Atlas>
  <Query type="ReportList" id="84193bc8-25b0-4703-bad3-3058114fc6b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VQVJRX0xlZGdlclBvc3RQcm9maWxlBh4AAAAPUG9zdGluZyBwcm9maWxlCQgAAAAJCAAAAAkIAAAABeD///8wR2xvYmVTb2Z0d2FyZS5BdGxhczQwLkF0bGFzQ29tbW9uLkRhdGFTb3VyY2VUeXBlAQAAAAd2YWx1ZV9fAAgCAAAAAAAAAAkhAAAACSIAAAAE3f///wtTeXN0ZW0uR3VpZAsAAAACX2ECX2ICX2MCX2QCX2UCX2YCX2cCX2gCX2kCX2oCX2sAAAAAAAAAAAAAAAgHBwICAgICAgICmYiF33KmZUOnPb/Z8IXFowkIAAAACQgAAAAJJQAAAAYmAAAAG1RhYmxlLkFSUV9MZWRnZXJQb3N0UHJvZml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OQXRsYXNSZXBvcnRfMT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L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r///8+R2xvYmVTb2Z0d2FyZS5BdGxhczQwLkF0bGFzQ29tbW9uLlR5cGUuQXRsYXNRdWVyeUF0dHJpYnV0ZU5hbWUBAAAAB3ZhbHVlX18ACAIAAAACAAAABjcAAAAkODQxOTNiYzgtMjViMC00NzAzLWJhZDMtMzA1ODExNGZjNmI5Acj////L////Acf////K////AAAAAAY6AAAABFRydWUBxf///8v///8BxP///8r///8LAAAABj0AAAAPUG9zdGluZyBwcm9maWxlAcL////L////AcH////K////GwAAAAk6AAAAAb/////L////Ab7////K////BgAAAAZDAAAABUZhbHNlAbz////L////Abv////K////HAAAAAk6AAAAAbn////L////Abj////K////HQAAAAlDAAAAAbb////L////AbX////K////KgAAAAk6AAAAAbP////L////AbL////K////AQAAAAZPAAAAAzM3MQGw////y////wGv////yv///ycAAAAGUgAAAAs9RGF0YUFyZWFJZAGt////y////wGs////yv///xkAAAAGVQAAAA9DZWxsc1ZlcnRpY2FsbHkBqv///8v///8Bqf///8r///8JAAAACgGo////y////wGn////yv///ygAAAAGWgAAAAEzAaX////L////AaT////K////KwAAAAZd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i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8AAAAVQVJRX0xlZGdlclBvc3RQcm9maW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QAAAAlmAAAACWcAAAAGaAAAAApMZWRnZXJDb2RlBmkAAAAJVmFsaWQgZm9yBmoAAAAERW51bQkIAAAABmwAAAAkMWFmMjkzNzgtZDEzMS00NzA3LWEyOTctNTJkMjBlMjdjZjZkBZP///8tR2xvYmVTb2Z0d2FyZS5BdGxhczQwLkF0bGFzQ29tbW9uLkFnZ3JlZ2F0aW9uAQAAAAd2YWx1ZV9fAAgCAAAA/////wAAAAAFkv///yxHbG9iZVNvZnR3YXJlLkF0bGFzNDAuQXRsYXNDb21tb24uQ29sdW1uVHlwZQEAAAAHdmFsdWVfXwAIAgAAAAAAAAAFkf///ytHbG9iZVNvZnR3YXJlLkF0bGFzNDAuQXRsYXNDb21tb24uU29ydE9yZGVyAQAAAAd2YWx1ZV9fAAgCAAAAAgAAAAAAAAAABZD///9AR2xvYmVTb2Z0d2FyZS5BdGxhczQwLkF0bGFzQ29tbW9uLlR5cGUuQ29sdW1uK0Nyb3NzVGFiQ29sdW1uVHlwZQEAAAAHdmFsdWVfXwAIAgAAAAAAAAAKAQAAAAAAAAAAAAAAAAAGcQAAACQ3NWJkY2I5OC04ZTQ4LTQ4YzktODUyMi0yM2U0MTNmZWQzMzkGcgAAACZUYWJsZS5BUlFfTGVkZ2VyUG9zdFByb2ZpbGUuTGVkZ2VyQ29kZQoKCgoBMAAAAC8AAAAJcwAAAAl0AAAACXUAAAAGdgAAAA5MZWRnZXJSZWxhdGlvbgZ3AAAADkxlZGdlciBhY2NvdW50BngAAAAGU3RyaW5nCQgAAAAGegAAACQ3ZmM5MDYzNC1lNmM5LTRhZjUtODNkMy00Y2YzNTg0ZmI4ZjQBhf///5P/////////AQAAAAGE////kv///wAAAAABg////5H///8CAAAAAAAAAAABgv///5D///8AAAAACgEAAAAAAAAAAAEAAAAABn8AAAAkOTZjNTgxZmUtNDIzZi00MzliLTkyYjItYWY5NDg3M2IyYjA2BoAAAAAqVGFibGUuQVJRX0xlZGdlclBvc3RQcm9maWxlLkxlZGdlclJlbGF0aW9uCgoKCgExAAAALwAAAAmBAAAACYIAAAAJgwAAAAaEAAAAC0NvZGVFc3RhdElkBoUAAAAQU3RhdGlzdGljYWwgQ29kZQaGAAAABlN0cmluZwkIAAAABogAAAAkNWJlMzBkZWYtM2Y1Ni00OTcwLTgxNDctMWJjNDllMGNiYTg1AXf///+T/////////wIAAAABdv///5L///8AAAAAAXX///+R////AgAAAAAAAAAAAXT///+Q////AAAAAAoBAAAAAAAAAAACAAAAAAaNAAAAJDAxYzk2M2U5LTVhNTQtNGQ2Zi1iNDA3LTZmYmM1ZmZjNWNiNgaOAAAAJ1RhYmxlLkFSUV9MZWRnZXJQb3N0UHJvZmlsZS5Db2RlRXN0YXRJZA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CZUYWJsZS5BUlFfTGVkZ2VyUG9zdFByb2ZpbGUuTGVkZ2VyQ29kZQmRAAAAAW7///9x////BpMAAAAqVGFibGUuQVJRX0xlZGdlclBvc3RQcm9maWxlLkxlZGdlclJlbGF0aW9uCZQAAAABa////3H///8GlgAAACdUYWJsZS5BUlFfTGVkZ2VyUG9zdFByb2ZpbGUuQ29kZUVzdGF0SWQJlwAAAAR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AAAAEAAAABAAAABG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ZwAAAAmZAAAABwAAAAmaAAAABG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bAAAABwAAAAmcAAAAAXMAAABlAAAACZ0AAAABAAAAAQAAAAF0AAAAZgAAAGYAAAAJmQAAAAcAAAAJnwA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mwAAAAcAAAAJoQAAAAGBAAAAZQAAAAmiAAAAAQAAAAEAAAABggAAAGYAAABmAAAACZkAAAAHAAAACaQ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ZsAAAAHAAAACaYAAAA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f///5P/////////AAaoAAAABEVudW0GqQAAAAlWYWxpZCBmb3IJqgAAAAFV////kf///wIAAAAFVP///zlHbG9iZVNvZnR3YXJlLkF0bGFzNDAuQXRsYXNDb21tb24uTnVtYmVyU2VxdWVuY2VDb25kaXRpb24BAAAAB3ZhbHVlX18ACAIAAAABAAAAAAAGrQAAABtUYWJsZS5BUlFfTGVkZ2VyUG9zdFByb2ZpbGUJaAAAAAkIAAAACv////8JrQAAAAoJaAAAAAoKCgkIAAAACbMAAAAJCAAAAAGUAAAAkQAAAAFL////k/////////8ABrYAAAAGU3RyaW5nBrcAAAAOTGVkZ2VyIGFjY291bnQJqgAAAAFH////kf///wIAAAABRv///1T///8BAAAAAAAJrQAAAAl2AAAACQgAAAAK/////wmtAAAACgl2AAAACgoKCQgAAAAJwQAAAAkIAAAAAZcAAACRAAAAAT3///+T/////////wAGxAAAAAZTdHJpbmcGxQAAABBTdGF0aXN0aWNhbCBDb2RlCaoAAAABOf///5H///8CAAAAATj///9U////AQAAAAAACa0AAAAJhAAAAAkIAAAACv////8JrQAAAAoJhAAAAAoKCgkIAAAACc8AAAAJCAAAAAeYAAAAAAEAAAAEAAAABDdHbG9iZVNvZnR3YXJlLkF0bGFzNDAuQXRsYXNDb21tb24uVHlwZS5GaWVsZE91dHB1dEZpZWxkAgAAAAmRAAAADQMEm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Lf///zJHbG9iZVNvZnR3YXJlLkF0bGFzNDAuQXRsYXNDb21tb24uQ29sdW1uQXR0cmlidXRlcwEAAAAHdmFsdWVfXwAIAgAAAAYAAAAG1AAAAAVUb3RhbAEr////Lv///wEq////Lf///xAAAAAG1wAAAAROb25lASj///8u////ASf///8t////CQAAAAkIAAAAASX///8u////AST///8t////CwAAAAbdAAAAATABIv///y7///8BIf///y3///8EAAAABuAAAAAHR2VuZXJhbAEf////Lv///wEe////Lf///wIAAAAG4wAAAAExARz///8u////ARv///8t////AAAAAAbmAAAABTI0LjU3AZsAAAASAAAAB5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G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oAAAACEZvbnRCb2xkBukAAAAFRmFsc2UBFv///xn///8G6wAAAApGb250SXRhbGljCekAAAABE////xn///8G7gAAAA1Gb250VW5kZXJsaW5lBu8AAAAFLTQxNDIBEP///xn///8G8QAAAAhGb250TmFtZQbyAAAAB0NhbGlicmkBDf///xn///8G9AAAAAlGb250Q29sb3IG9QAAAAEwAQr///8Z////BvcAAAAIRm9udFNpemUG+AAAAAIxMQEH////Gf///wb6AAAACUZvbnRTdHlsZQb7AAAAB1JlZ3VsYXIHnQAAAAABAAAABAAAAAQ3R2xvYmVTb2Z0d2FyZS5BdGxhczQwLkF0bGFzQ29tbW9uLlR5cGUuRmllbGRPdXRwdXRGaWVsZAIAAAAJlAAAAA0DB58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Lv///wEC////Lf///xAAAAAJ1wAAAAEA////Lv///wH//v//Lf///wkAAAAJCAAAAAH9/v//Lv///wH8/v//Lf///wsAAAAGBQEAAAExAfr+//8u////Afn+//8t////BAAAAAYIAQAAB0dlbmVyYWwB9/7//y7///8B9v7//y3///8CAAAABgsBAAABMQH0/v//Lv///wHz/v//Lf///wAAAAAGDgEAAAIxNg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8Z////CegAAAAJ6QAAAAHu/v//Gf///wnrAAAACekAAAAB6/7//xn///8J7gAAAAYXAQAABS00MTQyAej+//8Z////CfEAAAAGGgEAAAdDYWxpYnJpAeX+//8Z////CfQAAAAGHQEAAAEwAeL+//8Z////CfcAAAAGIAEAAAIxMQHf/v//Gf///wn6AAAABiMBAAAHUmVndWxhcgeiAAAAAAEAAAAEAAAABDdHbG9iZVNvZnR3YXJlLkF0bGFzNDAuQXRsYXNDb21tb24uVHlwZS5GaWVsZE91dHB1dEZpZWxkAgAAAAmXAAAADQMHp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8u////Adr+//8t////EAAAAAnXAAAAAdj+//8u////Adf+//8t////CQAAAAkIAAAAAdX+//8u////AdT+//8t////CwAAAAYtAQAAATIB0v7//y7///8B0f7//y3///8EAAAABjABAAAHR2VuZXJhbAHP/v//Lv///wHO/v//Lf///wIAAAAGMwEAAAExAcz+//8u////Acv+//8t////AAAAAAY2AQAABTE2LjI5B6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xn///8J6AAAAAnpAAAAAcb+//8Z////CesAAAAJ6QAAAAHD/v//Gf///wnuAAAABj8BAAAFLTQxNDIBwP7//xn///8J8QAAAAZCAQAAB0NhbGlicmkBvf7//xn///8J9AAAAAZFAQAAATABuv7//xn///8J9wAAAAZIAQAAAjExAbf+//8Z////CfoAAAAGSwEAAAdSZWd1bGFyAaoAAAAOAAAAQnUAAAZMAQAAFUFSUV9MZWRnZXJQb3N0UHJvZmlsZQZNAQAAD1Bvc3RpbmcgcHJvZmlsZQkIAAAACQgAAAAJCAAAAAGx/v//4P///wAAAAAJUAEAAAlRAQAAAa7+///d////BlZV3CKPrk2OLuhQ33wb5AkIAAAACQgAAAAJVAEAAAmtAAAACgoKCgoBAAAAAar+///Z////AAAAAAGp/v//2P///wAAAAAACVgBAAAEs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o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w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4BAAABUAEAACEAAAADAAAACV8BAAADAAAACWABAAABUQEAACIAAAAAAAAACV8BAAAAAAAABF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QAAAAAAAAFYAQAAKQAAAAAAAAAJYgEAAAAAAAAHW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Gf///wZkAQAACEhlbHBUZXh0BmUBAAAbU3RhdGVtZW50IHNob3VsZCBhcHBseSBmb3I/AZr+//8Z////BmcBAAAFTGFiZWwJqQAAAAGX/v//Gf///wZqAQAABFR5cGUJqAAAAAdc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+//8Z////CWQBAAAGbgEAACVBY2NvdW50IG51bWJlciBmb3IgcG9zdGluZyBpbiBsZWRnZXIuAZH+//8Z////CWcBAAAJtwAAAAGO/v//Gf///wlqAQAACbYAAAAHX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Gf///wlkAQAABncBAAAEQ29kZQGI/v//Gf///wlnAQAACcUAAAABhf7//xn///8JagEAAAnEAAAAAV8BAAASAAAAB2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L+//9x////Bn8BAAAmVGFibGUuQVJRX0xlZGdlclBvc3RQcm9maWxlLkxlZGdlckNvZGUJkQAAAAF//v//cf///waCAQAAKlRhYmxlLkFSUV9MZWRnZXJQb3N0UHJvZmlsZS5MZWRnZXJSZWxhdGlvbgmUAAAAAXz+//9x////BoUBAAAnVGFibGUuQVJRX0xlZGdlclBvc3RQcm9maWxlLkNvZGVFc3RhdElkCZcAAAABYgEAAGQAAAAL
    <Output>
      <OutputObject name="AtlasReport_14"/>
    </Output>
  </Query>
</Atlas>
</file>

<file path=customXml/item11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EMzYwdA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UF0bGFzUmVwb3J0XzNfVGFibGVfMQkd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bAAAACAgJH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8AAAAJIAAAAAkhAAAABiIAAAAETmFtZQYjAAAAC0Rlc2NyaXB0aW9uBiQAAAAGU3RyaW5nBiUAAAAABiYAAAAkNGRjMDliODctNTlkNi00OGNjLTllM2QtYmQ0ZTY2NmZiNWIx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QzMmI0MTE4MS1lMjM2LTQzNTctYjViOC1iZTIxZGU3NjkyOGIGLAAAACBUYWJsZS5UYXhMZWRnZXJBY2NvdW50R3JvdXAuTmFtZQoKCgoBFQAAABQAAAAJLQAAAAkuAAAACS8AAAAGMAAAAA9UYXhBY2NvdW50R3JvdXAGMQAAABRMZWRnZXIgcG9zdGluZyBncm91cAYyAAAABlN0cmluZwklAAAABjQAAAAkYTQyM2RjMjItYzU0MC00ZjEyLWI4YzItNDVhOWY0YmM0YjI3Acv////Z/////////wEAAAAByv///9j///8AAAAAAcn////X////AgAAAAAAAAAAAcj////W////AAAAAAoBAAAAAAAAAAABAAAAAAY5AAAAJGUwODJjNzUwLTg3YWYtNGYyMi1hOTkyLWZiMTgzY2FlMWZhYQY6AAAAK1RhYmxlLlRheExlZGdlckFjY291bnRHcm91cC5UYXhBY2NvdW50R3JvdXAKCgoKARYAAAAUAAAACTsAAAAJPAAAAAk9AAAABj4AAAASVGF4QWNjb3VudE91dGdvaW5nBj8AAAARU2FsZXMgdGF4IHBheWFibGUGQAAAAAZTdHJpbmcJJQAAAAZCAAAAJDljNTlmZWZlLTc0ZTItNDgzOC1iMTdkLTZlMTVmZjdiOTQ5MAG9////2f////////8CAAAAAbz////Y////AAAAAAG7////1////wIAAAAAAAAAAAG6////1v///wAAAAAKAQAAAAAAAAAAAgAAAAAGRwAAACRiODc5ZTZkZi0zNGM2LTRlMWEtOWM0Zi0wNDg1MTQ3MDgwYTgGSAAAAC5UYWJsZS5UYXhMZWRnZXJBY2NvdW50R3JvdXAuVGF4QWNjb3VudE91dGdvaW5nCgoKCgEXAAAAFAAAAAlJAAAACUoAAAAJSwAAAAZMAAAAElRheEFjY291bnRJbmNvbWluZwZNAAAAFFNhbGVzIHRheCByZWNlaXZhYmxlBk4AAAAGU3RyaW5nCSUAAAAGUAAAACRiOTEyYjFlZi1lYzNiLTQ5YzQtYWQ1My0zMjZhZWNjMzk4ZDgBr////9n/////////AwAAAAGu////2P///wAAAAABrf///9f///8CAAAAAAAAAAABrP///9b///8AAAAACgEAAAAAAAAAAAMAAAAABlUAAAAkNGVkYTljNzAtYWMxNy00YzkwLThkMWEtZTA0ZGUyZTQyYWI2BlYAAAAuVGFibGUuVGF4TGVkZ2VyQWNjb3VudEdyb3VwLlRheEFjY291bnRJbmNvbWluZwoKCgoBGAAAABQAAAAJVwAAAAlYAAAACVkAAAAGWgAAABBUYXhBY2NvdW50VXNlVGF4BlsAAAAPVXNlIHRheCBleHBlbnNlBlwAAAAGU3RyaW5nCSUAAAAGXgAAACRmNWVmNjA4Ni1mYzM5LTQ0MGEtOTE0Zi00YzI2OTI4OTJhNjcBof///9n/////////BAAAAAGg////2P///wAAAAABn////9f///8CAAAAAAAAAAABnv///9b///8AAAAACgEAAAAAAAAAAAQAAAAABmMAAAAkNzMyYmQ3M2UtNDVmMi00Y2VlLTk2YzAtOWEyYTk5Mjk1MzA5BmQAAAAsVGFibGUuVGF4TGVkZ2VyQWNjb3VudEdyb3VwLlRheEFjY291bnRVc2VUYXgKCgoKARkAAAAUAAAACWUAAAAJZgAAAAlnAAAABmgAAAAWVGF4T2Zmc2V0QWNjb3VudFVzZVRheAZpAAAAD1VzZSB0YXggcGF5YWJsZQZqAAAABlN0cmluZwklAAAABmwAAAAkNDgyYTRmNDQtMzczYi00YWZjLTgwYzYtODNmOTc2N2NjZDFiAZP////Z/////////wUAAAABkv///9j///8AAAAAAZH////X////AgAAAAAAAAAAAZD////W////AAAAAAoBAAAAAAAAAAAFAAAAAAZxAAAAJDg4NjZkY2I4LTdhYjEtNDc1Ni05YjAxLTg2NGYzMGVmYTExYQZyAAAAMlRhYmxlLlRheExlZGdlckFjY291bnRHcm91cC5UYXhPZmZzZXRBY2NvdW50VXNlVGF4CgoKCgEaAAAAFAAAAAlzAAAACXQAAAAJdQAAAAZ2AAAAEFRheEFjY291bnRSZXBvcnQGdwAAABJTZXR0bGVtZW50IGFjY291bnQGeAAAAAZTdHJpbmcJJQAAAAZ6AAAAJDYwNzM1NWFjLThlZmQtNDI1Yi1hNmY2LTY0YmUzMTVkMWZiZgGF////2f////////8GAAAAAYT////Y////AAAAAAGD////1////wIAAAAAAAAAAAGC////1v///wAAAAAKAQAAAAAAAAAABgAAAAAGfwAAACRlNjU5YmViMy05YTc5LTQzMTYtYjczOS04MjI2YjEwODFjNWEGgAAAACxUYWJsZS5UYXhMZWRnZXJBY2NvdW50R3JvdXAuVGF4QWNjb3VudFJlcG9y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s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hgAAAAcAAAAJhwAAAAEtAAAAHwAAAAmIAAAAAQAAAAEAAAABLgAAACAAAAAMAAAACYQAAAAHAAAACYoAAAABLwAAACEAAAAHAAAACYYAAAAHAAAACYwAAAABOwAAAB8AAAAJjQAAAAEAAAABAAAAATwAAAAgAAAACwAAAAmEAAAABwAAAAmPAAAAAT0AAAAhAAAABwAAAAmGAAAABwAAAAmRAAAAAUkAAAAfAAAACZIAAAABAAAAAQAAAAFKAAAAIAAAAAsAAAAJhAAAAAcAAAAJlAAAAAFLAAAAIQAAAAcAAAAJhgAAAAcAAAAJlgAAAAFXAAAAHwAAAAmXAAAAAQAAAAEAAAABWAAAACAAAAALAAAACYQAAAAHAAAACZkAAAABWQAAACEAAAAHAAAACYYAAAAHAAAACZsAAAABZQAAAB8AAAAJnAAAAAEAAAABAAAAAWYAAAAgAAAACwAAAAmEAAAABwAAAAmeAAAAAWcAAAAhAAAABwAAAAmGAAAABwAAAAmgAAAAAXMAAAAfAAAACaEAAAABAAAAAQAAAAF0AAAAIAAAAAsAAAAJhAAAAAcAAAAJowAAAAF1AAAAIQAAAAcAAAAJhgAAAAcAAAAJpQAAAA+BAAAAAQAAAAgBAAAABYIAAAA8R2xvYmVTb2Z0d2FyZS5BdGxhczQwLkF0bGFzQ29tbW9uQ2xpZW50LkRhdGFTb3VyY2VGaWVsZFZhbHVlBAAAABJfaXNEcmlsbERvd25GaWx0ZXIGX2RzS2V5Cl9maWVsZG5hbWULX2ZpZWxkVmFsdWUAAQEBARsAAAAABqYAAAAbVGFibGUuVGF4TGVkZ2VyQWNjb3VudEdyb3Vw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EAAAAAasAAAABE5vbmUBU////1b///8BUv///1X///8JAAAACSUAAAABUP///1b///8BT////1X///8LAAAABrIAAAABMAFN////Vv///wFM////Vf///wQAAAAGtQAAAAdHZW5lcmFsAUr///9W////AUn///9V////AgAAAAa4AAAAATEBR////1b///8BRv///1X///8AAAAABrsAAAAFMjIuODY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E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0AAAAIRm9udEJvbGQGvgAAAAVGYWxzZQFB////RP///wbAAAAACkZvbnRJdGFsaWMJvgAAAAE+////RP///wbDAAAADUZvbnRVbmRlcmxpbmUGxAAAAAUtNDE0MgE7////RP///wbGAAAACEZvbnROYW1lBscAAAAHQ2FsaWJyaQE4////RP///wbJAAAACUZvbnRDb2xvcgbKAAAAATABNf///0T///8GzAAAAAhGb250U2l6ZQbNAAAAAjExATL///9E////Bs8AAAAJRm9udFN0eWxlBtAAAAAHUmVndWxhcgeIAAAAAAEAAAAEAAAABDdHbG9iZVNvZnR3YXJlLkF0bGFzNDAuQXRsYXNDb21tb24uVHlwZS5GaWVsZE91dHB1dEZpZWxkDgAAAAnRAAAADQMHi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///9W////AS3///9V////BgAAAAbUAAAABVRvdGFsASv///9W////ASr///9V////EAAAAAmsAAAAASj///9W////ASf///9V////CQAAAAklAAAAASX///9W////AST///9V////CwAAAAbdAAAAATEBIv///1b///8BIf///1X///8EAAAABuAAAAAHR2VuZXJhbAEf////Vv///wEe////Vf///wIAAAAG4wAAAAExARz///9W////ARv///9V////AAAAAAbmAAAABTQ1LjU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T///8JvQAAAAm+AAAAARb///9E////CcAAAAAJvgAAAAET////RP///wnDAAAABu8AAAAFLTQxNDIBEP///0T///8JxgAAAAbyAAAAB0NhbGlicmkBDf///0T///8JyQAAAAb1AAAAATABCv///0T///8JzAAAAAb4AAAAAjExAQf///9E////Cc8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wAAAABAP///1b///8B//7//1X///8JAAAACSUAAAAB/f7//1b///8B/P7//1X///8LAAAABgUBAAABMgH6/v//Vv///wH5/v//Vf///wQAAAAGCAEAAAdHZW5lcmFsAff+//9W////Afb+//9V////AgAAAAYLAQAAATEB9P7//1b///8B8/7//1X///8AAAAABg4BAAACMzU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RP///wm9AAAACb4AAAAB7v7//0T///8JwAAAAAm+AAAAAev+//9E////CcMAAAAGFwEAAAUtNDE0MgHo/v//RP///wnGAAAABhoBAAAHQ2FsaWJyaQHl/v//RP///wnJAAAABh0BAAABMAHi/v//RP///wnMAAAABiABAAACMTEB3/7//0T///8Jzw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AAAAAHY/v//Vv///wHX/v//Vf///wkAAAAJJQAAAAHV/v//Vv///wHU/v//Vf///wsAAAAGLQEAAAEzAdL+//9W////AdH+//9V////BAAAAAYwAQAAB0dlbmVyYWwBz/7//1b///8Bzv7//1X///8CAAAABjMBAAABMQHM/v//Vv///wHL/v//Vf///wAAAAAGNgEAAAUyMC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E////Cb0AAAAJvgAAAAHG/v//RP///wnAAAAACb4AAAABw/7//0T///8JwwAAAAY/AQAABS00MTQyAcD+//9E////CcYAAAAGQgEAAAdDYWxpYnJpAb3+//9E////CckAAAAGRQEAAAEwAbr+//9E////CcwAAAAGSAEAAAIxMQG3/v//RP///wnP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sAAAAAbD+//9W////Aa/+//9V////CQAAAAklAAAAAa3+//9W////Aaz+//9V////CwAAAAZVAQAAATQBqv7//1b///8Bqf7//1X///8EAAAABlgBAAAHR2VuZXJhbAGn/v//Vv///wGm/v//Vf///wIAAAAGWwEAAAExAaT+//9W////AaP+//9V////AAAAAAZeAQAABTIwLjI5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T///8JvQAAAAm+AAAAAZ7+//9E////CcAAAAAJvgAAAAGb/v//RP///wnDAAAABmcBAAAFLTQxNDIBmP7//0T///8JxgAAAAZqAQAAB0NhbGlicmkBlf7//0T///8JyQAAAAZtAQAAATABkv7//0T///8JzAAAAAZwAQAAAjExAY/+//9E////Cc8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wAAAABiP7//1b///8Bh/7//1X///8JAAAACSUAAAABhf7//1b///8BhP7//1X///8LAAAABn0BAAABNQGC/v//Vv///wGB/v//Vf///wQAAAAGgAEAAAdHZW5lcmFsAX/+//9W////AX7+//9V////AgAAAAaDAQAAATEBfP7//1b///8Be/7//1X///8AAAAABoYBAAAFMTcuNzE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RP///wm9AAAACb4AAAABdv7//0T///8JwAAAAAm+AAAAAXP+//9E////CcMAAAAGjwEAAAUtNDE0MgFw/v//RP///wnGAAAABpIBAAAHQ2FsaWJyaQFt/v//RP///wnJAAAABpUBAAABMAFq/v//RP///wnMAAAABpgBAAACMTEBZ/7//0T///8Jzw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AAAAAFg/v//Vv///wFf/v//Vf///wkAAAAJJQAAAAFd/v//Vv///wFc/v//Vf///wsAAAAGpQEAAAE2AVr+//9W////AVn+//9V////BAAAAAaoAQAAB0dlbmVyYWwBV/7//1b///8BVv7//1X///8CAAAABqsBAAABMQFU/v//Vv///wFT/v//Vf///wAAAAAGrgEAAAUyMC4xNA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E////Cb0AAAAJvgAAAAFO/v//RP///wnAAAAACb4AAAABS/7//0T///8JwwAAAAa3AQAABS00MTQyAUj+//9E////CcYAAAAGugEAAAdDYWxpYnJpAUX+//9E////CckAAAAGvQEAAAEwAUL+//9E////CcwAAAAGwAEAAAIxMQE//v//RP///wnP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RGVzY3JpcHRpb24JxwEAAAE4/v//1////wIAAAAFN/7//zlHbG9iZVNvZnR3YXJlLkF0bGFzNDAuQXRsYXNDb21tb24uTnVtYmVyU2VxdWVuY2VDb25kaXRpb24BAAAAB3ZhbHVlX18ACA4AAAABAAAAAAAGygEAABtUYWJsZS5UYXhMZWRnZXJBY2NvdW50R3JvdXAJIgAAAAklAAAACv////8JygEAAAoJIgAAAAoKCgklAAAACdABAAAJJQAAAAHRAAAAqQAAAAEu/v//2f////////8ABtMBAAAGU3RyaW5nBtQBAAAUTGVkZ2VyIHBvc3RpbmcgZ3JvdXA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OKOANDlsxkSKQVrEP5puawklAAAACSUAAAAJLgIAAAnKAQAACgoKCgoBAAAABdD9//80R2xvYmVTb2Z0d2FyZS5BdGxhczQwLkF0bGFzQ29tbW9uLkRhdGFTb3VyY2VKb2luTW9kZQEAAAAHdmFsdWVfXwAIDgAAAAAAAAAFz/3//zVHbG9iZVNvZnR3YXJlLkF0bGFzNDAuQXRsYXNDb21tb24uRGF0YVNvdXJjZUZldGNoTW9kZQEAAAAHdmFsdWVfXwAIDgAAAAAAAAAACTICAAAB0AEAACEAAAALAAAACYYAAAADAAAACTQCAAAB3gEAACEAAAALAAAACYYAAAADAAAACTYCAAAB7AEAACEAAAALAAAACYYAAAADAAAACTgCAAAB+gEAACEAAAALAAAACYYAAAADAAAACToCAAABCAIAACEAAAALAAAACYYAAAADAAAACTwCAAABFgIAACEAAAALAAAACYYAAAADAAAACT4CAAABJAIAACEAAAAL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QQIAABE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E////BkYCAAAISGVscFRleHQGRwIAACBEZXNjcmlwdGlvbiBvZiB0aGUgcG9zdGluZyBncm91cAG4/f//RP///wZJAgAABUxhYmVsCcYBAAABtf3//0T///8GTAIAAARUeXBlCcUBAAAHN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RP///wlGAgAABlACAAArTmFtZSBvZiBsZWRnZXIgcG9zdGluZyBncm91cCBmb3Igc2FsZXMgdGF4LgGv/f//RP///wlJAgAACdQBAAABrP3//0T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T///8JRgIAAAZZAgAAJEFjY291bnQgbnVtYmVyIGZvciBzYWxlcyB0YXggcGF5YWJsZQGm/f//RP///wlJAgAACeIBAAABo/3//0T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T///8JRgIAAAZiAgAAJ0FjY291bnQgbnVtYmVyIGZvciBzYWxlcyB0YXggcmVjZWl2YWJsZQGd/f//RP///wlJAgAACfABAAABmv3//0T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T///8JRgIAAAZrAgAAIkxlZGdlciBhY2NvdW50IGZvciBwb3N0aW5nIHVzZSB0YXgBlP3//0T///8JSQIAAAn+AQAAAZH9//9E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E////CUYCAAAGdAIAACVMZWRnZXIgYWNjb3VudCBmb3Igb2Zmc2V0dGluZyB1c2UgdGF4AYv9//9E////CUkCAAAJDAIAAAGI/f//RP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RP///wlGAgAABn0CAAAgQWNjb3VudCBmb3IgcGF5bWVudCBvZiBzYWxlcyB0YXgBgv3//0T///8JSQIAAAkaAgAAAX/9//9E////CUwCAAAJGQIAAAFBAgAADAAAAAdCAgAAAAEAAAAQ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0QAAAAF5/f//fP3//waIAgAAIFRhYmxlLlRheExlZGdlckFjY291bnRHcm91cC5OYW1lCak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BZ/3//3z9//8GmgIAACxUYWJsZS5UYXhMZWRnZXJBY2NvdW50R3JvdXAuQ2FzaERpc2NPdXRnb2luZwmbAgAAAWT9//98/f//Bp0CAAAtVGFibGUuVGF4TGVkZ2VyQWNjb3VudEdyb3VwLlRheEFjY291bnRGcmVlUGN0CZ4CAAABYf3//3z9//8GoAIAAClUYWJsZS5UYXhMZWRnZXJBY2NvdW50R3JvdXAuUGVubnlEaWZmQ3VzdAmhAgAAAV79//98/f//BqMCAAApVGFibGUuVGF4TGVkZ2VyQWNjb3VudEdyb3VwLlBlbm55RGlmZlZlbmQJpAIAAAFb/f//fP3//wamAgAAMVRhYmxlLlRheExlZGdlckFjY291bnRHcm91cC5UYXhTYWxlc09mZnNldEFjY291bnQJpwIAAAFY/f//fP3//wapAgAAOVRhYmxlLlRheExlZGdlckFjY291bnRHcm91cC5UYXhBY2NvdW50SW5jb21pbmdMb25nVGVybV9CUgmqAgAAAVX9//98/f//BqwCAAAzVGFibGUuVGF4TGVkZ2VyQWNjb3VudEdyb3VwLlRheEFjY291bnRVbnJlYWxpemVkUGF5Ca0CAAABUv3//3z9//8GrwIAADNUYWJsZS5UYXhMZWRnZXJBY2NvdW50R3JvdXAuVGF4QWNjb3VudFVucmVhbGl6ZWRSZWMJsAIAAAFP/f//fP3//wayAgAALFRhYmxlLlRheExlZGdlckFjY291bnRHcm91cC5DYXNoRGlzY0luY29taW5nCbMC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sCAACpAAAAAUz9///Z/////////wAGtQIAAAZTdHJpbmcGtgIAABZDdXN0b21lciBjYXNoIGRpc2NvdW50CccBAAABSP3//9f///8CAAAAAUf9//83/v//AQAAAAAACcoBAAAGuwIAABBDYXNoRGlzY091dGdvaW5nCSUAAAAK/////wnKAQAACgm7AgAACgoKCSUAAAAJwAIAAAklAAAAAZ4CAACpAAAAAT79///Z/////////wAGwwIAAAZTdHJpbmcGxAIAAA5JbnZlc3RtZW50IHRheAnHAQAAATr9///X////AgAAAAE5/f//N/7//wEAAAAAAAnKAQAABskCAAARVGF4QWNjb3VudEZyZWVQY3QJJQAAAAr/////CcoBAAAKCckCAAAKCgoJJQAAAAnOAgAACSUAAAABoQIAAKkAAAABMP3//9n/////////AAbRAgAABlN0cmluZwbSAgAAGlBlbm55IGRpZmZlcmVuY2VzIGN1c3RvbWVyCccBAAABLP3//9f///8CAAAAASv9//83/v//AQAAAAAACcoBAAAG1wIAAA1QZW5ueURpZmZDdXN0CSUAAAAK/////wnKAQAACgnXAgAACgoKCSUAAAAJ3AIAAAklAAAAAaQCAACpAAAAASL9///Z/////////wAG3wIAAAZTdHJpbmcG4AIAABhQZW5ueSBkaWZmZXJlbmNlcyB2ZW5kb3IJxwEAAAEe/f//1////wIAAAABHf3//zf+//8BAAAAAAAJygEAAAblAgAADVBlbm55RGlmZlZlbmQJJQAAAAr/////CcoBAAAKCeUCAAAKCgoJJQAAAAnqAgAACSUAAAABpwIAAKkAAAABFP3//9n/////////AAbtAgAABlN0cmluZwbuAgAAEVNhbGVzIHRheCBleHBlbnNlCccBAAABEP3//9f///8CAAAAAQ/9//83/v//AQAAAAAACcoBAAAG8wIAABVUYXhTYWxlc09mZnNldEFjY291bnQJJQAAAAr/////CcoBAAAKCfMCAAAKCgoJJQAAAAn4AgAACSUAAAABqgIAAKkAAAABBv3//9n/////////AAb7AgAABlN0cmluZwb8AgAAHlNhbGVzIFRheCBSZWNlaXZhYmxlIExvbmcgVGVybQnHAQAAAQL9///X////AgAAAAEB/f//N/7//wEAAAAAAAnKAQAABgEDAAAdVGF4QWNjb3VudEluY29taW5nTG9uZ1Rlcm1fQlIJJQAAAAr/////CcoBAAAKCQEDAAAKCgoJJQAAAAkGAwAACSUAAAABrQIAAKkAAAAB+Pz//9n/////////AAYJAwAABlN0cmluZwYKAwAAFlVucmVhbGl6ZWQgdGF4IHBheWFibGUJxwEAAAH0/P//1////wIAAAAB8/z//zf+//8BAAAAAAAJygEAAAYPAwAAF1RheEFjY291bnRVbnJlYWxpemVkUGF5CSUAAAAK/////wnKAQAACgkPAwAACgoKCSUAAAAJFAMAAAklAAAAAbACAACpAAAAAer8///Z/////////wAGFwMAAAZTdHJpbmcGGAMAABlVbnJlYWxpemVkIHRheCByZWNlaXZhYmxlCccBAAAB5vz//9f///8CAAAAAeX8//83/v//AQAAAAAACcoBAAAGHQMAABdUYXhBY2NvdW50VW5yZWFsaXplZFJlYwklAAAACv////8JygEAAAoJHQMAAAoKCgklAAAACSIDAAAJJQAAAAGzAgAAqQAAAAHc/P//2f////////8ABiUDAAAGU3RyaW5nBiYDAAAUVmVuZG9yIGNhc2ggZGlzY291bnQJxwEAAAHY/P//1////wIAAAAB1/z//zf+//8BAAAAAAAJygEAAAYrAwAAEENhc2hEaXNjSW5jb21pbmcJJQAAAAr/////CcoBAAAKCSsDAAAKCgoJJQAAAAkwAwAACSUAAAABwAIAACEAAAAGAAAACYYAAAADAAAACTMDAAABzgIAACEAAAAGAAAACYYAAAADAAAACTUDAAAB3AIAACEAAAAGAAAACYYAAAADAAAACTcDAAAB6gIAACEAAAAGAAAACYYAAAADAAAACTkDAAAB+AIAACEAAAAGAAAACYYAAAADAAAACTsDAAABBgMAACEAAAAGAAAACYYAAAADAAAACT0DAAABFAMAACEAAAAGAAAACYYAAAADAAAACT8DAAABIgMAACEAAAAGAAAACYYAAAADAAAACUEDAAABMAMAACEAAAAGAAAACYYAAAADAAAACUMDAAAHM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P//RP///wlJAgAACbYCAAABufz//0T///8JTAIAAAm1AgAABz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0T///8JSQIAAAnEAgAAAbP8//9E////CUwCAAAJwwIAAAc3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8//9E////CUkCAAAJ0gIAAAGt/P//RP///wlMAgAACdECAAAHO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RP///wlJAgAACeACAAABp/z//0T///8JTAIAAAnfAgAABz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0T///8JSQIAAAnuAgAAAaH8//9E////CUwCAAAJ7QIAAAc9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78//9E////CUkCAAAJ/AIAAAGb/P//RP///wlMAgAACfsCAAAHP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RP///wlJAgAACQoDAAABlfz//0T///8JTAIAAAkJAwAAB0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z//0T///8JSQIAAAkYAwAAAY/8//9E////CUwCAAAJFwMAAAd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8//9E////CUkCAAAJJgMAAAGJ/P//RP///wlMAgAACSUDAAAL</Report>
</Atlas>
</file>

<file path=customXml/item12.xml><?xml version="1.0" encoding="utf-8"?>
<Atlas>
  <Report name="AtlasReport_7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wAAAAkDAAAACQQAAAAGBQAAAA1BdGxhc1JlcG9ydF83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d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KTW9kdWxlVHlwZQYpAAAABk1vZHVsZQYqAAAABEVudW0GKwAAAAAGLAAAACQxMTVhOGI2Mi02ZGNmLTQ4M2MtYTA4OS05YmE5NzhjOTM2Mjc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DNlYzdiZjA3LTE1OTAtNGRmMi04OTU2LWQ2M2YyODY1ODRkNQYyAAAAHFRhYmxlLk1hcmt1cFRhYmxlLk1vZHVsZVR5cGUKCgoKARUAAAAUAAAACTMAAAAJNAAAAAk1AAAABjYAAAAKTWFya3VwQ29kZQY3AAAAEk1pc2MuIGNoYXJnZXMgY29kZQY4AAAABlN0cmluZwkrAAAABjoAAAAkMDgzMDI5N2QtNTRlOS00YjBkLWE2YWYtZTA4MTIzY2MzMGM3AcX////T/////////wEAAAABxP///9L///8AAAAAAcP////R////AgAAAAAAAAAAAcL////Q////AAAAAAoBAAAAAAAAAAABAAAAAAY/AAAAJGU5OTExYTlkLWUxNWUtNDM3Yi04NjFmLWVlYmU1ZjRjNTY3NgZAAAAAHFRhYmxlLk1hcmt1cFRhYmxlLk1hcmt1cENvZGUKCgoKARYAAAAUAAAACUEAAAAJQgAAAAlDAAAABkQAAAADVHh0BkUAAAALRGVzY3JpcHRpb24GRgAAAAZTdHJpbmcJKwAAAAZIAAAAJGM1MjRhMWEzLTQxOGQtNGFhOC1hMDljLTkzMjg5YTQwNjM3NgG3////0/////////8CAAAAAbb////S////AAAAAAG1////0f///wIAAAAAAAAAAAG0////0P///wAAAAAKAQAAAAAAAAAAAgAAAAAGTQAAACRkNTU4MTkxYS1mYTE2LTQwMDQtYjMxZS05NTQ1NzQzMDVhYWIGTgAAABVUYWJsZS5NYXJrdXBUYWJsZS5UeHQKCgoKARcAAAAUAAAACU8AAAAJUAAAAAlRAAAABlIAAAANVXNlSW5NYXRjaGluZwZTAAAAKUNvbXBhcmUgcHVyY2hhc2Ugb3JkZXIgYW5kIGludm9pY2UgdmFsdWVzBlQAAAAERW51bQkrAAAABlYAAAAkMTMyMzljYjQtNzY1NC00MGZkLThmMGMtZDIyMjQ2MGQ0OGU3Aan////T/////////wMAAAABqP///9L///8AAAAAAaf////R////AgAAAAAAAAAAAab////Q////AAAAAAoBAAAAAAAAAAADAAAAAAZbAAAAJDZiZTdjMDZlLTI1OWYtNDdhOC1hZGEyLTc4ZDczZGMxZjdiOQZcAAAAH1RhYmxlLk1hcmt1cFRhYmxlLlVzZUluTWF0Y2hpbmcKCgoKARgAAAAUAAAACV0AAAAJXgAAAAlfAAAABmAAAAAMVGF4SXRlbUdyb3VwBmEAAAAUSXRlbSBzYWxlcyB0YXggZ3JvdXAGYgAAAAZTdHJpbmcJKwAAAAZkAAAAJGUwYmIzYzJmLWY3NmItNDZhMC05NjZkLWU5ZWNlM2JmMzg0MQGb////0/////////8EAAAAAZr////S////AAAAAAGZ////0f///wIAAAAAAAAAAAGY////0P///wAAAAAKAQAAAAAAAAAABAAAAAAGaQAAACQ5YjkwNDJmOS05YzhiLTQxYmItYTgzZi1mN2E4YjQzN2Y0YjkGagAAAB5UYWJsZS5NYXJrdXBUYWJsZS5UYXhJdGVtR3JvdXAKCgoKARkAAAAUAAAACWsAAAAJbAAAAAltAAAABm4AAAAIQ3VzdFR5cGUGbwAAAApEZWJpdCB0eXBlBnAAAAAERW51bQkrAAAABnIAAAAkYzkzODIxZTktZDYwMy00NWM4LTkxYjYtNjYzN2E1ZGMwNTVjAY3////T/////////wUAAAABjP///9L///8AAAAAAYv////R////AgAAAAAAAAAAAYr////Q////AAAAAAoBAAAAAAAAAAAFAAAAAAZ3AAAAJDdhY2VjODkwLTU0YzEtNDg0Yy1hODIwLTg5M2NlZTJhZjk4YgZ4AAAAGlRhYmxlLk1hcmt1cFRhYmxlLkN1c3RUeXBlCgoKCgEaAAAAFAAAAAl5AAAACXoAAAAJewAAAAZ8AAAAC0N1c3RQb3N0aW5nBn0AAAANRGViaXQgcG9zdGluZwZ+AAAABEVudW0JKwAAAAaAAAAAJDhiMjU2N2MxLTI5NjYtNDg2ZS05MTMxLTY5YzY3MTg2ZmE1YQF/////0/////////8GAAAAAX7////S////AAAAAAF9////0f///wIAAAAAAAAAAAF8////0P///wAAAAAKAQAAAAAAAAAABgAAAAAGhQAAACRjOTBhYjFlZC1lNzI2LTRlN2ItYjY0Ni1hYWI2OGU5MTU1MmYGhgAAAB1UYWJsZS5NYXJrdXBUYWJsZS5DdXN0UG9zdGluZwoKCgoBGwAAABQAAAAJhwAAAAmIAAAACYkAAAAGigAAAAtDdXN0QWNjb3VudAaLAAAADURlYml0IGFjY291bnQGjAAAAAZTdHJpbmcJKwAAAAaOAAAAJGMzNGU0N2FkLTczZmUtNDEwZC04YmMzLTYyODk5YzBhODBjNQFx////0/////////8HAAAAAXD////S////AAAAAAFv////0f///wIAAAAAAAAAAAFu////0P///wAAAAAKAQAAAAAAAAAABwAAAAAGkwAAACRmOGZmYzljOS0wNThhLTQ0ODktYjhlMC03M2IxNzg4YmQwNTYGlAAAAB1UYWJsZS5NYXJrdXBUYWJsZS5DdXN0QWNjb3VudAoKCgoBHAAAABQAAAAJlQAAAAmWAAAACZcAAAAGmAAAADdBdGxhc01hbmFnZWRDb2x1bW5fMzBlZGUwMDgtZjg0Yy00MmE5LThjNGEtNDIyNTMxYzU1NTBiBpkAAAARTG9ja2VkIGluIGpvdXJuYWwJKwAAAAkrAAAABpsAAAAkMjYyMDVlYmItNjViZS00ZTFiLTkzMDAtNzFlM2Y1MGM4YmNhAWT////T/////////wgAAAABY////9L///8CAAAAAWL////R////AgAAAAAAAAAAAWH////Q////AAAAAAoBAAAAAAAAAAAIAAAAAAagAAAAJDIwM2ExZTIxLTBiODgtNDk0OS04ZDk0LTMzNDlkMmY5MjU3MAkrAAAACgoKCgEdAAAAFAAAAAmiAAAACaMAAAAJpAAAAAalAAAACFZlbmRUeXBlBqYAAAALQ3JlZGl0IHR5cGUGpwAAAARFbnVtCSsAAAAGqQAAACRkMTJlMDQ5OS1mM2ZlLTQ3OTMtYjBiOC04ZDgyNGVlNDFkNTMBVv///9P/////////CQAAAAFV////0v///wAAAAABVP///9H///8CAAAAAAAAAAABU////9D///8AAAAACgEAAAAAAAAAAAkAAAAABq4AAAAkZTVjYTkyOTctZjdjNy00YjNlLWE5ZjYtNzVlM2JiYmE1Y2JlBq8AAAAaVGFibGUuTWFya3VwVGFibGUuVmVuZFR5cGUKCgoKAR4AAAAUAAAACbAAAAAJsQAAAAmyAAAABrMAAAALVmVuZFBvc3RpbmcGtAAAAA5DcmVkaXQgcG9zdGluZwa1AAAABEVudW0JKwAAAAa3AAAAJGQxZWViZjVhLTkyMDEtNDQxYS1iMzIwLWZhYmU1YzUxODY3YgFI////0/////////8KAAAAAUf////S////AAAAAAFG////0f///wIAAAAAAAAAAAFF////0P///wAAAAAKAQAAAAAAAAAACgAAAAAGvAAAACRjZDQ4MzI5Yy1hMDBjLTQ1ZTItYjVmNC0zMjVlYTFkODBjZjMGvQAAAB1UYWJsZS5NYXJrdXBUYWJsZS5WZW5kUG9zdGluZwoKCgoBHwAAABQAAAAJvgAAAAm/AAAACcAAAAAGwQAAAAtWZW5kQWNjb3VudAbCAAAADkNyZWRpdCBhY2NvdW50BsMAAAAGU3RyaW5nCSsAAAAGxQAAACQ0YTIwOGQ2ZC04NzMxLTRmNDUtOGJmZC01OGExOTQ1ZGYyZjEBOv///9P/////////CwAAAAE5////0v///wAAAAABOP///9H///8CAAAAAAAAAAABN////9D///8AAAAACgEAAAAAAAAAAAsAAAAABsoAAAAkMWY2ZGNlZjAtNjk2Yy00MTYxLThlMGItZGI4ODJlZjAwZWE3BssAAAAdVGFibGUuTWFya3VwVGFibGUuVmVuZEFjY291bnQKCgoKASAAAAAUAAAACcwAAAAJzQAAAAnOAAAABs8AAAA3QXRsYXNNYW5hZ2VkQ29sdW1uXzZhYjQ4MzFlLTgxZDUtNGJkNy1hMjFkLWM2NzI5ZWE2ODI2NQbQAAAAEUxvY2tlZCBpbiBqb3VybmFsCSsAAAAJKwAAAAbSAAAAJDk1MGY5Y2MxLTI0NzMtNDMyZi1hNTFiLWRjZDc3YWU3MTE0MgEt////0/////////8MAAAAASz////S////AgAAAAEr////0f///wIAAAAAAAAAAAEq////0P///wAAAAAKAQAAAAAAAAAADAAAAAAG1wAAACRjY2NlZjllYi05M2E0LTQ4Y2ItOTRlNS05MDQ3ZjNiOWM2MzMJKwAAAAoKCgoFIwAAADhHbG9iZVNvZnR3YXJlLkF0bGFzNDAuQXRsYXNDb21tb25DbGllbnQuUmVwb3J0LlJlZmVyZW5jZQEAAAAKX3JlZmVyZW5jZQcIIQAAAAnZAAAAByQAAAAAAQAAAAQAAAAEPEdsb2JlU29mdHdhcmUuQXRsYXM0MC5BdGxhc0NvbW1vbkNsaWVudC5EYXRhU291cmNlRmllbGRWYWx1ZSEAAAAJ2gAAAA0DBC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dsAAAABAAAAAQAAAAQ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UBAAAJ3AAAAAcAAAAJ3QAAAAQ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3gAAAAcAAAAJ3wAAAAEzAAAAJQAAAAngAAAAAQAAAAEAAAABNAAAACYAAABUAQAACdwAAAAHAAAACeIAAAABNQAAACcAAABQAQAACd4AAAAHAAAACeQAAAABQQAAACUAAAAJ5QAAAAEAAAABAAAAAUIAAAAmAAAAVAEAAAncAAAABwAAAAnnAAAAAUMAAAAnAAAAUAEAAAneAAAABwAAAAnpAAAAAU8AAAAlAAAACeoAAAABAAAAAQAAAAFQAAAAJgAAAFQBAAAJ3AAAAAcAAAAJ7AAAAAFRAAAAJwAAAFABAAAJ3gAAAAcAAAAJ7gAAAAFdAAAAJQAAAAnvAAAAAQAAAAEAAAABXgAAACYAAABUAQAACdwAAAAHAAAACfEAAAABXwAAACcAAABQAQAACd4AAAAHAAAACfMAAAABawAAACUAAAAJ9AAAAAEAAAABAAAAAWwAAAAmAAAAVAEAAAncAAAABwAAAAn2AAAAAW0AAAAnAAAAUAEAAAneAAAABwAAAAn4AAAAAXkAAAAlAAAACfkAAAABAAAAAQAAAAF6AAAAJgAAAFQBAAAJ3AAAAAcAAAAJ+wAAAAF7AAAAJwAAAFABAAAJ3gAAAAcAAAAJ/QAAAAGHAAAAJQAAAAn+AAAAAQAAAAEAAAABiAAAACYAAABUAQAACdwAAAAHAAAACQABAAABiQAAACcAAABQAQAACd4AAAAHAAAACQIBAAABlQAAACUAAAAJAwEAAAAAAAAAAAAAAZYAAAAmAAAAOgEAAAkEAQAABwAAAAkFAQAAAZcAAAAnAAAANAEAAAkGAQAABwAAAAkHAQAAAaIAAAAlAAAACQgBAAABAAAAAQAAAAGjAAAAJgAAAFQBAAAJ3AAAAAcAAAAJCgEAAAGkAAAAJwAAAFABAAAJ3gAAAAcAAAAJDAEAAAGwAAAAJQAAAAkNAQAAAQAAAAEAAAABsQAAACYAAABUAQAACdwAAAAHAAAACQ8BAAABsgAAACcAAABQAQAACd4AAAAHAAAACREBAAABvgAAACUAAAAJEgEAAAEAAAABAAAAAb8AAAAmAAAAVAEAAAncAAAABwAAAAkUAQAAAcAAAAAnAAAAUAEAAAneAAAABwAAAAkWAQAAAcwAAAAlAAAACQMBAAAAAAAAAAAAAAHNAAAAJgAAADoBAAAJBAEAAAcAAAAJGQEAAAHOAAAAJwAAADQBAAAJBgEAAAcAAAAJGwEAAA/ZAAAAAQAAAAgBAAAABdoAAAA8R2xvYmVTb2Z0d2FyZS5BdGxhczQwLkF0bGFzQ29tbW9uQ2xpZW50LkRhdGFTb3VyY2VGaWVsZFZhbHVlBAAAABJfaXNEcmlsbERvd25GaWx0ZXIGX2RzS2V5Cl9maWVsZG5hbWULX2ZpZWxkVmFsdWUAAQEBASEAAAAABhwBAAARVGFibGUuTWFya3VwVGFibGUGHQEAAApEYXRhQXJlYUlkCQYAAAAH2wAAAAABAAAABAAAAAQ3R2xvYmVTb2Z0d2FyZS5BdGxhczQwLkF0bGFzQ29tbW9uLlR5cGUuRmllbGRPdXRwdXRGaWVsZA4AAAAJHwEAAA0DBNw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90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g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/+//8yR2xvYmVTb2Z0d2FyZS5BdGxhczQwLkF0bGFzQ29tbW9uLkNvbHVtbkF0dHJpYnV0ZXMBAAAAB3ZhbHVlX18ACA4AAAAGAAAABiIBAAAFVG90YWwB3f7//+D+//8B3P7//9/+//8QAAAABiUBAAAETm9uZQHa/v//4P7//wHZ/v//3/7//wkAAAAJKwAAAAHX/v//4P7//wHW/v//3/7//wsAAAAGKwEAAAEwAdT+///g/v//AdP+///f/v//BAAAAAYuAQAAB0dlbmVyYWwB0f7//+D+//8B0P7//9/+//8CAAAABjEBAAABMQHO/v//4P7//wHN/v//3/7//wAAAAAGNAEAAAIxMgHeAAAADAAAAA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v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gEAAAhGb250Qm9sZAY3AQAABUZhbHNlAcj+///L/v//BjkBAAAKRm9udEl0YWxpYwk3AQAAAcX+///L/v//BjwBAAANRm9udFVuZGVybGluZQY9AQAABS00MTQyAcL+///L/v//Bj8BAAAIRm9udE5hbWUGQAEAAAdDYWxpYnJpAb/+///L/v//BkIBAAAJRm9udENvbG9yBkMBAAABMAG8/v//y/7//wZFAQAACEZvbnRTaXplBkYBAAACMTEBuf7//8v+//8GSAEAAAlGb250U3R5bGUGSQEAAAdSZWd1bGFyB+AAAAAAAQAAAAQAAAAEN0dsb2JlU29mdHdhcmUuQXRsYXM0MC5BdGxhc0NvbW1vbi5UeXBlLkZpZWxkT3V0cHV0RmllbGQOAAAACUoBAAANAwfi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f7//+D+//8BtP7//9/+//8QAAAACSUBAAABsv7//+D+//8Bsf7//9/+//8JAAAACSsAAAABr/7//+D+//8Brv7//9/+//8LAAAABlMBAAABMQGs/v//4P7//wGr/v//3/7//wQAAAAGVgEAAAdHZW5lcmFsAan+///g/v//Aaj+///f/v//AgAAAAZZAQAAATEBpv7//+D+//8Bpf7//9/+//8AAAAABlwBAAAFMTMuNzEH5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v//y/7//wk2AQAACTcBAAABoP7//8v+//8JOQEAAAk3AQAAAZ3+///L/v//CTwBAAAGZQEAAAUtNDE0MgGa/v//y/7//wk/AQAABmgBAAAHQ2FsaWJyaQGX/v//y/7//wlCAQAABmsBAAABMAGU/v//y/7//wlFAQAABm4BAAACMTEBkf7//8v+//8JSAEAAAZxAQAAB1JlZ3VsYXIH5QAAAAABAAAABAAAAAQ3R2xvYmVTb2Z0d2FyZS5BdGxhczQwLkF0bGFzQ29tbW9uLlR5cGUuRmllbGRPdXRwdXRGaWVsZA4AAAAJcgE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/v//4P7//wGM/v//3/7//xAAAAAJJQEAAAGK/v//4P7//wGJ/v//3/7//wkAAAAJKwAAAAGH/v//4P7//wGG/v//3/7//wsAAAAGewEAAAEyAYT+///g/v//AYP+///f/v//BAAAAAZ+AQAAB0dlbmVyYWwBgf7//+D+//8BgP7//9/+//8CAAAABoEBAAABMQF+/v//4P7//wF9/v//3/7//wAAAAAGhAEAAAUyMy44Ng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+///L/v//CTYBAAAJNwEAAAF4/v//y/7//wk5AQAACTcBAAABdf7//8v+//8JPAEAAAaNAQAABS00MTQyAXL+///L/v//CT8BAAAGkAEAAAdDYWxpYnJpAW/+///L/v//CUIBAAAGkwEAAAEwAWz+///L/v//CUUBAAAGlgEAAAIxMQFp/v//y/7//wlIAQAABpkBAAAHUmVndWxhcgfqAAAAAAEAAAAEAAAABDdHbG9iZVNvZnR3YXJlLkF0bGFzNDAuQXRsYXNDb21tb24uVHlwZS5GaWVsZE91dHB1dEZpZWxkDgAAAAmaAQ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+///g/v//AWT+///f/v//EAAAAAklAQAAAWL+///g/v//AWH+///f/v//CQAAAAkrAAAAAV/+///g/v//AV7+///f/v//CwAAAAajAQAAATMBXP7//+D+//8BW/7//9/+//8EAAAABqYBAAAHR2VuZXJhbAFZ/v//4P7//wFY/v//3/7//wIAAAAGqQEAAAExAVb+///g/v//AVX+///f/v//AAAAAAasAQAABDguMjk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v//y/7//wk2AQAACTcBAAABUP7//8v+//8JOQEAAAk3AQAAAU3+///L/v//CTwBAAAGtQEAAAUtNDE0MgFK/v//y/7//wk/AQAABrgBAAAHQ2FsaWJyaQFH/v//y/7//wlCAQAABrsBAAABMAFE/v//y/7//wlFAQAABr4BAAACMTEBQf7//8v+//8JSAEAAAbBAQAAB1JlZ3VsYXIH7wAAAAABAAAABAAAAAQ3R2xvYmVTb2Z0d2FyZS5BdGxhczQwLkF0bGFzQ29tbW9uLlR5cGUuRmllbGRPdXRwdXRGaWVsZA4AAAAJwgEAAA0DB/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/v//4P7//wE8/v//3/7//xAAAAAJJQEAAAE6/v//4P7//wE5/v//3/7//wkAAAAJKwAAAAE3/v//4P7//wE2/v//3/7//wsAAAAGywEAAAE0ATT+///g/v//ATP+///f/v//BAAAAAbOAQAAB0dlbmVyYWwBMf7//+D+//8BMP7//9/+//8CAAAABtEBAAABMQEu/v//4P7//wEt/v//3/7//wAAAAAG1AEAAAUxMi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/L/v//CTYBAAAJNwEAAAEo/v//y/7//wk5AQAACTcBAAABJf7//8v+//8JPAEAAAbdAQAABS00MTQyASL+///L/v//CT8BAAAG4AEAAAdDYWxpYnJpAR/+///L/v//CUIBAAAG4wEAAAEwARz+///L/v//CUUBAAAG5gEAAAIxMQEZ/v//y/7//wlIAQAABukBAAAHUmVndWxhcgf0AAAAAAEAAAAEAAAABDdHbG9iZVNvZnR3YXJlLkF0bGFzNDAuQXRsYXNDb21tb24uVHlwZS5GaWVsZE91dHB1dEZpZWxkDgAAAAnqAQ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+///g/v//ART+///f/v//EAAAAAklAQAAARL+///g/v//ARH+///f/v//CQAAAAkrAAAAAQ/+///g/v//AQ7+///f/v//CwAAAAbzAQAAATUBDP7//+D+//8BC/7//9/+//8EAAAABvYBAAAHR2VuZXJhbAEJ/v//4P7//wEI/v//3/7//wIAAAAG+QEAAAExAQb+///g/v//AQX+///f/v//AAAAAAb8AQAABTE2LjU3B/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8v+//8JNgEAAAk3AQAAAQD+///L/v//CTkBAAAJNwEAAAH9/f//y/7//wk8AQAABgUCAAAFLTQxNDIB+v3//8v+//8JPwEAAAYIAgAAB0NhbGlicmkB9/3//8v+//8JQgEAAAYLAgAAATAB9P3//8v+//8JRQEAAAYOAgAAAjExAfH9///L/v//CUgBAAAGEQIAAAdSZWd1bGFyB/kAAAAAAQAAAAQAAAAEN0dsb2JlU29mdHdhcmUuQXRsYXM0MC5BdGxhc0NvbW1vbi5UeXBlLkZpZWxkT3V0cHV0RmllbGQOAAAACRICAAANAw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f3//+D+//8B7P3//9/+//8QAAAACSUBAAAB6v3//+D+//8B6f3//9/+//8JAAAACSsAAAAB5/3//+D+//8B5v3//9/+//8LAAAABhsCAAABNgHk/f//4P7//wHj/f//3/7//wQAAAAGHgIAAAdHZW5lcmFsAeH9///g/v//AeD9///f/v//AgAAAAYhAgAAATEB3v3//+D+//8B3f3//9/+//8AAAAABiQCAAAFMTQuNDM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y/7//wk2AQAACTcBAAAB2P3//8v+//8JOQEAAAk3AQAAAdX9///L/v//CTwBAAAGLQIAAAUtNDE0MgHS/f//y/7//wk/AQAABjACAAAHQ2FsaWJyaQHP/f//y/7//wlCAQAABjMCAAABMAHM/f//y/7//wlFAQAABjYCAAACMTEByf3//8v+//8JSAEAAAY5AgAAB1JlZ3VsYXIH/gAAAAABAAAABAAAAAQ3R2xvYmVTb2Z0d2FyZS5BdGxhczQwLkF0bGFzQ29tbW9uLlR5cGUuRmllbGRPdXRwdXRGaWVsZA4AAAAJOgIAAA0DBw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f//4P7//wHE/f//3/7//xAAAAAJJQEAAAHC/f//4P7//wHB/f//3/7//wkAAAAJKwAAAAG//f//4P7//wG+/f//3/7//wsAAAAGQwIAAAE3Abz9///g/v//Abv9///f/v//BAAAAAZGAgAAB0dlbmVyYWwBuf3//+D+//8BuP3//9/+//8CAAAABkkCAAABMQG2/f//4P7//wG1/f//3/7//wAAAAAGTAIAAAUxMi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/L/v//CTYBAAAJNwEAAAGw/f//y/7//wk5AQAACTcBAAABrf3//8v+//8JPAEAAAZVAgAABS00MTQyAar9///L/v//CT8BAAAGWAIAAAdDYWxpYnJpAaf9///L/v//CUIBAAAGWwIAAAEwAaT9///L/v//CUUBAAAGXgIAAAIxMQGh/f//y/7//wlIAQAABmECAAAHUmVndWxhcgcDAQAAAAEAAAAAAAAABDdHbG9iZVNvZnR3YXJlLkF0bGFzNDAuQXRsYXNDb21tb24uVHlwZS5GaWVsZE91dHB1dEZpZWxkDgAAAAEEAQAA3AAAAA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+D+//8Bnf3//9/+//8kAAAACZkAAAABm/3//+D+//8Bmv3//9/+//8LAAAABmcCAAABOAGY/f//4P7//wGX/f//3/7//wQAAAAGagIAAAdHZW5lcmFsAZX9///g/v//AZT9///f/v//AgAAAAZtAgAAATEBkv3//+D+//8Bkf3//9/+//8AAAAABnACAAAFMTcuNzEBj/3//+D+//8Bjv3//9/+//8DAAAABnMCAAAAAQYBAAAM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8v+//8GdQIAAAhGb250Qm9sZAk3AQAAAYn9///L/v//BngCAAAKRm9udEl0YWxpYwk3AQAAAYb9///L/v//BnsCAAANRm9udFVuZGVybGluZQZ8AgAABS00MTQyAYP9///L/v//Bn4CAAAIRm9udE5hbWUGfwIAAAdDYWxpYnJpAYD9///L/v//BoECAAAJRm9udENvbG9yBoICAAABMAF9/f//y/7//waEAgAACEZvbnRTaXplBoUCAAACMTEBev3//8v+//8GhwIAAAlGb250U3R5bGUGiAIAAAdSZWd1bGFyBwgBAAAAAQAAAAQAAAAEN0dsb2JlU29mdHdhcmUuQXRsYXM0MC5BdGxhc0NvbW1vbi5UeXBlLkZpZWxkT3V0cHV0RmllbGQOAAAACYkC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v3//+D+//8Bdf3//9/+//8QAAAACSUBAAABc/3//+D+//8Bcv3//9/+//8JAAAACSsAAAABcP3//+D+//8Bb/3//9/+//8LAAAABpICAAABOQFt/f//4P7//wFs/f//3/7//wQAAAAGlQIAAAdHZW5lcmFsAWr9///g/v//AWn9///f/v//AgAAAAaYAgAAATEBZ/3//+D+//8BZv3//9/+//8AAAAABpsCAAAFMTYuNTc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y/7//wk2AQAACTcBAAABYf3//8v+//8JOQEAAAk3AQAAAV79///L/v//CTwBAAAGpAIAAAUtNDE0MgFb/f//y/7//wk/AQAABqcCAAAHQ2FsaWJyaQFY/f//y/7//wlCAQAABqoCAAABMAFV/f//y/7//wlFAQAABq0CAAACMTEBUv3//8v+//8JSAEAAAawAgAAB1JlZ3VsYXIHDQEAAAABAAAABAAAAAQ3R2xvYmVTb2Z0d2FyZS5BdGxhczQwLkF0bGFzQ29tbW9uLlR5cGUuRmllbGRPdXRwdXRGaWVsZA4AAAAJsQIAAA0DBw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f//4P7//wFN/f//3/7//xAAAAAJJQEAAAFL/f//4P7//wFK/f//3/7//wkAAAAJKwAAAAFI/f//4P7//wFH/f//3/7//wsAAAAGugIAAAIxMAFF/f//4P7//wFE/f//3/7//wQAAAAGvQIAAAdHZW5lcmFsAUL9///g/v//AUH9///f/v//AgAAAAbAAgAAATEBP/3//+D+//8BPv3//9/+//8AAAAABsMCAAAFMjkuODY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y/7//wk2AQAACTcBAAABOf3//8v+//8JOQEAAAk3AQAAATb9///L/v//CTwBAAAGzAIAAAUtNDE0MgEz/f//y/7//wk/AQAABs8CAAAHQ2FsaWJyaQEw/f//y/7//wlCAQAABtICAAABMAEt/f//y/7//wlFAQAABtUCAAACMTEBKv3//8v+//8JSAEAAAbYAgAAB1JlZ3VsYXIHEgEAAAABAAAABAAAAAQ3R2xvYmVTb2Z0d2FyZS5BdGxhczQwLkF0bGFzQ29tbW9uLlR5cGUuRmllbGRPdXRwdXRGaWVsZA4AAAAJ2QIAAA0DBx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4P7//wEl/f//3/7//xAAAAAJJQEAAAEj/f//4P7//wEi/f//3/7//wkAAAAJKwAAAAEg/f//4P7//wEf/f//3/7//wsAAAAG4gIAAAIxMQEd/f//4P7//wEc/f//3/7//wQAAAAG5QIAAAdHZW5lcmFsARr9///g/v//ARn9///f/v//AgAAAAboAgAAATEBF/3//+D+//8BFv3//9/+//8AAAAABusCAAAFMTcuNDM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f//y/7//wk2AQAACTcBAAABEf3//8v+//8JOQEAAAk3AQAAAQ79///L/v//CTwBAAAG9AIAAAUtNDE0MgEL/f//y/7//wk/AQAABvcCAAAHQ2FsaWJyaQEI/f//y/7//wlCAQAABvoCAAADMjU1AQX9///L/v//CUUBAAAG/QIAAAIxMQEC/f//y/7//wlIAQAABgADAAAHUmVndWxhcgcZ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/z//+D+//8B/vz//9/+//8kAAAACdAAAAAB/Pz//+D+//8B+/z//9/+//8LAAAABgYDAAACMTIB+fz//+D+//8B+Pz//9/+//8EAAAABgkDAAAHR2VuZXJhbAH2/P//4P7//wH1/P//3/7//wIAAAAGDAMAAAExAfP8///g/v//AfL8///f/v//AAAAAAYPAwAABTE4Ljg2AfD8///g/v//Ae/8///f/v//AwAAAAYSAwAAAk5v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z//8v+//8JdQIAAAk3AQAAAer8///L/v//CXgCAAAJNwEAAAHn/P//y/7//wl7AgAABhsDAAAFLTQxNDIB5Pz//8v+//8JfgIAAAYeAwAAB0NhbGlicmkB4fz//8v+//8JgQIAAAYhAwAAATAB3vz//8v+//8JhAIAAAYkAwAAAjExAdv8///L/v//CYcCAAAGJwMAAAdSZWd1bGFyBR8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dj8///T/////////wAGKQMAAARFbnVtBioDAAAGTW9kdWxlCSsDAAAB1Pz//9H///8CAAAABdP8//85R2xvYmVTb2Z0d2FyZS5BdGxhczQwLkF0bGFzQ29tbW9uLk51bWJlclNlcXVlbmNlQ29uZGl0aW9uAQAAAAd2YWx1ZV9fAAgOAAAAAQAAAAAABi4DAAARVGFibGUuTWFya3VwVGFibGUJKAAAAAkrAAAACv////8JLgMAAAoJKAAAAAoKCgkrAAAACTQDAAAJKwAAAAFKAQAAHwEAAAHK/P//0/////////8ABjcDAAAGU3RyaW5nBjgDAAASTWlzYy4gY2hhcmdlcyBjb2RlCSsDAAABxvz//9H///8CAAAAAcX8///T/P//AQAAAAAACS4DAAAJNgAAAAkrAAAACv////8JLgMAAAoJNgAAAAoKCgkrAAAACUIDAAAJKwAAAAFyAQAAHwEAAAG8/P//0/////////8ABkUDAAAGU3RyaW5nBkYDAAALRGVzY3JpcHRpb24JKwMAAAG4/P//0f///wIAAAABt/z//9P8//8BAAAAAAAJLgMAAAlEAAAACSsAAAAK/////wkuAwAACglEAAAACgoKCSsAAAAJUAMAAAkrAAAAAZoBAAAfAQAAAa78///T/////////wAGUwMAAARFbnVtBlQDAAApQ29tcGFyZSBwdXJjaGFzZSBvcmRlciBhbmQgaW52b2ljZSB2YWx1ZXMJKwMAAAGq/P//0f///wIAAAABqfz//9P8//8BAAAAAAAJLgMAAAlSAAAACSsAAAAK/////wkuAwAACglSAAAACgoKCSsAAAAJXgMAAAkrAAAAAcIBAAAfAQAAAaD8///T/////////wAGYQMAAAZTdHJpbmcGYgMAABRJdGVtIHNhbGVzIHRheCBncm91cAkrAwAAAZz8///R////AgAAAAGb/P//0/z//wEAAAAAAAkuAwAACWAAAAAJKwAAAAr/////CS4DAAAKCWAAAAAKCgoJKwAAAAlsAwAACSsAAAAB6gEAAB8BAAABkvz//9P/////////AAZvAwAABEVudW0GcAMAAApEZWJpdCB0eXBlCSsDAAABjvz//9H///8CAAAAAY38///T/P//AQAAAAAACS4DAAAJbgAAAAkrAAAACv////8JLgMAAAoJbgAAAAoKCgkrAAAACXoDAAAJKwAAAAESAgAAHwEAAAGE/P//0/////////8ABn0DAAAERW51bQZ+AwAADURlYml0IHBvc3RpbmcJKwMAAAGA/P//0f///wIAAAABf/z//9P8//8BAAAAAAAJLgMAAAl8AAAACSsAAAAK/////wkuAwAACgl8AAAACgoKCSsAAAAJiAMAAAkrAAAAAToCAAAfAQAAAXb8///T/////////wAGiwMAAAZTdHJpbmcGjAMAAA1EZWJpdCBhY2NvdW50CSsDAAABcvz//9H///8CAAAAAXH8///T/P//AQAAAAAACS4DAAAJigAAAAkrAAAACv////8JLgMAAAoJigAAAAoKCgkrAAAACZYDAAAJKwAAAAGJAgAAHwEAAAFo/P//0/////////8ABpkDAAAERW51bQaaAwAAC0NyZWRpdCB0eXBlCSsDAAABZPz//9H///8CAAAAAWP8///T/P//AQAAAAAACS4DAAAJpQAAAAkrAAAACv////8JLgMAAAoJpQAAAAoKCgkrAAAACaQDAAAJKwAAAAGxAgAAHwEAAAFa/P//0/////////8ABqcDAAAERW51bQaoAwAADkNyZWRpdCBwb3N0aW5nCSsDAAABVvz//9H///8CAAAAAVX8///T/P//AQAAAAAACS4DAAAJswAAAAkrAAAACv////8JLgMAAAoJswAAAAoKCgkrAAAACbIDAAAJKwAAAAHZAgAAHwEAAAFM/P//0/////////8ABrUDAAAGU3RyaW5nBrYDAAAOQ3JlZGl0IGFjY291bnQJKwMAAAFI/P//0f///wIAAAABR/z//9P8//8BAAAAAAAJLgMAAAnBAAAACSsAAAAK/////wkuAwAACgnBAAAACgoKCSsAAAAJwAMAAAkrAAAABSs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OUAAAAGwgMAAAtNYXJrdXBUYWJsZQbDAwAAE01pc2MuIGNoYXJnZXMgY29kZXMJKwAAAAkrAAAACSsAAAAFO/z//zBHbG9iZVNvZnR3YXJlLkF0bGFzNDAuQXRsYXNDb21tb24uRGF0YVNvdXJjZVR5cGUBAAAAB3ZhbHVlX18ACA4AAAAAAAAACcYDAAAJxwMAAAQ4/P//C1N5c3RlbS5HdWlkCwAAAAJfYQJfYgJfYwJfZAJfZQJfZgJfZwJfaAJfaQJfagJfawAAAAAAAAAAAAAACAcHAgICAgICAgLcDWOR3z8DRrDaKWiX+789CSsAAAAJKwAAAAnKAwAACS4DAAAKCgoKCgEAAAAFNPz//zRHbG9iZVNvZnR3YXJlLkF0bGFzNDAuQXRsYXNDb21tb24uRGF0YVNvdXJjZUpvaW5Nb2RlAQAAAAd2YWx1ZV9fAAgOAAAAAAAAAAUz/P//NUdsb2JlU29mdHdhcmUuQXRsYXM0MC5BdGxhc0NvbW1vbi5EYXRhU291cmNlRmV0Y2hNb2RlAQAAAAd2YWx1ZV9fAAgOAAAAAAAAAAAJzgMAAAE0AwAAJwAAAHUAAAAJ3gAAAAMAAAAJ0AMAAAFCAwAAJwAAAHUAAAAJ3gAAAAMAAAAJ0gMAAAFQAwAAJwAAAHUAAAAJ3gAAAAMAAAAJ1AMAAAFeAwAAJwAAAHUAAAAJ3gAAAAMAAAAJ1gMAAAFsAwAAJwAAAHUAAAAJ3gAAAAMAAAAJ2AMAAAF6AwAAJwAAAHUAAAAJ3gAAAAMAAAAJ2gMAAAGIAwAAJwAAAHUAAAAJ3gAAAAMAAAAJ3AMAAAGWAwAAJwAAAHUAAAAJ3gAAAAMAAAAJ3gMAAAGkAwAAJwAAAHUAAAAJ3gAAAAMAAAAJ4AMAAAGyAwAAJwAAAHUAAAAJ3gAAAAMAAAAJ4gMAAAHAAwAAJwAAAHUAAAAJ3gAAAAMAAAAJ5AMAAATG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nlAwAAEQAAAAnmAwAABMc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QMAAAAAAAAEy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UDAAAAAAAABM4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egDAAAAAAAAB9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z//8v+//8G6gMAAAhIZWxwVGV4dAbrAwAAPFNwZWNpZnkgd2hpY2ggbW9kdWxlIHRoZSBtaXNjLiBjaGFyZ2VzIGdyb3VwIGlzIGF0dGFjaGVkIHRvLgEU/P//y/7//wbtAwAABUxhYmVsCSoDAAABEfz//8v+//8G8AMAAARUeXBlCSkDAAAH0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P//y/7//wnqAwAABvQDAAAjSWRlbnRpZmljYXRpb24gb2YgdGhlIG1pc2MuIGNoYXJnZXMBC/z//8v+//8J7QMAAAk4AwAAAQj8///L/v//CfADAAAJNwMAAAf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8///L/v//CeoDAAAG/QMAACBEZXNjcmlwdGlvbiBvZiB0aGUgbWlzYy4gY2hhcmdlcwEC/P//y/7//wntAwAACUYDAAAB//v//8v+//8J8AMAAAlFAwAAB9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v//8v+//8J6gMAAAYGBAAAV0luY2x1ZGUgdGhpcyBtaXNjLiBjaGFyZ2VzIGNvZGUgd2hlbiBjb21wYXJpbmcgcHVyY2hhc2Ugb3JkZXIgYW5kIGludm9pY2UgbWlzYy4gY2hhcmdlcwH5+///y/7//wntAwAACVQDAAAB9vv//8v+//8J8AMAAAlTAwAAB9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/v//8v+//8J6gMAAAYPBAAAPEdyb3VwIG9mIHNhbGVzIHRheCBjb2RlcyB0aGF0IGNhbiBiZSBjYWxjdWxhdGVkIGZvciBhbiBpdGVtLgHw+///y/7//wntAwAACWIDAAAB7fv//8v+//8J8AMAAAlhAwAAB9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v//8v+//8J6gMAAAYYBAAAE1NwZWNpZnkgZGViaXQgdHlwZS4B5/v//8v+//8J7QMAAAlwAwAAAeT7///L/v//CfADAAAJbwMAAAf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7///L/v//CeoDAAAGIQQAACZTcGVjaWZ5IHBvc3Rpbmcgb2YgZGViaXQgdHJhbnNhY3Rpb25zLgHe+///y/7//wntAwAACX4DAAAB2/v//8v+//8J8AMAAAl9AwAAB94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v//8v+//8J6gMAAAYqBAAAN0pvdXJuYWwgbGluZSBhbW91bnQgdG8gYmUgZGViaXRlZCB0byBzcGVjaWZpZWQgYWNjb3VudC4B1fv//8v+//8J7QMAAAmMAwAAAdL7///L/v//CfADAAAJiw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7///L/v//CeoDAAAGMwQAABRTcGVjaWZ5IGNyZWRpdCB0eXBlLgHM+///y/7//wntAwAACZoDAAAByfv//8v+//8J8AMAAAmZAwAAB+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8v+//8J6gMAAAY8BAAAJ1NwZWNpZnkgcG9zdGluZyBvZiBjcmVkaXQgdHJhbnNhY3Rpb25zLgHD+///y/7//wntAwAACagDAAABwPv//8v+//8J8AMAAAmnAwAAB+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8v+//8J6gMAAAZFBAAAN0pvdXJuYWwgbGluZSBhbW91bnQgdG8gYmUgY3JlZGl0ZWQgdG8gc3BlY2lmaWVkIGFjY291bnQBuvv//8v+//8J7QMAAAm2AwAAAbf7///L/v//CfADAAAJtQMAAAHlAwAADAAAAAfmAw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0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ZNBAAAHFRhYmxlLk1hcmt1cFRhYmxlLk1vZHVsZVR5cGUJHwEAAAGx+///tPv//wZQBAAAHFRhYmxlLk1hcmt1cFRhYmxlLk1hcmt1cENvZGUJSgEAAAGu+///tPv//wZTBAAAFVRhYmxlLk1hcmt1cFRhYmxlLlR4dAlyAQAAAav7//+0+///BlYEAAAfVGFibGUuTWFya3VwVGFibGUuVXNlSW5NYXRjaGluZwmaAQAAAaj7//+0+///BlkEAAAeVGFibGUuTWFya3VwVGFibGUuVGF4SXRlbUdyb3VwCcIBAAABpfv//7T7//8GXAQAABpUYWJsZS5NYXJrdXBUYWJsZS5DdXN0VHlwZQnqAQAAAaL7//+0+///Bl8EAAAdVGFibGUuTWFya3VwVGFibGUuQ3VzdFBvc3RpbmcJEgIAAAGf+///tPv//wZiBAAAHVRhYmxlLk1hcmt1cFRhYmxlLkN1c3RBY2NvdW50CToCAAABnPv//7T7//8GZQQAABpUYWJsZS5NYXJrdXBUYWJsZS5WZW5kVHlwZQmJAgAAAZn7//+0+///BmgEAAAdVGFibGUuTWFya3VwVGFibGUuVmVuZFBvc3RpbmcJsQIAAAGW+///tPv//wZrBAAAHVRhYmxlLk1hcmt1cFRhYmxlLlZlbmRBY2NvdW50CdkCAAAE6A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13.xml><?xml version="1.0" encoding="utf-8"?>
<Atlas>
  <Query type="ReportList" id="2464e823-c207-496d-9599-a37faf6bc1d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c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UTGVkZ2VyU3lzdGVtQWNjb3VudHMGHgAAAA9TeXN0ZW0gYWNjb3VudHMJCAAAAAkIAAAACQgAAAAF4P///zBHbG9iZVNvZnR3YXJlLkF0bGFzNDAuQXRsYXNDb21tb24uRGF0YVNvdXJjZVR5cGUBAAAAB3ZhbHVlX18ACAIAAAAAAAAACSEAAAAJIgAAAATd////C1N5c3RlbS5HdWlkCwAAAAJfYQJfYgJfYwJfZAJfZQJfZgJfZwJfaAJfaQJfagJfawAAAAAAAAAAAAAACAcHAgICAgICAgKVyf0pT4JaRYq6k6mPfHP5CQgAAAAJCAAAAAklAAAABiYAAAAaVGFibGUuTGVkZ2VyU3lzdGVtQWNjb3VudH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y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DI0NjRlODIzLWMyMDctNDk2ZC05NTk5LWEzN2ZhZjZiYzFkMgHF////yP///wHE////x////wAAAAAGPQAAAAR0cnVlAcL////I////AcH////H////CwAAAAZAAAAAD1N5c3RlbSBhY2NvdW50cwG/////yP///wG+////x////xsAAAAGQwAAAARUcnVlAbz////I////Abv////H////BgAAAAZGAAAABUZhbHNlAbn////I////Abj////H////HAAAAAlDAAAAAbb////I////AbX////H////HQAAAAlGAAAAAbP////I////AbL////H////KgAAAAlDAAAAAbD////I////Aa/////H////AQAAAAZSAAAAAzM2MgGt////yP///wGs////x////ycAAAAGVQAAAAs9RGF0YUFyZWFJZAGq////yP///wGp////x////xkAAAAGWAAAAA9DZWxsc1ZlcnRpY2FsbHkBp////8j///8Bpv///8f///8JAAAACgGl////yP///wGk////x////ygAAAAGXQAAAAE2AaL////I////AaH////H////KwAAAAZg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f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IAAAAUTGVkZ2VyU3lzdGVtQWNjb3VudH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WMAAAADAAAACW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oAAAACWkAAAAJagAAAAZrAAAABENvZGUGbAAAAAxQb3N0aW5nIHR5cGUGbQAAAARFbnVtCQgAAAAGbwAAACQ3N2ZiMDdiYS1jNzViLTRjN2YtYmRhYi1jNDU3ZjFlODczOTg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GY1NWIzN2M2LTZjZDMtNGI2MS04NmM1LTVmMmEzMzRmNzg4MgZ1AAAAH1RhYmxlLkxlZGdlclN5c3RlbUFjY291bnRzLkNvZGUKCgoKATAAAAAvAAAACXYAAAAJdwAAAAl4AAAABnkAAAAKQWNjb3VudE51bQZ6AAAADkxlZGdlciBhY2NvdW50BnsAAAAGU3RyaW5nCQgAAAAGfQAAACQ2MmVlNjVkNy01YmRjLTRlNTUtYmJmMy1jMDVmODNmYzk1YjkBgv///5D/////////AQAAAAGB////j////wAAAAABgP///47///8CAAAAAAAAAAABf////43///8AAAAACgEAAAAAAAAAAAEAAAAABoIAAAAkNjNiNDM1N2QtZDBjMi00NDFkLTliNDktYjc5YjZmYmYwYzU2BoMAAAAlVGFibGUuTGVkZ2VyU3lzdGVtQWNjb3VudHMuQWNjb3VudE51bQoKCgoBMQAAAC8AAAAJhAAAAAmFAAAACYYAAAAGhwAAADdBdGxhc01hbmFnZWRDb2x1bW5fYWRkZWRjNTQtNWUxOC00YmFjLTk1YTUtODhkZWVhNzQwMzZjBogAAAAMQWNjb3VudCBuYW1lCQgAAAAJCAAAAAaKAAAAJDQ1OTgzZjQ2LTI1YjctNDUyMi1hYmIxLTMxYTM0NzE2ZjMyOAF1////kP////////8CAAAAAXT///+P////AgAAAAFz////jv///wIAAAAAAAAAAAFy////jf///wAAAAAKAQAAAAAAAAAAAgAAAAAGjwAAACQ3NzJiYTY3Yi1kNmM4LTQwNTEtYjEzMS0zMzhmNzFhOWRjODYJCAAAAAoKCgoBMgAAAC8AAAAJkQAAAAmSAAAACZMAAAAGlAAAADdBdGxhc01hbmFnZWRDb2x1bW5fNTE0YTZiMDMtMzMyNi00ODJmLWE4MDItYWI5MWM0OWQzZjczBpUAAAANTG9jYWwgYWNjb3VudAkIAAAACQgAAAAGlwAAACRhNzk1NjNkYy1lNDlmLTQzN2QtOWM0ZC0xODIzMGNhODU5MzEBaP///5D/////////AwAAAAFn////j////wIAAAABZv///47///8CAAAAAAAAAAABZf///43///8AAAAACgEAAAAAAAAAAAMAAAAABpwAAAAkNWEyNTBmNjktY2Q1Mi00NTgzLTliY2ItMjRiOTQ2YWY4ODUxCQgAAAAKCgoKATMAAAAvAAAACZ4AAAAJnwAAAAmgAAAABqEAAAA3QXRsYXNNYW5hZ2VkQ29sdW1uXzQ5YzNlYjkwLTk0ZDgtNGIyMy1iN2U0LTY3YzhmYTdkZTVmMwaiAAAAD0xvY2FsIGFjY3QgbmFtZQkIAAAACQgAAAAGpAAAACQ5YTk4ZWQzOS0xNjdiLTQ2MDktODExYi00NTg5NDZmMmM5MmMBW////5D/////////BAAAAAFa////j////wIAAAABWf///47///8CAAAAAAAAAAABWP///43///8AAAAACgEAAAAAAAAAAAQAAAAABqkAAAAkMjY3OGU0NjQtMmRmZS00MDM0LWExNzktMWVhNzNjNDA0ZGZlCQgAAAAKCgoKATQAAAAvAAAACasAAAAJrAAAAAmtAAAABq4AAAA3QXRsYXNNYW5hZ2VkQ29sdW1uX2U2MjgwYWRjLTFjZjQtNDBhMC05NDBmLWJkZGEwZjA2NTIwOQavAAAAEUxvY2tlZCBpbiBqb3VybmFsCQgAAAAJCAAAAAaxAAAAJDVhOGYzYzI2LTFkMzQtNDRmZi04OTk5LTJhMTFmMDFiMGM1MgFO////kP////////8FAAAAAU3///+P////AgAAAAFM////jv///wIAAAAAAAAAAAFL////jf///wAAAAAKAQAAAAAAAAAABQAAAAAGtgAAACRiNTQ0ZmY5ZC0zODdjLTQyMWMtODUxOC02YjRhODhjMzZmYWQJCAAAAAoKCgoBYwAAABIAAAAHZ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S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uQAAAB9UYWJsZS5MZWRnZXJTeXN0ZW1BY2NvdW50cy5Db2RlCboAAAABRf///0j///8GvAAAACVUYWJsZS5MZWRnZXJTeXN0ZW1BY2NvdW50cy5BY2NvdW50TnVtCb0AAAAEZ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g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b4AAAABAAAAAQAAAARp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0BAAAJvwAAAAcAAAAJwAAAAAR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UBAAAJwQAAAAcAAAAJwgAAAAF2AAAAaAAAAAnDAAAAAQAAAAEAAAABdwAAAGkAAABsAQAACb8AAAAHAAAACcU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lAQAACcEAAAAHAAAACccAAAABhAAAAGgAAAAJyAAAAAAAAAAAAAAAAYUAAABpAAAARwEAAAnJAAAABwAAAAnKAAAABI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EAAAnLAAAABwAAAAnMAAAAAZEAAABoAAAACcgAAAAAAAAAAAAAAAGSAAAAaQAAAEcBAAAJyQAAAAcAAAAJzw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BAAAJywAAAAcAAAAJ0QAAAAGeAAAAaAAAAAnIAAAAAAAAAAAAAAABnwAAAGkAAABHAQAACckAAAAHAAAACdQAAAAEo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QAACcsAAAAHAAAACdYAAAABqwAAAGgAAAAJyAAAAAAAAAAAAAAAAawAAABpAAAARwEAAAnJAAAABwAAAAnZAAAABK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EAAAnLAAAABwAAAAnbAAAABb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T///+Q/////////wAG3QAAAARFbnVtBt4AAAAMUG9zdGluZyB0eXBlCd8AAAABIP///47///8CAAAABR////85R2xvYmVTb2Z0d2FyZS5BdGxhczQwLkF0bGFzQ29tbW9uLk51bWJlclNlcXVlbmNlQ29uZGl0aW9uAQAAAAd2YWx1ZV9fAAgCAAAAAQAAAAAABuIAAAAaVGFibGUuTGVkZ2VyU3lzdGVtQWNjb3VudHMJawAAAAkIAAAACv////8J4gAAAAoJawAAAAoKCgkIAAAACegAAAAJCAAAAAG9AAAAugAAAAEW////kP////////8ABusAAAAGU3RyaW5nBuwAAAAOTGVkZ2VyIGFjY291bnQJ3wAAAAES////jv///wIAAAABEf///x////8BAAAAAAAJ4gAAAAl5AAAACQgAAAAK/////wniAAAACgl5AAAACgoKCQgAAAAJ9gAAAAkIAAAAB74AAAAAAQAAAAQAAAAEN0dsb2JlU29mdHdhcmUuQXRsYXM0MC5BdGxhc0NvbW1vbi5UeXBlLkZpZWxkT3V0cHV0RmllbGQCAAAACboAAAANAwS/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A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B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G////Mkdsb2JlU29mdHdhcmUuQXRsYXM0MC5BdGxhc0NvbW1vbi5Db2x1bW5BdHRyaWJ1dGVzAQAAAAd2YWx1ZV9fAAgCAAAABgAAAAb7AAAABVRvdGFsAQT///8H////AQP///8G////EAAAAAb+AAAABE5vbmUBAf///wf///8BAP///wb///8JAAAACQgAAAAB/v7//wf///8B/f7//wb///8LAAAABgQBAAABMAH7/v//B////wH6/v//Bv///wQAAAAGBwEAAAdHZW5lcmFsAfj+//8H////Aff+//8G////AgAAAAYKAQAAATEB9f7//wf///8B9P7//wb///8AAAAABg0BAAAFNDUuNTcBwQAAABIAAAAHw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y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8BAAAIRm9udEJvbGQGEAEAAAVGYWxzZQHv/v//8v7//wYSAQAACkZvbnRJdGFsaWMJEAEAAAHs/v//8v7//wYVAQAADUZvbnRVbmRlcmxpbmUGFgEAAAUtNDE0MgHp/v//8v7//wYYAQAACEZvbnROYW1lBhkBAAAHQ2FsaWJyaQHm/v//8v7//wYbAQAACUZvbnRDb2xvcgYcAQAAATAB4/7///L+//8GHgEAAAhGb250U2l6ZQYfAQAAAjExAeD+///y/v//BiEBAAAJRm9udFN0eWxlBiIBAAAHUmVndWxhcgfDAAAAAAEAAAAEAAAABDdHbG9iZVNvZnR3YXJlLkF0bGFzNDAuQXRsYXNDb21tb24uVHlwZS5GaWVsZE91dHB1dEZpZWxkAgAAAAm9AAAADQMHx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z+//8H////Adv+//8G////EAAAAAn+AAAAAdn+//8H////Adj+//8G////CQAAAAkIAAAAAdb+//8H////AdX+//8G////CwAAAAYsAQAAATEB0/7//wf///8B0v7//wb///8EAAAABi8BAAAHR2VuZXJhbAHQ/v//B////wHP/v//Bv///wIAAAAGMgEAAAExAc3+//8H////Acz+//8G////AAAAAAY1AQAAAjE2B8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///L+//8JDwEAAAkQAQAAAcf+///y/v//CRIBAAAJEAEAAAHE/v//8v7//wkVAQAABj4BAAAFLTQxNDIBwf7///L+//8JGAEAAAZBAQAAB0NhbGlicmkBvv7///L+//8JGwEAAAZEAQAAATABu/7///L+//8JHgEAAAZHAQAAAjExAbj+///y/v//CSEBAAAGSgEAAAdSZWd1bGFyB8gAAAAAAQAAAAAAAAAEN0dsb2JlU29mdHdhcmUuQXRsYXM0MC5BdGxhc0NvbW1vbi5UeXBlLkZpZWxkT3V0cHV0RmllbGQCAAAAAckAAAC/AAAAB8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v//B////wG0/v//Bv///yQAAAAJiAAAAAGy/v//B////wGx/v//Bv///wsAAAAGUAEAAAEyAa/+//8H////Aa7+//8G////BAAAAAZTAQAAB0dlbmVyYWwBrP7//wf///8Bq/7//wb///8CAAAABlYBAAABMQGp/v//B////wGo/v//Bv///wAAAAAGWQEAAAIzNQGm/v//B////wGl/v//Bv///wMAAAAGXAEAABRWQVQgLSBub24tRUVDIC0gcGFpZAHLAAAAEgAAAA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+///y/v//Bl4BAAAIRm9udEJvbGQJEAEAAAGg/v//8v7//wZhAQAACkZvbnRJdGFsaWMJEAEAAAGd/v//8v7//wZkAQAADUZvbnRVbmRlcmxpbmUGZQEAAAUtNDE0MgGa/v//8v7//wZnAQAACEZvbnROYW1lBmgBAAAHQ2FsaWJyaQGX/v//8v7//wZqAQAACUZvbnRDb2xvcgZrAQAAATABlP7///L+//8GbQEAAAhGb250U2l6ZQZuAQAAAjExAZH+///y/v//BnABAAAJRm9udFN0eWxlBnEBAAAHUmVndWxhcgf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v7//wf///8Bjf7//wb///8kAAAACZUAAAABi/7//wf///8Biv7//wb///8LAAAABncBAAABMwGI/v//B////wGH/v//Bv///wQAAAAGegEAAAdHZW5lcmFsAYX+//8H////AYT+//8G////AgAAAAZ9AQAAATEBgv7//wf///8Bgf7//wb///8AAAAABoABAAAFMTQuMjkBf/7//wf///8Bfv7//wb///8DAAAABoMBAAAAB9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7///L+//8JXgEAAAkQAQAAAXn+///y/v//CWEBAAAJEAEAAAF2/v//8v7//wlkAQAABowBAAAFLTQxNDIBc/7///L+//8JZwEAAAaPAQAAB0NhbGlicmkBcP7///L+//8JagEAAAaSAQAAATABbf7///L+//8JbQEAAAaVAQAAAjExAWr+///y/v//CXABAAAGmAEAAAdSZWd1bGFyB9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n/v//B////wFm/v//Bv///yQAAAAJogAAAAFk/v//B////wFj/v//Bv///wsAAAAGngEAAAE0AWH+//8H////AWD+//8G////BAAAAAahAQAAB0dlbmVyYWwBXv7//wf///8BXf7//wb///8CAAAABqQBAAABMQFb/v//B////wFa/v//Bv///wAAAAAGpwEAAAUxNi40MwFY/v//B////wFX/v//Bv///wMAAAAGqgEAAAAH1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v//8v7//wleAQAACRABAAABUv7///L+//8JYQEAAAkQAQAAAU/+///y/v//CWQBAAAGswEAAAUtNDE0MgFM/v//8v7//wlnAQAABrYBAAAHQ2FsaWJyaQFJ/v//8v7//wlqAQAABrkBAAABMAFG/v//8v7//wltAQAABrwBAAACMTEBQ/7///L+//8JcAEAAAa/AQAAB1JlZ3VsYXIH2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+//8H////AT/+//8G////JAAAAAmvAAAAAT3+//8H////ATz+//8G////CwAAAAbFAQAAATUBOv7//wf///8BOf7//wb///8EAAAABsgBAAAHR2VuZXJhbAE3/v//B////wE2/v//Bv///wIAAAAGywEAAAExATT+//8H////ATP+//8G////AAAAAAbOAQAABTE3LjcxATH+//8H////ATD+//8G////AwAAAAbRAQAAAk5vB9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7///L+//8JXgEAAAkQAQAAASv+///y/v//CWEBAAAJEAEAAAEo/v//8v7//wlkAQAABtoBAAAFLTQxNDIBJf7///L+//8JZwEAAAbdAQAAB0NhbGlicmkBIv7///L+//8JagEAAAbgAQAAATABH/7///L+//8JbQEAAAbjAQAAAjExARz+///y/v//CXABAAAG5gEAAAdSZWd1bGFyAd8AAAAOAAAA3AAAAAbnAQAAFExlZGdlclN5c3RlbUFjY291bnRzBugBAAAPU3lzdGVtIGFjY291bnRzCQgAAAAJCAAAAAkIAAAAARb+///g////AAAAAAnrAQAACewBAAABE/7//93///81PfQcV4Y8TZMHTwY2rSwXCQgAAAAJCAAAAAnvAQAACeIAAAAKCgoKCgEAAAABD/7//9n///8AAAAAAQ7+///Y////AAAAAAAJ8w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0AAAAJwQAAAAMAAAAJ9QEAAAT2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0AAAAJwQAAAAMAAAAJ9wEAAAHrAQAAIQAAAAIAAAAJ+AEAAAMAAAAJ+QEAAAHsAQAAIgAAAAAAAAAJ+AEAAAAAAAAB7wEAAAQAAAABAAAACfgBAAADAAAACfsBAAAB8wEAACkAAAAAAAAACfwBAAAAAAAAB/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/L+//8G/gEAAAhIZWxwVGV4dAb/AQAAQFRyYW5zYWN0aW9uIHR5cGUgdGhhdCBjYW4gYmUgcG9zdGVkIHRvLCBpbiBjYXNlIHNldHVwIGlzIG1pc3NpbmcBAP7///L+//8GAQIAAAVMYWJlbAneAAAAAf39///y/v//BgQCAAAEVHlwZQndAAAAB/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3///L+//8J/gEAAAYIAgAAJUFjY291bnQgbnVtYmVyIGZvciBwb3N0aW5nIGluIGxlZGdlci4B9/3///L+//8JAQIAAAnsAAAAAfT9///y/v//CQQCAAAJ6wAAAAH4AQAAEgAAAAf5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x/f//SP///wYQAgAAH1RhYmxlLkxlZGdlclN5c3RlbUFjY291bnRzLkNvZGUJugAAAAHu/f//SP///wYTAgAAJVRhYmxlLkxlZGdlclN5c3RlbUFjY291bnRzLkFjY291bnROdW0JvQAAAAf7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r/f//1P///wYWAgAAN1RhYmxlLkxlZGdlclN5c3RlbUFjY291bnRzLkFjY291bnROdW1+VGFibGUuTGVkZ2VyVGFibGUJFwIAAAH8AQAAZwAAAAEXAgAADgAAAP////8GGAIAAAtMZWRnZXJUYWJsZQYZAgAAGExlZGdlciBjaGFydCBvZiBhY2NvdW50cwkIAAAACQgAAAAJCAAAAAHl/f//4P///wAAAAAJHAIAAAkdAgAAAeL9///d////iaz4Us1WOUaWLWp0vQsxBgkIAAAACQgAAAAJIAIAAAkWAgAABiICAAAUTGVkZ2VyU3lzdGVtQWNjb3VudHMGIwIAABpUYWJsZS5MZWRnZXJTeXN0ZW1BY2NvdW50cwYkAgAAJVRhYmxlLkxlZGdlclN5c3RlbUFjY291bnRzLkFjY291bnROdW0GJQIAAApBY2NvdW50TnVtBiYCAAAKQWNjb3VudE51bQEAAAAB2f3//9n///8AAAAAAdj9///Y////AAAAAAAJKQIAAAEcAgAAIQAAAAgAAAAJwQAAAAcAAAAJKwIAAAEdAgAAIgAAAAAAAAAJwQA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EAAAAAAAAAASkCAAApAAAAAAAAAAktAgAAAAAAAAcrAg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tAgAAZwAAAAs=
    <Output>
      <OutputObject name="AtlasReport_2"/>
    </Output>
  </Query>
</Atlas>
</file>

<file path=customXml/item14.xml><?xml version="1.0" encoding="utf-8"?>
<Atlas>
  <Report name="AtlasReport_9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QAAAAkDAAAACQQAAAAGBQAAAA1BdGxhc1JlcG9ydF85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O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DdBdGxhc01hbmFnZWRDb2x1bW5fYjI0YTVjMDItNzlkNy00ZGJiLTg0ZmItYzIyZGEwMWI2NGI0BioAAAAGTW9kdWxlBisAAAAACSsAAAAGLAAAACRhYmI3MmYwZC0xZDFhLTQxZjMtOWRkZC1mMjMyNDc1YWMxNDQF0////y1HbG9iZVNvZnR3YXJlLkF0bGFzNDAuQXRsYXNDb21tb24uQWdncmVnYXRpb24BAAAAB3ZhbHVlX18ACA4AAAD/////AAAAAAXS////LEdsb2JlU29mdHdhcmUuQXRsYXM0MC5BdGxhc0NvbW1vbi5Db2x1bW5UeXBlAQAAAAd2YWx1ZV9fAAgOAAAAAgAAAAXR////K0dsb2JlU29mdHdhcmUuQXRsYXM0MC5BdGxhc0NvbW1vbi5Tb3J0T3JkZXIBAAAAB3ZhbHVlX18ACA4AAAACAAAAAAAAAAAF0P///0BHbG9iZVNvZnR3YXJlLkF0bGFzNDAuQXRsYXNDb21tb24uVHlwZS5Db2x1bW4rQ3Jvc3NUYWJDb2x1bW5UeXBlAQAAAAd2YWx1ZV9fAAgOAAAAAAAAAAoBAAAAAAAAAAAAAAAAAAYxAAAAJGUyOGVjYjEwLTVkYTYtNGVmZC1iOTI3LWJhNDNlNjQxMWIzMQkrAAAACgoKCgEVAAAAFAAAAAkzAAAACTQAAAAJNQAAAAY2AAAAEUludmVudEFjY291bnRUeXBlBjcAAAAMQWNjb3VudCB0eXBlBjgAAAAERW51bQkrAAAABjoAAAAkMjMyYzY2YWUtNDgzYS00MjYyLTk0OGEtMmVkNDNmOTc0MzFmAcX////T/////////wEAAAABxP///9L///8AAAAAAcP////R////AgAAAAAAAAAAAcL////Q////AAAAAAoBAAAAAAAAAAABAAAAAAY/AAAAJDg1YmRjZTFjLTM3ODMtNDQ0My04MmE3LWQzOWZmMjk5ODBiMgZAAAAAJVRhYmxlLkludmVudFBvc3RpbmcuSW52ZW50QWNjb3VudFR5cGUKCgoKARYAAAAUAAAACUEAAAAJQgAAAAlDAAAABkQAAAAISXRlbUNvZGUGRQAAAAlJdGVtIGNvZGUGRgAAAARFbnVtCSsAAAAGSAAAACQ5NGQ1OTFiNC1iYmIzLTQwMGYtOWYxOC03ZThlZGMxNDhiMDUBt////9P/////////AgAAAAG2////0v///wAAAAABtf///9H///8CAAAAAAAAAAABtP///9D///8AAAAACgEAAAAAAAAAAAIAAAAABk0AAAAkMjZiODJlZGUtYzczOS00ZDQwLWJiZDAtMTYzNTg0MmNlZmU0Bk4AAAAcVGFibGUuSW52ZW50UG9zdGluZy5JdGVtQ29kZQoKCgoBFwAAABQAAAAJTwAAAAlQAAAACVEAAAAGUgAAAAxJdGVtUmVsYXRpb24GUwAAAA1JdGVtIHJlbGF0aW9uBlQAAAAGU3RyaW5nCSsAAAAGVgAAACRjOGYwYjg5Yy0wMWMzLTRhNDItYTUzYS05Y2VkMmRjZGIyNGMBqf///9P/////////AwAAAAGo////0v///wAAAAABp////9H///8CAAAAAAAAAAABpv///9D///8AAAAACgEAAAAAAAAAAAMAAAAABlsAAAAkYmNjMDRlM2YtNGJlYS00NjhlLTgwYWMtMzJmMTUxZDZlMTM4BlwAAAAgVGFibGUuSW52ZW50UG9zdGluZy5JdGVtUmVsYXRpb24KCgoKARgAAAAUAAAACV0AAAAJXgAAAAlfAAAABmAAAAAISXRlbU5hbWUGYQAAAAlJdGVtIG5hbWUGYgAAAAZTdHJpbmcJKwAAAAZkAAAAJDQzODc2Y2Y5LTMzODEtNGM1ZS1hODBhLTkwZmY3MDIyYjkyYwGb////0/////////8EAAAAAZr////S////AAAAAAGZ////0f///wIAAAAAAAAAAAGY////0P///wAAAAAKAQAAAAAAAAAABAAAAAAGaQAAACQzZDkxMTk2ZS1jYjI2LTQ5OTAtOGZhMS03YTFjNDY0NTJiZDMGagAAADtUYWJsZS5JbnZlbnRQb3N0aW5nLkl0ZW1SZWxhdGlvbn5UYWJsZS5JbnZlbnRUYWJsZS5JdGVtTmFtZQoKCgoBGQAAABQAAAAJawAAAAlsAAAACW0AAAAGbgAAADdBdGxhc01hbmFnZWRDb2x1bW5fZTE4NmY3ZjUtZDhiZi00YmZiLTliYzYtNDMwZTQ5MTc2NGMyBm8AAAANVU5JIEl0ZW0gbmFtZQkrAAAACSsAAAAGcQAAACQwYjg5Y2UzMC05ZTYyLTQwNzYtYTViMS1kNmVjZmQxYTcxYTQBjv///9P/////////BQAAAAGN////0v///wIAAAABjP///9H///8CAAAAAAAAAAABi////9D///8AAAAACgEAAAAAAAAAAAUAAAAABnYAAAAkMmFlZmVmOTYtZWRkMy00NjMzLWIyNjItNDJlYjhmZTZiNWYxCSsAAAAKCgoKARoAAAAUAAAACXgAAAAJeQAAAAl6AAAABnsAAAAMQ3VzdFZlbmRDb2RlBnwAAAAMQWNjb3VudCBjb2RlBn0AAAAERW51bQkrAAAABn8AAAAkMTA0ODI4YzUtM2UzYi00ZjA1LWE5NzktM2MwN2Q0NDU3NDRlAYD////T/////////wYAAAABf////9L///8AAAAAAX7////R////AgAAAAAAAAAAAX3////Q////AAAAAAoBAAAAAAAAAAAGAAAAAAaEAAAAJDIyZTE3N2M4LWExODYtNDM2Zi04YWM0LTZmN2M2MWNkN2Q1MAaFAAAAIFRhYmxlLkludmVudFBvc3RpbmcuQ3VzdFZlbmRDb2RlCgoKCgEbAAAAFAAAAAmGAAAACYcAAAAJiAAAAAaJAAAAEEN1c3RWZW5kUmVsYXRpb24GigAAABBBY2NvdW50IHJlbGF0aW9uBosAAAAGU3RyaW5nCSsAAAAGjQAAACQ2M2UzODI4Ni1kYTY4LTRiMjYtOWU0Mi04NTMwNDcwMjEwMzQBcv///9P/////////BwAAAAFx////0v///wAAAAABcP///9H///8CAAAAAAAAAAABb////9D///8AAAAACgEAAAAAAAAAAAcAAAAABpIAAAAkYjMyZWYyNzQtNTdiMS00YmFmLWJmYzctZmZhNjA2NDZhYWRhBpMAAAAkVGFibGUuSW52ZW50UG9zdGluZy5DdXN0VmVuZFJlbGF0aW9uCgoKCgEcAAAAFAAAAAmUAAAACZUAAAAJlgAAAAaXAAAAClRheEdyb3VwSWQGmAAAAA9TYWxlcyB0YXggZ3JvdXAGmQAAAAZTdHJpbmcJKwAAAAabAAAAJDYxYzlmZjJhLTliYmYtNGRmYy04OGQwLWE5NmYzMzBmZmRkNAFk////0/////////8IAAAAAWP////S////AAAAAAFi////0f///wIAAAAAAAAAAAFh////0P///wAAAAAKAQAAAAAAAAAACAAAAAAGoAAAACRlMzFhNjE4Ni0wNTZkLTRkYTQtYTRlZi0xNzYzOTNkYTY5N2EGoQAAAB5UYWJsZS5JbnZlbnRQb3N0aW5nLlRheEdyb3VwSWQKCgoKAR0AAAAUAAAACaIAAAAJowAAAAmkAAAABqUAAAAPTGVkZ2VyQWNjb3VudElkBqYAAAAOQWNjb3VudCBudW1iZXIGpwAAAAZTdHJpbmcJKwAAAAapAAAAJDJhN2NlMjJkLTA4MjEtNDFkYS1hMmJlLTQ0YmIzNDY1NGJmZgFW////0/////////8JAAAAAVX////S////AAAAAAFU////0f///wIAAAAAAAAAAAFT////0P///wAAAAAKAQAAAAAAAAAACQAAAAAGrgAAACQ3MGM5ZjZmNy0zYjkwLTRhNDgtYjc5ZC1jMTNhYjY3NWQ5ZDcGrwAAACNUYWJsZS5JbnZlbnRQb3N0aW5nLkxlZGdlckFjY291bnRJZAoKCgoBHgAAABQAAAAJsAAAAAmxAAAACbIAAAAGswAAAAtBY2NvdW50TmFtZQa0AAAADEFjY291bnQgbmFtZQa1AAAABlN0cmluZwkrAAAABrcAAAAkMDBmYTdlMGYtZGMzNy00N2ViLTkwY2QtYjY4OWQ5MzFjYmFhAUj////T/////////woAAAABR////9L///8AAAAAAUb////R////AgAAAAAAAAAAAUX////Q////AAAAAAoBAAAAAAAAAAAKAAAAAAa8AAAAJGE0NjM2NGViLTkzMmQtNGI3Yi05ZjZhLTY5MWRlNDFmZmFhMQa9AAAAQVRhYmxlLkludmVudFBvc3RpbmcuTGVkZ2VyQWNjb3VudElkflRhYmxlLkxlZGdlclRhYmxlLkFjY291bnROYW1lCgoKCgEfAAAAFAAAAAm+AAAACb8AAAAJwAAAAAbBAAAAFkxlZGdlckFjY291bnRMb2NhbF9zc3QGwgAAAA9Mb2NhbCBBY2NvdW50ICMGwwAAAAZTdHJpbmcJKwAAAAbFAAAAJGNjMTMyMDc4LTU0MmUtNDM0Ni05MGZlLWY1ODc0MTQ3ZjE1YQE6////0/////////8LAAAAATn////S////AAAAAAE4////0f///wIAAAAAAAAAAAE3////0P///wAAAAAKAQAAAAAAAAAACwAAAAAGygAAACQzMTFkYWU2OS1iNWQzLTQxZTUtOWU1Zi03OGNjYTMzYjY1NmEGywAAAExUYWJsZS5JbnZlbnRQb3N0aW5nLkxlZGdlckFjY291bnRJZH5UYWJsZS5MZWRnZXJUYWJsZS5MZWRnZXJBY2NvdW50TG9jYWxfc3N0CgoKCgEgAAAAFAAAAAnMAAAACc0AAAAJzgAAAAbPAAAAGkxlZGdlckFjY291bnROYW1lTG9jYWxfc3N0BtAAAAASTG9jYWwgQWNjb3VudCBuYW1lBtEAAAAGU3RyaW5nCSsAAAAG0wAAACQzMTQxMTc4NS1mMjdmLTRmN2UtYjM1MS00MzRiMGIzOTcxYTIBLP///9P/////////DAAAAAEr////0v///wAAAAABKv///9H///8CAAAAAAAAAAABKf///9D///8AAAAACgEAAAAAAAAAAAwAAAAABtgAAAAkMzQzZGViNjEtMjE2My00ZGRlLWExNjEtYjhlYTRhZmFlOWQ3BtkAAABQVGFibGUuSW52ZW50UG9zdGluZy5MZWRnZXJBY2NvdW50SWR+VGFibGUuTGVkZ2VyVGFibGUuTGVkZ2VyQWNjb3VudE5hbWVMb2NhbF9zc3QKCgoKASEAAAAUAAAACdoAAAAJ2wAAAAncAAAABt0AAAAQQmxvY2tlZEluSm91cm5hbAbeAAAAEUxvY2tlZCBpbiBqb3VybmFsBt8AAAAERW51bQkrAAAABuEAAAAkZjBkNTAxNjEtMGZmNC00NzU5LWJhODctOGM5NWZkZGVhYTY1AR7////T/////////w0AAAABHf///9L///8AAAAAARz////R////AgAAAAAAAAAAARv////Q////AAAAAAoBAAAAAAAAAAANAAAAAAbmAAAAJDk4ZjJlNjZkLTk5NTItNDRlOC1iOTk0LTNjOGRkMzk2YmU3OQbnAAAARlRhYmxlLkludmVudFBvc3RpbmcuTGVkZ2VyQWNjb3VudElkflRhYmxlLkxlZGdlclRhYmxlLkJsb2NrZWRJbkpvdXJuYWwKCgoKBSQAAAA4R2xvYmVTb2Z0d2FyZS5BdGxhczQwLkF0bGFzQ29tbW9uQ2xpZW50LlJlcG9ydC5SZWZlcmVuY2UBAAAACl9yZWZlcmVuY2UHCCIAAAAJ6AAAAAclAAAAAAEAAAAEAAAABDxHbG9iZVNvZnR3YXJlLkF0bGFzNDAuQXRsYXNDb21tb25DbGllbnQuRGF0YVNvdXJjZUZpZWxkVmFsdWUiAAAACekAAAANAwQm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qAAAAAAAAAAAAAAAEJ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AAQAACesAAAAHAAAACewAAAAEK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QAACe0AAAAHAAAACe4AAAABMwAAACYAAAAJ7wAAAAEAAAABAAAAATQAAAAnAAAAjQEAAAnwAAAABwAAAAnxAAAAATUAAAAoAAAAiAEAAAnyAAAABwAAAAnzAAAAAUEAAAAmAAAACfQAAAABAAAAAQAAAAFCAAAAJwAAAIwBAAAJ8AAAAAcAAAAJ9gAAAAFDAAAAKAAAAIgBAAAJ8gAAAAcAAAAJ+AAAAAFPAAAAJgAAAAn5AAAAAQAAAAEAAAABUAAAACcAAACMAQAACfAAAAAHAAAACfsAAAABUQAAACgAAACIAQAACfIAAAAHAAAACf0AAAABXQAAACYAAAAJ/gAAAAEAAAABAAAAAV4AAAAnAAAAGAAAAAn/AAAABwAAAAkAAQAAAV8AAAAoAAAAFQAAAAkBAQAABwAAAAkCAQAAAWsAAAAmAAAACQMBAAAAAAAAAAAAAAFsAAAAJwAAAAUAAAAJBAEAAAMAAAAJBQE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MAAAAAAAAAAF4AAAAJgAAAAkHAQAAAQAAAAEAAAABeQAAACcAAACMAQAACfAAAAAHAAAACQkBAAABegAAACgAAACIAQAACfIAAAAHAAAACQsBAAABhgAAACYAAAAJDAEAAAEAAAABAAAAAYcAAAAnAAAAjAEAAAnwAAAABwAAAAkOAQAAAYgAAAAoAAAAiAEAAAnyAAAABwAAAAkQAQAAAZQAAAAmAAAACREBAAABAAAAAQAAAAGVAAAAJwAAADsAAAAJEgEAAAcAAAAJEwEAAAGWAAAAKAAAADgAAAAJFAEAAAcAAAAJFQEAAAGiAAAAJgAAAAkWAQAAAQAAAAEAAAABowAAACcAAACMAQAACfAAAAAHAAAACRgBAAABpAAAACgAAACIAQAACfIAAAAHAAAACRoBAAABsAAAACYAAAAJGwEAAAEAAAABAAAAAbEAAAAnAAAAGAAAAAn/AAAABwAAAAkdAQAAAbIAAAAoAAAAFQAAAAkBAQAABwAAAAkfAQAAAb4AAAAmAAAACSABAAABAAAAAQAAAAG/AAAAJwAAABgAAAAJ/wAAAAcAAAAJIgEAAAHAAAAAKAAAABUAAAAJAQEAAAcAAAAJJAEAAAHMAAAAJgAAAAklAQAAAQAAAAEAAAABzQAAACcAAAAYAAAACf8AAAAHAAAACScBAAABzgAAACgAAAAVAAAACQEBAAAHAAAACSkBAAAB2gAAACYAAAAJKgEAAAEAAAABAAAAAdsAAAAnAAAAGAAAAAn/AAAABwAAAAksAQAAAdwAAAAoAAAAFQAAAAkBAQAABwAAAAkuAQAAD+gAAAABAAAACAEAAAAF6QAAADxHbG9iZVNvZnR3YXJlLkF0bGFzNDAuQXRsYXNDb21tb25DbGllbnQuRGF0YVNvdXJjZUZpZWxkVmFsdWUEAAAAEl9pc0RyaWxsRG93bkZpbHRlcgZfZHNLZXkKX2ZpZWxkbmFtZQtfZmllbGRWYWx1ZQABAQEBIgAAAAAGLwEAABNUYWJsZS5JbnZlbnRQb3N0aW5nBjABAAAKRGF0YUFyZWFJZAkGAAAAB+oAAAAAAQAAAAAAAAAEN0dsb2JlU29mdHdhcmUuQXRsYXM0MC5BdGxhc0NvbW1vbi5UeXBlLkZpZWxkT3V0cHV0RmllbGQOAAAABOs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O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c3+//8yR2xvYmVTb2Z0d2FyZS5BdGxhczQwLkF0bGFzQ29tbW9uLkNvbHVtbkF0dHJpYnV0ZXMBAAAAB3ZhbHVlX18ACA4AAAAkAAAACSoAAAABy/7//87+//8Byv7//83+//8LAAAABjcBAAABMAHI/v//zv7//wHH/v//zf7//wQAAAAGOgEAAAdHZW5lcmFsAcX+///O/v//AcT+///N/v//AgAAAAY9AQAAATEBwv7//87+//8Bwf7//83+//8AAAAABkABAAAFMTcuNzEBv/7//87+//8Bvv7//83+//8DAAAABkMBAAAOUHVyY2hhc2Ugb3JkZXIB7QAAAAwAAAA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8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kUBAAAIRm9udEJvbGQGRgEAAAVGYWxzZQG5/v//vP7//wZIAQAACkZvbnRJdGFsaWMJRgEAAAG2/v//vP7//wZLAQAADUZvbnRVbmRlcmxpbmUGTAEAAAUtNDE0MgGz/v//vP7//wZOAQAACEZvbnROYW1lBk8BAAAHQ2FsaWJyaQGw/v//vP7//wZRAQAACUZvbnRDb2xvcgZSAQAAATABrf7//7z+//8GVAEAAAhGb250U2l6ZQZVAQAAAjExAar+//+8/v//BlcBAAAJRm9udFN0eWxlBlgBAAAHUmVndWxhcgfvAAAAAAEAAAAEAAAABDdHbG9iZVNvZnR3YXJlLkF0bGFzNDAuQXRsYXNDb21tb24uVHlwZS5GaWVsZE91dHB1dEZpZWxkDgAAAAlZAQAADQMB8AAAAOsAAAAH8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b+///O/v//AaX+///N/v//BgAAAAZcAQAABVRvdGFsAaP+///O/v//AaL+///N/v//EAAAAAZfAQAABE5vbmUBoP7//87+//8Bn/7//83+//8JAAAACSsAAAABnf7//87+//8BnP7//83+//8LAAAABmUBAAABMQGa/v//zv7//wGZ/v//zf7//wQAAAAGaAEAAAdHZW5lcmFsAZf+///O/v//AZb+///N/v//AgAAAAZrAQAAATEBlP7//87+//8Bk/7//83+//8AAAAABm4BAAAFMjEuODYB8gAAAAwAAAA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vP7//wZwAQAACEZvbnRCb2xkCUYBAAABjv7//7z+//8GcwEAAApGb250SXRhbGljCUYBAAABi/7//7z+//8GdgEAAA1Gb250VW5kZXJsaW5lBncBAAAFLTQxNDIBiP7//7z+//8GeQEAAAhGb250TmFtZQZ6AQAAB0NhbGlicmkBhf7//7z+//8GfAEAAAlGb250Q29sb3IGfQEAAAEwAYL+//+8/v//Bn8BAAAIRm9udFNpemUGgAEAAAIxMQF//v//vP7//waCAQAACUZvbnRTdHlsZQaDAQAAB1JlZ3VsYXIH9AAAAAABAAAABAAAAAQ3R2xvYmVTb2Z0d2FyZS5BdGxhczQwLkF0bGFzQ29tbW9uLlR5cGUuRmllbGRPdXRwdXRGaWVsZA4AAAAJhAEAAA0DB/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v//zv7//wF6/v//zf7//xAAAAAJXwEAAAF4/v//zv7//wF3/v//zf7//wkAAAAJKwAAAAF1/v//zv7//wF0/v//zf7//wsAAAAGjQEAAAEyAXL+///O/v//AXH+///N/v//BAAAAAaQAQAAB0dlbmVyYWwBb/7//87+//8Bbv7//83+//8CAAAABpMBAAABMQFs/v//zv7//wFr/v//zf7//wAAAAAGlgEAAAUxMC41Nw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+//+8/v//CXABAAAJRgEAAAFm/v//vP7//wlzAQAACUYBAAABY/7//7z+//8JdgEAAAafAQAABS00MTQyAWD+//+8/v//CXkBAAAGogEAAAdDYWxpYnJpAV3+//+8/v//CXwBAAAGpQEAAAEwAVr+//+8/v//CX8BAAAGqAEAAAIxMQFX/v//vP7//wmCAQAABqsBAAAHUmVndWxhcgf5AAAAAAEAAAAEAAAABDdHbG9iZVNvZnR3YXJlLkF0bGFzNDAuQXRsYXNDb21tb24uVHlwZS5GaWVsZE91dHB1dEZpZWxkDgAAAAmsAQ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+///O/v//AVL+///N/v//EAAAAAlfAQAAAVD+///O/v//AU/+///N/v//CQAAAAkrAAAAAU3+///O/v//AUz+///N/v//CwAAAAa1AQAAATMBSv7//87+//8BSf7//83+//8EAAAABrgBAAAHR2VuZXJhbAFH/v//zv7//wFG/v//zf7//wIAAAAGuwEAAAExAUT+///O/v//AUP+///N/v//AAAAAAa+AQAABTIyLjcx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7//7z+//8JcAEAAAlGAQAAAT7+//+8/v//CXMBAAAJRgEAAAE7/v//vP7//wl2AQAABscBAAAFLTQxNDIBOP7//7z+//8JeQEAAAbKAQAAB0NhbGlicmkBNf7//7z+//8JfAEAAAbNAQAAATABMv7//7z+//8JfwEAAAbQAQAAAjExAS/+//+8/v//CYIBAAAG0wEAAAdSZWd1bGFyB/4AAAAAAQAAAAQAAAAEN0dsb2JlU29mdHdhcmUuQXRsYXM0MC5BdGxhc0NvbW1vbi5UeXBlLkZpZWxkT3V0cHV0RmllbGQOAAAACdQBAAANAwH/AAAA6wAAAAcA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7//87+//8BKv7//83+//8JAAAACSsAAAABKP7//87+//8BJ/7//83+//8LAAAABtoBAAABNAEl/v//zv7//wEk/v//zf7//wQAAAAG3QEAAAdHZW5lcmFsASL+///O/v//ASH+///N/v//AgAAAAbgAQAAATEBH/7//87+//8BHv7//83+//8AAAAABuMBAAAFMjkuMjk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v//vP7//wblAQAACEZvbnRCb2xkCUYBAAABGf7//7z+//8G6AEAAApGb250SXRhbGljCUYBAAABFv7//7z+//8G6wEAAA1Gb250VW5kZXJsaW5lBuwBAAAFLTQxNDIBE/7//7z+//8G7gEAAAhGb250TmFtZQbvAQAAB0NhbGlicmkBEP7//7z+//8G8QEAAAlGb250Q29sb3IG8gEAAAEwAQ3+//+8/v//BvQBAAAIRm9udFNpemUG9QEAAAIxMQEK/v//vP7//wb3AQAACUZvbnRTdHlsZQb4AQAAB1JlZ3VsYXIHAwEAAAABAAAAAAAAAAQ3R2xvYmVTb2Z0d2FyZS5BdGxhczQwLkF0bGFzQ29tbW9uLlR5cGUuRmllbGRPdXRwdXRGaWVsZA4AAAABBAEAAOsAAAAHBQE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/O/v//AQb+///N/v//JAAAAAlvAAAAAQT+///O/v//AQP+///N/v//CwAAAAb+AQAAATUHBwEAAAABAAAABAAAAAQ3R2xvYmVTb2Z0d2FyZS5BdGxhczQwLkF0bGFzQ29tbW9uLlR5cGUuRmllbGRPdXRwdXRGaWVsZA4AAAAJ/wEAAA0D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zv7//wH//f//zf7//xAAAAAJXwEAAAH9/f//zv7//wH8/f//zf7//wkAAAAJKwAAAAH6/f//zv7//wH5/f//zf7//wsAAAAGCAIAAAE2Aff9///O/v//Afb9///N/v//BAAAAAYLAgAAB0dlbmVyYWwB9P3//87+//8B8/3//83+//8CAAAABg4CAAABMQHx/f//zv7//wHw/f//zf7//wAAAAAGEQIAAAQ5LjcxBw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v3//7z+//8JcAEAAAlGAQAAAev9//+8/v//CXMBAAAJRgEAAAHo/f//vP7//wl2AQAABhoCAAAFLTQxNDIB5f3//7z+//8JeQEAAAYdAgAAB0NhbGlicmkB4v3//7z+//8JfAEAAAYgAgAAATAB3/3//7z+//8JfwEAAAYjAgAAAjExAdz9//+8/v//CYIBAAAGJgIAAAdSZWd1bGFyBwwBAAAAAQAAAAQAAAAEN0dsb2JlU29mdHdhcmUuQXRsYXM0MC5BdGxhc0NvbW1vbi5UeXBlLkZpZWxkT3V0cHV0RmllbGQOAAAACScCAAANAw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P3//87+//8B1/3//83+//8QAAAACV8BAAAB1f3//87+//8B1P3//83+//8JAAAACSsAAAAB0v3//87+//8B0f3//83+//8LAAAABjACAAABNwHP/f//zv7//wHO/f//zf7//wQAAAAGMwIAAAdHZW5lcmFsAcz9///O/v//Acv9///N/v//AgAAAAY2AgAAATEByf3//87+//8ByP3//83+//8AAAAABjkCAAABOA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9//+8/v//CXABAAAJRgEAAAHD/f//vP7//wlzAQAACUYBAAABwP3//7z+//8JdgEAAAZCAgAABS00MTQyAb39//+8/v//CXkBAAAGRQIAAAdDYWxpYnJpAbr9//+8/v//CXwBAAAGSAIAAAEwAbf9//+8/v//CX8BAAAGSwIAAAIxMQG0/f//vP7//wmCAQAABk4CAAAHUmVndWxhcgcRAQAAAAEAAAAEAAAABDdHbG9iZVNvZnR3YXJlLkF0bGFzNDAuQXRsYXNDb21tb24uVHlwZS5GaWVsZE91dHB1dEZpZWxkDgAAAAlPAgAADQMBEgEAAOsAAAAHE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D9///O/v//Aa/9///N/v//CQAAAAkrAAAAAa39///O/v//Aaz9///N/v//CwAAAAZVAgAAATgBqv3//87+//8Bqf3//83+//8EAAAABlgCAAAHR2VuZXJhbAGn/f//zv7//wGm/f//zf7//wIAAAAGWwIAAAExAaT9///O/v//AaP9///N/v//AAAAAAZeAgAAAjE2ARQBAAAMAAAABx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3//7z+//8GYAIAAAhGb250Qm9sZAlGAQAAAZ79//+8/v//BmMCAAAKRm9udEl0YWxpYwlGAQAAAZv9//+8/v//BmYCAAANRm9udFVuZGVybGluZQZnAgAABS00MTQyAZj9//+8/v//BmkCAAAIRm9udE5hbWUGagIAAAdDYWxpYnJpAZX9//+8/v//BmwCAAAJRm9udENvbG9yBm0CAAABMAGS/f//vP7//wZvAgAACEZvbnRTaXplBnACAAACMTEBj/3//7z+//8GcgIAAAlGb250U3R5bGUGcwIAAAdSZWd1bGFyBxYBAAAAAQAAAAQAAAAEN0dsb2JlU29mdHdhcmUuQXRsYXM0MC5BdGxhc0NvbW1vbi5UeXBlLkZpZWxkT3V0cHV0RmllbGQOAAAACXQCAAANAwc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3//87+//8Biv3//83+//8QAAAACV8BAAABiP3//87+//8Bh/3//83+//8JAAAACSsAAAABhf3//87+//8BhP3//83+//8LAAAABn0CAAABOQGC/f//zv7//wGB/f//zf7//wQAAAAGgAIAAAdHZW5lcmFsAX/9///O/v//AX79///N/v//AgAAAAaDAgAAATEBfP3//87+//8Be/3//83+//8AAAAABoYCAAAFMTAuODY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f//vP7//wlwAQAACUYBAAABdv3//7z+//8JcwEAAAlGAQAAAXP9//+8/v//CXYBAAAGjwIAAAUtNDE0MgFw/f//vP7//wl5AQAABpICAAAHQ2FsaWJyaQFt/f//vP7//wl8AQAABpUCAAADMjU1AWr9//+8/v//CX8BAAAGmAIAAAIxMQFn/f//vP7//wmCAQAABpsCAAAHUmVndWxhcgcbAQAAAAEAAAAEAAAABDdHbG9iZVNvZnR3YXJlLkF0bGFzNDAuQXRsYXNDb21tb24uVHlwZS5GaWVsZE91dHB1dEZpZWxkDgAAAAmcAgAADQMHH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9///O/v//AWL9///N/v//CQAAAAkrAAAAAWD9///O/v//AV/9///N/v//CwAAAAaiAgAAAjEwAV39///O/v//AVz9///N/v//BAAAAAalAgAAB0dlbmVyYWwBWv3//87+//8BWf3//83+//8CAAAABqgCAAABMQFX/f//zv7//wFW/f//zf7//wAAAAAGqwIAAAUzMC43MQ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9//+8/v//CeUBAAAJRgEAAAFR/f//vP7//wnoAQAACUYBAAABTv3//7z+//8J6wEAAAa0AgAABS00MTQyAUv9//+8/v//Ce4BAAAGtwIAAAdDYWxpYnJpAUj9//+8/v//CfEBAAAGugIAAAEwAUX9//+8/v//CfQBAAAGvQIAAAIxMQFC/f//vP7//wn3AQAABsACAAAHUmVndWxhcgcgAQAAAAEAAAAEAAAABDdHbG9iZVNvZnR3YXJlLkF0bGFzNDAuQXRsYXNDb21tb24uVHlwZS5GaWVsZE91dHB1dEZpZWxkDgAAAAnBAg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79///O/v//AT39///N/v//CQAAAAkrAAAAATv9///O/v//ATr9///N/v//CwAAAAbHAgAAAjExATj9///O/v//ATf9///N/v//BAAAAAbKAgAAB0dlbmVyYWwBNf3//87+//8BNP3//83+//8CAAAABs0CAAABMQEy/f//zv7//wEx/f//zf7//wAAAAAG0AIAAAUxNi4xNAc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9//+8/v//CeUBAAAJRgEAAAEs/f//vP7//wnoAQAACUYBAAABKf3//7z+//8J6wEAAAbZAgAABS00MTQyASb9//+8/v//Ce4BAAAG3AIAAAdDYWxpYnJpASP9//+8/v//CfEBAAAG3wIAAAEwASD9//+8/v//CfQBAAAG4gIAAAIxMQEd/f//vP7//wn3AQAABuUCAAAHUmVndWxhcgclAQAAAAEAAAAEAAAABDdHbG9iZVNvZnR3YXJlLkF0bGFzNDAuQXRsYXNDb21tb24uVHlwZS5GaWVsZE91dHB1dEZpZWxkDgAAAAnmAgAADQMHJ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9///O/v//ARj9///N/v//CQAAAAkrAAAAARb9///O/v//ARX9///N/v//CwAAAAbsAgAAAjEyARP9///O/v//ARL9///N/v//BAAAAAbvAgAAB0dlbmVyYWwBEP3//87+//8BD/3//83+//8CAAAABvICAAABMQEN/f//zv7//wEM/f//zf7//wAAAAAG9QIAAAUyMC4yOQc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9//+8/v//CeUBAAAJRgEAAAEH/f//vP7//wnoAQAACUYBAAABBP3//7z+//8J6wEAAAb+AgAABS00MTQyAQH9//+8/v//Ce4BAAAGAQMAAAdDYWxpYnJpAf78//+8/v//CfEBAAAGBAMAAAEwAfv8//+8/v//CfQBAAAGBwMAAAIxMQH4/P//vP7//wn3AQAABgoDAAAHUmVndWxhcgcqAQAAAAEAAAAEAAAABDdHbG9iZVNvZnR3YXJlLkF0bGFzNDAuQXRsYXNDb21tb24uVHlwZS5GaWVsZE91dHB1dEZpZWxkDgAAAAkLAwAADQMHL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8///O/v//AfP8///N/v//CQAAAAkrAAAAAfH8///O/v//AfD8///N/v//CwAAAAYRAwAAAjEzAe78///O/v//Ae38///N/v//BAAAAAYUAwAAB0dlbmVyYWwB6/z//87+//8B6vz//83+//8CAAAABhcDAAABMQHo/P//zv7//wHn/P//zf7//wAAAAAGGgMAAAUxNy43MQ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+8/v//CeUBAAAJRgEAAAHi/P//vP7//wnoAQAACUYBAAAB3/z//7z+//8J6wEAAAYjAwAABS00MTQyAdz8//+8/v//Ce4BAAAGJgMAAAdDYWxpYnJpAdn8//+8/v//CfEBAAAGKQMAAAEwAdb8//+8/v//CfQBAAAGLAMAAAIxMQHT/P//vP7//wn3AQAABi8DAAAHUmVndWxhcgV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Q/P//0/////////8ABjEDAAAERW51bQYyAwAADEFjY291bnQgdHlwZQkzAwAAAcz8///R////AgAAAAXL/P//OUdsb2JlU29mdHdhcmUuQXRsYXM0MC5BdGxhc0NvbW1vbi5OdW1iZXJTZXF1ZW5jZUNvbmRpdGlvbgEAAAAHdmFsdWVfXwAIDgAAAAEAAAAAAAY2AwAAE1RhYmxlLkludmVudFBvc3RpbmcJNgAAAAkrAAAACv////8JNgMAAAoJNgAAAAoKCgkrAAAACTwDAAAJKwAAAAGEAQAAWQEAAAHC/P//0/////////8ABj8DAAAERW51bQZAAwAACUl0ZW0gY29kZQkzAwAAAb78///R////AgAAAAG9/P//y/z//wEAAAAAAAk2AwAACUQAAAAJKwAAAAr/////CTYDAAAKCUQAAAAKCgoJKwAAAAlKAwAACSsAAAABrAEAAFkBAAABtPz//9P/////////AAZNAwAABlN0cmluZwZOAwAADUl0ZW0gcmVsYXRpb24JMwMAAAGw/P//0f///wIAAAABr/z//8v8//8BAAAAAAAJNgMAAAlSAAAACSsAAAAK/////wk2AwAACglSAAAACgoKCSsAAAAJWAMAAAkrAAAAAdQBAABZAQAAAab8///T/////////wAGWwMAAAZTdHJpbmcGXAMAAAlJdGVtIG5hbWUJXQMAAAGi/P//0f///wIAAAABofz//8v8//8BAAAAAAAGYAMAADJUYWJsZS5JbnZlbnRQb3N0aW5nLkl0ZW1SZWxhdGlvbn5UYWJsZS5JbnZlbnRUYWJsZQlgAAAACSsAAAAK/////wlgAwAACglgAAAABmUDAAAMSXRlbVJlbGF0aW9uBmYDAAANSW52ZW50UG9zdGluZwoJKwAAAAloAwAACSsAAAAB/wEAAFkBAAABlvz//9P/////////AAZrAwAABEVudW0GbAMAAAxBY2NvdW50IGNvZGUJMwMAAAGS/P//0f///wIAAAABkfz//8v8//8BAAAAAAAJNgMAAAl7AAAACSsAAAAK/////wk2AwAACgl7AAAACgoKCSsAAAAJdgMAAAkrAAAAAScCAABZAQAAAYj8///T/////////wAGeQMAAAZTdHJpbmcGegMAABBBY2NvdW50IHJlbGF0aW9uCTMDAAABhPz//9H///8CAAAAAYP8///L/P//AQAAAAAACTYDAAAJiQAAAAkrAAAACv////8JNgMAAAoJiQAAAAoKCgkrAAAACYQDAAAJKwAAAAFPAgAAWQEAAAF6/P//0/////////8ABocDAAAGU3RyaW5nBogDAAAPU2FsZXMgdGF4IGdyb3VwCYkDAAABdvz//9H///8CAAAAAXX8///L/P//AQAAAAAABowDAAATVGFibGUuSW52ZW50UG9zdGluZwmXAAAACSsAAAAK/////wmMAwAACgmXAAAACgoKCSsAAAAJkgMAAAkrAAAAAXQCAABZAQAAAWz8///T/////////wAGlQMAAAZTdHJpbmcGlgMAAA5BY2NvdW50IG51bWJlcgkzAwAAAWj8///R////AgAAAAFn/P//y/z//wEAAAAAAAk2AwAACaUAAAAJKwAAAAr/////CTYDAAAKCaUAAAAKCgoJKwAAAAmgAwAACSsAAAABnAIAAFkBAAABXvz//9P/////////AAajAwAABlN0cmluZwakAwAADEFjY291bnQgbmFtZQmlAwAAAVr8///R////AgAAAAFZ/P//y/z//wEAAAAAAAaoAwAANVRhYmxlLkludmVudFBvc3RpbmcuTGVkZ2VyQWNjb3VudElkflRhYmxlLkxlZGdlclRhYmxlCbMAAAAJKwAAAAr/////CagDAAAKCbMAAAAGrQMAAA9MZWRnZXJBY2NvdW50SWQGrgMAAA1JbnZlbnRQb3N0aW5nCgkrAAAACbADAAAJKwAAAAHBAgAAWQEAAAFO/P//0/////////8ABrMDAAAGU3RyaW5nBrQDAAAPTG9jYWwgQWNjb3VudCAjCaUDAAABSvz//9H///8CAAAAAUn8///L/P//AQAAAAAACagDAAAJwQAAAAkrAAAACv////8JqAMAAAoJwQAAAAa9AwAAD0xlZGdlckFjY291bnRJZAa+AwAADUludmVudFBvc3RpbmcKCSsAAAAJwAMAAAkrAAAAAeYCAABZAQAAAT78///T/////////wAGwwMAAAZTdHJpbmcGxAMAABJMb2NhbCBBY2NvdW50IG5hbWUJpQMAAAE6/P//0f///wIAAAABOfz//8v8//8BAAAAAAAJqAMAAAnPAAAACSsAAAAK/////wmoAwAACgnPAAAABs0DAAAPTGVkZ2VyQWNjb3VudElkBs4DAAANSW52ZW50UG9zdGluZwoJKwAAAAnQAwAACSsAAAABCwMAAFkBAAABLvz//9P/////////AAbTAwAABEVudW0G1AMAABFMb2NrZWQgaW4gam91cm5hbAmlAwAAASr8///R////AgAAAAEp/P//y/z//wEAAAAAAAmoAwAACd0AAAAJKwAAAAr/////CagDAAAKCd0AAAAG3QMAAA9MZWRnZXJBY2NvdW50SWQG3gMAAA1JbnZlbnRQb3N0aW5nCgkrAAAACeADAAAJKwAAAAUz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dAAAABuIDAAANSW52ZW50UG9zdGluZwbjAwAAGUludmVudG9yeSwgTGVkZ2VyIHBvc3RpbmcJKwAAAAkrAAAACSsAAAAFG/z//zBHbG9iZVNvZnR3YXJlLkF0bGFzNDAuQXRsYXNDb21tb24uRGF0YVNvdXJjZVR5cGUBAAAAB3ZhbHVlX18ACA4AAAAAAAAACeYDAAAJ5wMAAAQY/P//C1N5c3RlbS5HdWlkCwAAAAJfYQJfYgJfYwJfZAJfZQJfZgJfZwJfaAJfaQJfagJfawAAAAAAAAAAAAAACAcHAgICAgICAgIAxqSVEGpBR4ueoSrR2ZUVCSsAAAAJKwAAAAnqAwAACTYDAAAKCgoKCgEAAAAFFPz//zRHbG9iZVNvZnR3YXJlLkF0bGFzNDAuQXRsYXNDb21tb24uRGF0YVNvdXJjZUpvaW5Nb2RlAQAAAAd2YWx1ZV9fAAgOAAAAAAAAAAUT/P//NUdsb2JlU29mdHdhcmUuQXRsYXM0MC5BdGxhc0NvbW1vbi5EYXRhU291cmNlRmV0Y2hNb2RlAQAAAAd2YWx1ZV9fAAgOAAAAAAAAAAAJ7gMAAAE8AwAAKAAAAKkAAAAJ8gAAAAMAAAAJ8AMAAAFKAwAAKAAAAKkAAAAJ8gAAAAMAAAAJ8gMAAAFYAwAAKAAAAKkAAAAJ8gAAAAMAAAAJ9AMAAAFdAwAAMwMAAP////8G9QMAAAtJbnZlbnRUYWJsZQb2AwAABUl0ZW1zCSsAAAAJKwAAAAkrAAAAAQj8//8b/P//AAAAAAn5AwAACfoDAAABBfz//xj8//+atA3dXcMuRYRErIWtskT8CSsAAAAJKwAAAAn9AwAACWADAAAG/wMAAA1JbnZlbnRQb3N0aW5nBgAEAAATVGFibGUuSW52ZW50UG9zdGluZwYBBAAAIFRhYmxlLkludmVudFBvc3RpbmcuSXRlbVJlbGF0aW9uBgIEAAAMSXRlbVJlbGF0aW9uBgMEAAAGSXRlbUlkAQAAAAH8+///FPz//wEAAAAB+/v//xP8//8AAAAAAAkGBAAAAWgDAAAoAAAAEAAAAAkBAQAAAwAAAAkIBAAAAXYDAAAoAAAAqQAAAAnyAAAAAwAAAAkKBAAAAYQDAAAoAAAAqQAAAAnyAAAAAwAAAAkMBAAAAYkDAAAzAwAA/////wYNBAAADUludmVudFBvc3RpbmcGDgQAABlJbnZlbnRvcnksIExlZGdlciBwb3N0aW5nCSsAAAAJKwAAAAkrAAAAAfD7//8b/P//AAAAAAkRBAAACRIEAAAB7fv//xj8///tAZlEwpGxQJrVT2BNBq87CSsAAAAJKwAAAAkVBAAACYwDAAAKCgoKCgEAAAAB6fv//xT8//8AAAAAAej7//8T/P//AAAAAAAJGQQAAAGSAwAAKAAAAB4AAAAJFAEAAAMAAAAJGwQAAAGgAwAAKAAAAKkAAAAJ8gAAAAMAAAAJHQQAAAGlAwAAMwMAAP////8GHgQAAAtMZWRnZXJUYWJsZQYfBAAAGExlZGdlciBjaGFydCBvZiBhY2NvdW50cwkrAAAACSsAAAAJKwAAAAHf+///G/z//wAAAAAJIgQAAAkjBAAAAdz7//8Y/P//p/j725HG6Emg1JcMSWldQgkrAAAACSsAAAAJJgQAAAmoAwAABigEAAANSW52ZW50UG9zdGluZwYpBAAAE1RhYmxlLkludmVudFBvc3RpbmcGKgQAACNUYWJsZS5JbnZlbnRQb3N0aW5nLkxlZGdlckFjY291bnRJZAYrBAAAD0xlZGdlckFjY291bnRJZAYsBAAACkFjY291bnROdW0BAAAAAdP7//8U/P//AQAAAAHS+///E/z//wAAAAAACS8EAAABsAMAACgAAAAQAAAACQEBAAADAAAACTEEAAABwAMAACgAAAAQAAAACQEBAAADAAAACTMEAAAB0AMAACgAAAAQAAAACQEBAAADAAAACTUEAAAB4AMAACgAAAAQAAAACQEBAAADAAAACTcEAAAE5g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OAQAAAcAAAAJOQQAAATn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gEAAAAAAAABO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4BAAAAAAAAATu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7BAAAAAAAAAfw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T7//+8/v//Bj0EAAAISGVscFRleHQGPgQAACJBY2NvdW50IHR5cGUgdGhhdCBoYXMgYmVlbiBzZXQgdXAuAcH7//+8/v//BkAEAAAFTGFiZWwJMgMAAAG++///vP7//wZDBAAABFR5cGUJMQMAAAf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7//+8/v//CT0EAAAGRwQAABxJdGVtIGNvZGUgKGl0ZW0sIGdyb3VwLCBhbGwpAbj7//+8/v//CUAEAAAJQAMAAAG1+///vP7//wlDBAAACT8DAAAH9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///vP7//wk9BAAABlAEAAAZSXRlbSBudW1iZXIgb3IgaXRlbSBncm91cAGv+///vP7//wlABAAACU4DAAABrPv//7z+//8JQwQAAAlNAwAAAfkDAADmAwAAAQAAAAkBAQAAAwAAAAlYBAAAAfoDAADnAwAAAAAAAAkMAAAAAAAAAAH9AwAA6gMAAAAAAAAJAQEAAAAAAAABBgQAAO4DAAAAAAAACVsEAAAAAAAABwg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7z+//8GXQQAAAVMYWJlbAlcAwAAAaH7//+8/v//BmAEAAAEVHlwZQlbAwAABw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v//7z+//8JPQQAAAZkBAAAIkFjY291bnQgY29kZSAoYWNjb3VudCwgZ3JvdXAsIGFsbCkBm/v//7z+//8JQAQAAAlsAwAAAZj7//+8/v//CUMEAAAJawMAAAcM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7//+8/v//CT0EAAAGbQQAAB9BY2NvdW50IG51bWJlciBvciBhY2NvdW50IGdyb3VwAZL7//+8/v//CUAEAAAJegMAAAGP+///vP7//wlDBAAACXkDAAABEQQAAOYDAAAHAAAACXQEAAAHAAAACXUEAAABEgQAAOcDAAAAAAAACXYEAAAAAAAAARUEAADqAwAAAAAAAAl0BAAAAAAAAAEZBAAA7gMAAAAAAAAJeAQAAAAAAAAHG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///vP7//wZ6BAAABUxhYmVsCYgDAAABhPv//7z+//8GfQQAAARUeXBlCYcDAAAHH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///vP7//wk9BAAABoEEAAAlQWNjb3VudCBudW1iZXIgZm9yIHBvc3RpbmcgaW4gbGVkZ2VyLgF++///vP7//wlABAAACZYDAAABe/v//7z+//8JQwQAAAmVAwAAASIEAADmAwAABAAAAAkBAQAABwAAAAmJBAAAASMEAADnAwAAAAAAAAkMAAAAAAAAAAEmBAAA6gMAAAAAAAAJAQEAAAAAAAABLwQAAO4DAAAAAAAACVsEAAAAAAAABz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7z+//8JXQQAAAmkAwAAAXD7//+8/v//CWAEAAAJowMAAAc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37//+8/v//CV0EAAAJtAMAAAFq+///vP7//wlgBAAACbMDAAAHN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vP7//wldBAAACcQDAAABZPv//7z+//8JYAQAAAnDAwAABzc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v//7z+//8JXQQAAAnUAwAAAV77//+8/v//CWAEAAAJ0wMAAAE4BAAADAAAAAc5B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b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mBAAAJVRhYmxlLkludmVudFBvc3RpbmcuSW52ZW50QWNjb3VudFR5cGUJWQEAAAFY+///W/v//wapBAAAHFRhYmxlLkludmVudFBvc3RpbmcuSXRlbUNvZGUJhAEAAAFV+///W/v//wasBAAAIFRhYmxlLkludmVudFBvc3RpbmcuSXRlbVJlbGF0aW9uCawBAAABUvv//1v7//8GrwQAACBUYWJsZS5JbnZlbnRQb3N0aW5nLkN1c3RWZW5kQ29kZQn/AQAAAU/7//9b+///BrIEAAAkVGFibGUuSW52ZW50UG9zdGluZy5DdXN0VmVuZFJlbGF0aW9uCScCAAABTPv//1v7//8GtQQAAB5UYWJsZS5JbnZlbnRQb3N0aW5nLlRheEdyb3VwSWQJtgQAAAFJ+///W/v//wa4BAAAI1RhYmxlLkludmVudFBvc3RpbmcuTGVkZ2VyQWNjb3VudElkCXQCAAAEOw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1g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b7//9b+///BrsEAAA7VGFibGUuSW52ZW50UG9zdGluZy5JdGVtUmVsYXRpb25+VGFibGUuSW52ZW50VGFibGUuSXRlbU5hbWUJ1AEAAAFbBAAAOwQAAAF0BAAADAAAAAd1B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D+///W/v//wa+BAAAJVRhYmxlLkludmVudFBvc3RpbmcuSW52ZW50QWNjb3VudFR5cGUJWQEAAAFA+///W/v//wbBBAAAHFRhYmxlLkludmVudFBvc3RpbmcuSXRlbUNvZGUJhAEAAAE9+///W/v//wbEBAAAIFRhYmxlLkludmVudFBvc3RpbmcuSXRlbVJlbGF0aW9uCawBAAABOvv//1v7//8GxwQAACBUYWJsZS5JbnZlbnRQb3N0aW5nLkN1c3RWZW5kQ29kZQn/AQAAATf7//9b+///BsoEAAAkVGFibGUuSW52ZW50UG9zdGluZy5DdXN0VmVuZFJlbGF0aW9uCScCAAABNPv//1v7//8GzQQAACNUYWJsZS5JbnZlbnRQb3N0aW5nLkxlZGdlckFjY291bnRJZAl0AgAAATH7//9b+///BtAEAAAeVGFibGUuSW52ZW50UG9zdGluZy5UYXhHcm91cElkCU8CAAABdgQAAAwAAAABeAQAADsEAAAHi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vv//1v7//8G0wQAAEFUYWJsZS5JbnZlbnRQb3N0aW5nLkxlZGdlckFjY291bnRJZH5UYWJsZS5MZWRnZXJUYWJsZS5BY2NvdW50TmFtZQmcAgAAASv7//9b+///BtYEAABMVGFibGUuSW52ZW50UG9zdGluZy5MZWRnZXJBY2NvdW50SWR+VGFibGUuTGVkZ2VyVGFibGUuTGVkZ2VyQWNjb3VudExvY2FsX3NzdAnBAgAAASj7//9b+///BtkEAABQVGFibGUuSW52ZW50UG9zdGluZy5MZWRnZXJBY2NvdW50SWR+VGFibGUuTGVkZ2VyVGFibGUuTGVkZ2VyQWNjb3VudE5hbWVMb2NhbF9zc3QJ5gIAAAEl+///W/v//wbcBAAARlRhYmxlLkludmVudFBvc3RpbmcuTGVkZ2VyQWNjb3VudElkflRhYmxlLkxlZGdlclRhYmxlLkJsb2NrZWRJbkpvdXJuYWwJCwMAAAG2BAAAWQEAAAEi+///0/////////8ABt8EAAAGU3RyaW5nBuAEAAAPU2FsZXMgdGF4IGdyb3VwCTMDAAABHvv//9H///8CAAAAAR37///L/P//AQAAAAAACTYDAAAG5QQAAApUYXhHcm91cElkCSsAAAAK/////wk2AwAACgnlBAAACgoKCSsAAAAJ6gQAAAkrAAAAAeoEAAAoAAAACQAAAAnyAAAAAwAAAAntBAAAB+0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v//7z+//8JPQQAAAbwBAAAN1NhbGVzIHRheCBncm91cCBmb3IgdGhlIGdpdmVuIHRyYW5zYWN0aW9uIChibGFuayA9IGFsbCkBD/v//7z+//8JQAQAAAngBAAAAQz7//+8/v//CUMEAAAJ3wQAAAs=</Report>
</Atlas>
</file>

<file path=customXml/item15.xml><?xml version="1.0" encoding="utf-8"?>
<Atlas>
  <Report name="AtlasReport_1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EAAAAAkDAAAACQQAAAAGBQAAAA5BdGxhc1JlcG9ydF8xNg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gAAAAY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0CDBo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gAAAAgCAAAABhsAAAAWQXRsYXNSZXBvcnRfMTZfVGFibGVfMQkc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aAAAACAgJH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4AAAAJHwAAAAkgAAAABiEAAAAOQ29zdENhdGVnb3J5SWQGIgAAAAhDYXRlZ29yeQYjAAAABlN0cmluZwYkAAAAAAYlAAAAJGQ3YzJmYWE4LWFmOGQtNDVjMS04YTU2LTFiMmIxMWMyYmRiNwXa////LUdsb2JlU29mdHdhcmUuQXRsYXM0MC5BdGxhc0NvbW1vbi5BZ2dyZWdhdGlvbgEAAAAHdmFsdWVfXwAIDgAAAP////8AAAAABdn///8sR2xvYmVTb2Z0d2FyZS5BdGxhczQwLkF0bGFzQ29tbW9uLkNvbHVtblR5cGUBAAAAB3ZhbHVlX18ACA4AAAAAAAAABdj///8rR2xvYmVTb2Z0d2FyZS5BdGxhczQwLkF0bGFzQ29tbW9uLlNvcnRPcmRlcgEAAAAHdmFsdWVfXwAIDgAAAAIAAAAAAAAAAAXX////QEdsb2JlU29mdHdhcmUuQXRsYXM0MC5BdGxhc0NvbW1vbi5UeXBlLkNvbHVtbitDcm9zc1RhYkNvbHVtblR5cGUBAAAAB3ZhbHVlX18ACA4AAAAAAAAACgEAAAAAAAAAAAAAAAAABioAAAAkOWQ2OTE1OWEtODg1NC00Yjc0LTgxZmEtZjgyOThmNjNmNDhlBisAAAAmVGFibGUuUm91dGVDb3N0Q2F0ZWdvcnkuQ29zdENhdGVnb3J5SWQKCgoKARUAAAAUAAAACSwAAAAJLQAAAAkuAAAABi8AAAALQ29zdEdyb3VwSWQGMAAAAApDb3N0IGdyb3VwBjEAAAAGU3RyaW5nCSQAAAAGMwAAACQ4NDk4YTA0MC01MzJlLTQ0NzYtOWQ0Zi0xNDkwM2EwNzJlZTEBzP///9r/////////AQAAAAHL////2f///wAAAAAByv///9j///8CAAAAAAAAAAAByf///9f///8AAAAACgEAAAAAAAAAAAEAAAAABjgAAAAkMzZlYzY2MzctNjBkMC00NTYyLWI3NWMtMTgzYWMwNzI4M2IxBjkAAAAjVGFibGUuUm91dGVDb3N0Q2F0ZWdvcnkuQ29zdEdyb3VwSWQKCgoKARYAAAAUAAAACToAAAAJOwAAAAk8AAAABj0AAAAPQWNjb3VudFdJUElzc3VlBj4AAAAJV0lQIGlzc3VlBj8AAAAGU3RyaW5nCSQAAAAGQQAAACRmOWM1YmU2Ny0zNzI5LTQ2YjUtOWI1ZS04ODA4MTU0ZmMzNzABvv///9r/////////AgAAAAG9////2f///wAAAAABvP///9j///8CAAAAAAAAAAABu////9f///8AAAAACgEAAAAAAAAAAAIAAAAABkYAAAAkZTU3MTg2NDMtYTJmYy00YTE1LTkwNTgtNjU1MjA4NWJkYWM0BkcAAAAnVGFibGUuUm91dGVDb3N0Q2F0ZWdvcnkuQWNjb3VudFdJUElzc3VlCgoKCgEXAAAAFAAAAAlIAAAACUkAAAAJSgAAAAZLAAAAE0FjY291bnRXSVBWYWx1YXRpb24GTAAAAAtXSVAgYWNjb3VudAZNAAAABlN0cmluZwkkAAAABk8AAAAkZjc4NWEwOWMtOTgxYy00OTBhLWFmMDYtZWJlNGVjZWNhMGIwAbD////a/////////wMAAAABr////9n///8AAAAAAa7////Y////AgAAAAAAAAAAAa3////X////AAAAAAoBAAAAAAAAAAADAAAAAAZUAAAAJGI1M2ZhY2FjLWY1ZjUtNGIxMi1hMWFlLWNjN2Q4YjkxM2JlOAZVAAAAK1RhYmxlLlJvdXRlQ29zdENhdGVnb3J5LkFjY291bnRXSVBWYWx1YXRpb24KCgoKARgAAAAUAAAACVYAAAAJVwAAAAlYAAAABlkAAAASQWNjb3VudFdya0N0cklzc3VlBloAAAASV29yayBjZW50ZXIgaXNzdWVzBlsAAAAGU3RyaW5nCSQAAAAGXQAAACQ0MGJmOGRhYS0yNWIwLTQ3NTUtOWRlMy04MjRiMDg3NjcxNDcBov///9r/////////BAAAAAGh////2f///wAAAAABoP///9j///8CAAAAAAAAAAABn////9f///8AAAAACgEAAAAAAAAAAAQAAAAABmIAAAAkYmI2YmU0YTgtMzIzMi00MzA5LWI1YTgtZjM3YzNjZGQ1ODFjBmMAAAAqVGFibGUuUm91dGVDb3N0Q2F0ZWdvcnkuQWNjb3VudFdya0N0cklzc3VlCgoKCgEZAAAAFAAAAAlkAAAACWUAAAAJZgAAAAZnAAAAGEFjY291bnRXcmtDdHJJc3N1ZU9mZnNldAZoAAAAIldvcmsgY2VudGVyIGlzc3Vlcywgb2Zmc2V0IGFjY291bnQGaQAAAAZTdHJpbmcJJAAAAAZrAAAAJDE2MGQ5NjdmLTYxODItNDJlNS1hNTJmLTBmOTJiODc4ZDRhMAGU////2v////////8FAAAAAZP////Z////AAAAAAGS////2P///wIAAAAAAAAAAAGR////1////wAAAAAKAQAAAAAAAAAABQAAAAAGcAAAACQ5NWU1MzJhYy05M2NiLTQxMGMtYWM3Ny04ZjliYmI5MGJiMjYGcQAAADBUYWJsZS5Sb3V0ZUNvc3RDYXRlZ29yeS5BY2NvdW50V3JrQ3RySXNzdWVPZmZzZXQ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109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XcAAAAHAAAACXgAAAABLAAAAB4AAAAJeQAAAAEAAAABAAAAAS0AAAAfAAAAPAAAAAl1AAAABwAAAAl7AAAAAS4AAAAgAAAAOAAAAAl3AAAABwAAAAl9AAAAAToAAAAeAAAACX4AAAABAAAAAQAAAAE7AAAAHwAAADwAAAAJdQAAAAcAAAAJgAAAAAE8AAAAIAAAADgAAAAJdwAAAAcAAAAJggAAAAFIAAAAHgAAAAmDAAAAAQAAAAEAAAABSQAAAB8AAAA8AAAACXUAAAAHAAAACYUAAAABSgAAACAAAAA4AAAACXcAAAAHAAAACYcAAAABVgAAAB4AAAAJiAAAAAEAAAABAAAAAVcAAAAfAAAAPAAAAAl1AAAABwAAAAmKAAAAAVgAAAAgAAAAOAAAAAl3AAAABwAAAAmMAAAAAWQAAAAeAAAACY0AAAABAAAAAQAAAAFlAAAAHwAAADwAAAAJdQAAAAcAAAAJjwAAAAFmAAAAIAAAADgAAAAJdwAAAAcAAAAJkQAAAA9yAAAAAQAAAAgBAAAABXMAAAA8R2xvYmVTb2Z0d2FyZS5BdGxhczQwLkF0bGFzQ29tbW9uQ2xpZW50LkRhdGFTb3VyY2VGaWVsZFZhbHVlBAAAABJfaXNEcmlsbERvd25GaWx0ZXIGX2RzS2V5Cl9maWVsZG5hbWULX2ZpZWxkVmFsdWUAAQEBARoAAAAABpIAAAAXVGFibGUuUm91dGVDb3N0Q2F0ZWdvcnkGkwAAAApEYXRhQXJlYUlkCQYAAAAHdAAAAAABAAAABAAAAAQ3R2xvYmVTb2Z0d2FyZS5BdGxhczQwLkF0bGFzQ29tbW9uLlR5cGUuRmllbGRPdXRwdXRGaWVsZA4AAAAJlQAAAA0DBH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Y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q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n///8yR2xvYmVTb2Z0d2FyZS5BdGxhczQwLkF0bGFzQ29tbW9uLkNvbHVtbkF0dHJpYnV0ZXMBAAAAB3ZhbHVlX18ACA4AAAAGAAAABpgAAAAFVG90YWwBZ////2r///8BZv///2n///8QAAAABpsAAAAETm9uZQFk////av///wFj////af///wkAAAAJJAAAAAFh////av///wFg////af///wsAAAAGoQAAAAEwAV7///9q////AV3///9p////BAAAAAakAAAAB0dlbmVyYWwBW////2r///8BWv///2n///8CAAAABqcAAAABMQFY////av///wFX////af///wAAAAAGqgAAAAUyNS40MwF3AAAADAAAAAd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rAAAAAhGb250Qm9sZAatAAAABUZhbHNlAVL///9V////Bq8AAAAKRm9udEl0YWxpYwmtAAAAAU////9V////BrIAAAANRm9udFVuZGVybGluZQazAAAABS00MTQyAUz///9V////BrUAAAAIRm9udE5hbWUGtgAAAAdDYWxpYnJpAUn///9V////BrgAAAAJRm9udENvbG9yBrkAAAABMAFG////Vf///wa7AAAACEZvbnRTaXplBrwAAAACMTEBQ////1X///8GvgAAAAlGb250U3R5bGUGvwAAAAdSZWd1bGFyB3kAAAAAAQAAAAQAAAAEN0dsb2JlU29mdHdhcmUuQXRsYXM0MC5BdGxhc0NvbW1vbi5UeXBlLkZpZWxkT3V0cHV0RmllbGQOAAAACcAAAAANAw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///2r///8BPv///2n///8QAAAACZsAAAABPP///2r///8BO////2n///8JAAAACSQAAAABOf///2r///8BOP///2n///8LAAAABskAAAABMQE2////av///wE1////af///wQAAAAGzAAAAAdHZW5lcmFsATP///9q////ATL///9p////AgAAAAbPAAAAATEBMP///2r///8BL////2n///8AAAAABtIAAAACMTI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///Vf///wmsAAAACa0AAAABKv///1X///8JrwAAAAmtAAAAASf///9V////CbIAAAAG2wAAAAUtNDE0MgEk////Vf///wm1AAAABt4AAAAHQ2FsaWJyaQEh////Vf///wm4AAAABuEAAAABMAEe////Vf///wm7AAAABuQAAAACMTEBG////1X///8JvgAAAAbnAAAAB1JlZ3VsYXIHfgAAAAABAAAABAAAAAQ3R2xvYmVTb2Z0d2FyZS5BdGxhczQwLkF0bGFzQ29tbW9uLlR5cGUuRmllbGRPdXRwdXRGaWVsZA4AAAAJ6AAAAA0DB4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///av///wEW////af///xAAAAAJmwAAAAEU////av///wET////af///wkAAAAJJAAAAAER////av///wEQ////af///wsAAAAG8QAAAAEyAQ7///9q////AQ3///9p////BAAAAAb0AAAAB0dlbmVyYWwBC////2r///8BCv///2n///8CAAAABvcAAAABMQEI////av///wEH////af///wAAAAAG+gAAAAUxMS4yOQ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///9V////CawAAAAJrQAAAAEC////Vf///wmvAAAACa0AAAAB//7//1X///8JsgAAAAYDAQAABS00MTQyAfz+//9V////CbUAAAAGBgEAAAdDYWxpYnJpAfn+//9V////CbgAAAAGCQEAAAEwAfb+//9V////CbsAAAAGDAEAAAIxMQHz/v//Vf///wm+AAAABg8BAAAHUmVndWxhcgeDAAAAAAEAAAAEAAAABDdHbG9iZVNvZnR3YXJlLkF0bGFzNDAuQXRsYXNDb21tb24uVHlwZS5GaWVsZE91dHB1dEZpZWxkDgAAAAkQAQAADQMHh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/+//9q////Ae7+//9p////EAAAAAmbAAAAAez+//9q////Aev+//9p////CQAAAAkkAAAAAen+//9q////Aej+//9p////CwAAAAYZAQAAATMB5v7//2r///8B5f7//2n///8EAAAABhwBAAAHR2VuZXJhbAHj/v//av///wHi/v//af///wIAAAAGHwEAAAExAeD+//9q////Ad/+//9p////AAAAAAYiAQAABTEzLjU3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7//1X///8JrAAAAAmtAAAAAdr+//9V////Ca8AAAAJrQAAAAHX/v//Vf///wmyAAAABisBAAAFLTQxNDIB1P7//1X///8JtQAAAAYuAQAAB0NhbGlicmkB0f7//1X///8JuAAAAAYxAQAAATABzv7//1X///8JuwAAAAY0AQAAAjExAcv+//9V////Cb4AAAAGNwEAAAdSZWd1bGFyB4gAAAAAAQAAAAQAAAAEN0dsb2JlU29mdHdhcmUuQXRsYXM0MC5BdGxhc0NvbW1vbi5UeXBlLkZpZWxkT3V0cHV0RmllbGQOAAAACTgB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2r///8Bxv7//2n///8QAAAACZsAAAABxP7//2r///8Bw/7//2n///8JAAAACSQAAAABwf7//2r///8BwP7//2n///8LAAAABkEBAAABNAG+/v//av///wG9/v//af///wQAAAAGRAEAAAdHZW5lcmFsAbv+//9q////Abr+//9p////AgAAAAZHAQAAATEBuP7//2r///8Bt/7//2n///8AAAAABkoBAAAFMTkuNzE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xAAAAAJmwAAAAGc/v//av///wGb/v//af///wkAAAAJJAAAAAGZ/v//av///wGY/v//af///wsAAAAGaQEAAAE1AZb+//9q////AZX+//9p////BAAAAAZsAQAAB0dlbmVyYWwBk/7//2r///8Bkv7//2n///8CAAAABm8BAAABMQGQ/v//av///wGP/v//af///wAAAAAGcgEAAAUzMy43M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9V////CawAAAAJrQAAAAGK/v//Vf///wmvAAAACa0AAAABh/7//1X///8JsgAAAAZ7AQAABS00MTQyAYT+//9V////CbUAAAAGfgEAAAdDYWxpYnJpAYH+//9V////CbgAAAAGgQEAAAEwAX7+//9V////CbsAAAAGhAEAAAIxMQF7/v//Vf///wm+AAAABoc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4/v//2v////////8ABokBAAAGU3RyaW5nBooBAAAIQ2F0ZWdvcnkJiwEAAAF0/v//2P///wIAAAAFc/7//zlHbG9iZVNvZnR3YXJlLkF0bGFzNDAuQXRsYXNDb21tb24uTnVtYmVyU2VxdWVuY2VDb25kaXRpb24BAAAAB3ZhbHVlX18ACA4AAAABAAAAAAAGjgEAABdUYWJsZS5Sb3V0ZUNvc3RDYXRlZ29yeQkhAAAACSQAAAAK/////wmOAQAACgkhAAAACgoKCSQAAAAJlAEAAAkkAAAAAcAAAACVAAAAAWr+///a/////////wAGlwEAAAZTdHJpbmcGmAEAAApDb3N0IGdyb3VwCYsBAAABZv7//9j///8CAAAAAWX+//9z/v//AQAAAAAACY4BAAAJLwAAAAkkAAAACv////8JjgEAAAoJLwAAAAoKCgkkAAAACaIBAAAJJAAAAAHoAAAAlQAAAAFc/v//2v////////8ABqUBAAAGU3RyaW5nBqYBAAAJV0lQIGlzc3VlCYsBAAABWP7//9j///8CAAAAAVf+//9z/v//AQAAAAAACY4BAAAJPQAAAAkkAAAACv////8JjgEAAAoJPQAAAAoKCgkkAAAACbABAAAJJAAAAAEQAQAAlQAAAAFO/v//2v////////8ABrMBAAAGU3RyaW5nBrQBAAALV0lQIGFjY291bnQJiwEAAAFK/v//2P///wIAAAABSf7//3P+//8BAAAAAAAJjgEAAAlLAAAACSQAAAAK/////wmOAQAACglLAAAACgoKCSQAAAAJvgEAAAkkAAAAATgBAACVAAAAAUD+///a/////////wAGwQEAAAZTdHJpbmcGwgEAABJXb3JrIGNlbnRlciBpc3N1ZXMJiwEAAAE8/v//2P///wIAAAABO/7//3P+//8BAAAAAAAJjgEAAAlZAAAACSQAAAAK/////wmOAQAACglZAAAACgoKCSQAAAAJzAEAAAkkAAAAAWABAACVAAAAATL+///a/////////wAGzwEAAAZTdHJpbmcG0AEAACJXb3JrIGNlbnRlciBpc3N1ZXMsIG9mZnNldCBhY2NvdW50CYsBAAABLv7//9j///8CAAAAAS3+//9z/v//AQAAAAAACY4BAAAJZwAAAAkkAAAACv////8JjgEAAAoJZwAAAAoKCgkkAAAACdoBAAAJJAAAAAWL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rAAAABtwBAAARUm91dGVDb3N0Q2F0ZWdvcnkG3QEAAA9Db3N0IGNhdGVnb3JpZXMJJAAAAAkkAAAACSQAAAAFIf7//zBHbG9iZVNvZnR3YXJlLkF0bGFzNDAuQXRsYXNDb21tb24uRGF0YVNvdXJjZVR5cGUBAAAAB3ZhbHVlX18ACA4AAAAAAAAACeABAAAJ4QEAAAQe/v//C1N5c3RlbS5HdWlkCwAAAAJfYQJfYgJfYwJfZAJfZQJfZgJfZwJfaAJfaQJfagJfawAAAAAAAAAAAAAACAcHAgICAgICAgKSEUgrNn6jTLHnSJct7H7PCSQAAAAJJAAAAAnkAQAACY4BAAAKCgoKCgEAAAAFGv7//zRHbG9iZVNvZnR3YXJlLkF0bGFzNDAuQXRsYXNDb21tb24uRGF0YVNvdXJjZUpvaW5Nb2RlAQAAAAd2YWx1ZV9fAAgOAAAAAAAAAAUZ/v//NUdsb2JlU29mdHdhcmUuQXRsYXM0MC5BdGxhc0NvbW1vbi5EYXRhU291cmNlRmV0Y2hNb2RlAQAAAAd2YWx1ZV9fAAgOAAAAAAAAAAAJ6AEAAAGUAQAAIAAAACkAAAAJdwAAAAMAAAAJ6gEAAAGiAQAAIAAAACkAAAAJdwAAAAMAAAAJ7AEAAAGwAQAAIAAAACkAAAAJdwAAAAMAAAAJ7gEAAAG+AQAAIAAAACkAAAAJdwAAAAMAAAAJ8AEAAAHMAQAAIAAAACkAAAAJdwAAAAMAAAAJ8gEAAAHaAQAAIAAAACkAAAAJdwAAAAMAAAAJ9AEAAATg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n1AQAAEQAAAAn2AQAABOE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QEAAAAAAAAE5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UBAAAAAAAABOg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fgBAAAAAAAAB+o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1X///8G+gEAAAhIZWxwVGV4dAb7AQAADUNvc3QgY2F0ZWdvcnkBBP7//1X///8G/QEAAAVMYWJlbAmKAQAAAQH+//9V////BgACAAAEVHlwZQmJAQAAB+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3//1X///8J+gEAAAYEAgAAIElkZW50aWZpY2F0aW9uIG9mIHRoZSBjb3N0IGdyb3VwAfv9//9V////Cf0BAAAJmAEAAAH4/f//Vf///wkAAgAACZcBAAAH7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/f//Vf///wn6AQAABg0CAAA2SXNzdWVzIGFjY291bnQgZm9yIHdvcmsgY2VudGVyIGNvbnN1bXB0aW9uIGluIHByb2Nlc3MuAfL9//9V////Cf0BAAAJpgEAAAHv/f//Vf///wkAAgAACaUBAAAH8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Vf///wn6AQAABhYCAAA2UmVjZWlwdCBhY2NvdW50IGZvciB3b3JrIGNlbnRlciBjb25zdW1wdGlvbiBpbiBwcm9jZXNzAen9//9V////Cf0BAAAJtAEAAAHm/f//Vf///wkAAgAACbMBAAAH8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f//Vf///wn6AQAABh8CAAArTGVkZ2VyIGFjY291bnQgZm9yIHdvcmsgY2VudGVyIGNvbnN1bXB0aW9uLgHg/f//Vf///wn9AQAACcIBAAAB3f3//1X///8JAAIAAAnBAQAAB/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3//1X///8J+gEAAAYoAgAAMk9mZnNldCBsZWRnZXIgYWNjb3VudCBmb3Igd29yayBjZW50ZXIgY29uc3VtcHRpb24uAdf9//9V////Cf0BAAAJ0AEAAAHU/f//Vf///wkAAgAACc8BAAAB9QEAAAwAAAAH9gE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0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AIAACZUYWJsZS5Sb3V0ZUNvc3RDYXRlZ29yeS5Db3N0Q2F0ZWdvcnlJZAmVAAAAAc79///R/f//BjMCAAAhVGFibGUuUm91dGVDb3N0Q2F0ZWdvcnkuQ29zdFByaWNlCTQCAAABy/3//9H9//8GNgIAACNUYWJsZS5Sb3V0ZUNvc3RDYXRlZ29yeS5Db3N0R3JvdXBJZAnAAAAAAcj9///R/f//BjkCAAAeVGFibGUuUm91dGVDb3N0Q2F0ZWdvcnkuRW1wbElkCToCAAABxf3//9H9//8GPAIAACdUYWJsZS5Sb3V0ZUNvc3RDYXRlZ29yeS5BY2NvdW50V0lQSXNzdWUJ6AAAAAHC/f//0f3//wY/AgAAK1RhYmxlLlJvdXRlQ29zdENhdGVnb3J5LkFjY291bnRXSVBWYWx1YXRpb24JEAEAAAG//f//0f3//wZCAgAAKlRhYmxlLlJvdXRlQ29zdENhdGVnb3J5LkFjY291bnRXcmtDdHJJc3N1ZQk4AQAAAbz9///R/f//BkUCAAAwVGFibGUuUm91dGVDb3N0Q2F0ZWdvcnkuQWNjb3VudFdya0N0cklzc3VlT2Zmc2V0CWABAAAE+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TQCAACVAAAAAbn9///a/////////wAGSAIAAARSZWFsBkkCAAAKQ29zdCBwcmljZQmLAQAAAbX9///Y////AgAAAAG0/f//c/7//wEAAAAAAAmOAQAABk4CAAAJQ29zdFByaWNlCSQAAAAK/////wmOAQAACglOAgAACgoKCSQAAAAJUwIAAAkkAAAAAToCAACVAAAAAav9///a/////////wAGVgIAAAZTdHJpbmcGVwIAAAhFbXBsb3llZQmLAQAAAaf9///Y////AgAAAAGm/f//c/7//wEAAAAAAAmOAQAABlwCAAAGRW1wbElkCSQAAAAK/////wmOAQAACglcAgAACgoKCSQAAAAJYQIAAAkkAAAAAVMCAAAgAAAADwAAAAl3AAAAAwAAAAlkAgAAAWECAAAgAAAADwAAAAl3AAAAAwAAAAlmAgAAB2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1X///8J+gEAAAZpAgAAFENvc3QgcHJpY2UgcGVyIGhvdXIuAZb9//9V////Cf0BAAAJSQIAAAGT/f//Vf///wkAAgAACUgCAAAHZ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Vf///wn6AQAABnICAAAiRW1wbG95ZWUgcHJvcG9zZWQgZm9yIHRyYW5zYWN0aW9ucwGN/f//Vf///wn9AQAACVcCAAABiv3//1X///8JAAIAAAlWAgAACw==</Report>
</Atlas>
</file>

<file path=customXml/item16.xml><?xml version="1.0" encoding="utf-8"?>
<Atlas>
  <Query type="ReportList" id="79c64087-56ad-4afe-a68d-9052feb3531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8AAAAP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TGVkZ2VyVGFibGUGHgAAABhMZWRnZXIgY2hhcnQgb2YgYWNjb3VudHMJCAAAAAkIAAAACQgAAAAF4P///zBHbG9iZVNvZnR3YXJlLkF0bGFzNDAuQXRsYXNDb21tb24uRGF0YVNvdXJjZVR5cGUBAAAAB3ZhbHVlX18ACAIAAAAAAAAACSEAAAAJIgAAAATd////C1N5c3RlbS5HdWlkCwAAAAJfYQJfYgJfYwJfZAJfZQJfZgJfZwJfaAJfaQJfagJfawAAAAAAAAAAAAAACAcHAgICAgICAgJC71XUQfNdQZgXtPEwNPGsCQgAAAAJCAAAAAklAAAABiYAAAARVGFibGUuTGVkZ2Vy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QAAAABC1HbG9iZVNvZnR3YXJlLkF0bGFzNDAuQXRsYXNDb21tb24uVHlwZS5Db2x1bW4CAAAACS8AAAAJMAAAAAkxAAAACTIAAAAJMwAAAAk0AAAACTUAAAAJNgAAAAk3AAAACTgAAAAJOQAAAAk6AAAACTsAAAAJPAAAAAk9AAAAChEVAAAABAAAAAY+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H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/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7///8+R2xvYmVTb2Z0d2FyZS5BdGxhczQwLkF0bGFzQ29tbW9uLlR5cGUuQXRsYXNRdWVyeUF0dHJpYnV0ZU5hbWUBAAAAB3ZhbHVlX18ACAIAAAACAAAABkMAAAAkNzljNjQwODctNTZhZC00YWZlLWE2OGQtOTA1MmZlYjM1MzE4Abz///+/////Abv///++////AAAAAAZGAAAABFRydWUBuf///7////8BuP///77///8LAAAABkkAAAAYTGVkZ2VyIGNoYXJ0IG9mIGFjY291bnRzAbb///+/////AbX///++////GwAAAAZMAAAABUZhbHNlAbP///+/////AbL///++////BgAAAAlMAAAAAbH///+/////AbD///++////HAAAAAlGAAAAAa7///+/////Aa3///++////HQAAAAlMAAAAAav///+/////Aar///++////KgAAAAlGAAAAAaj///+/////Aaf///++////CQAAAAoBpv///7////8Bpf///77///8ZAAAABlwAAAAPQ2VsbHNWZXJ0aWNhbGx5AaP///+/////AaL///++////AQAAAAZfAAAAAzM3MQGg////v////wGf////vv///ycAAAAGYgAAAAs9RGF0YUFyZWFJZAGd////v////wGc////vv///ygAAAAGZQAAAAIxNQGa////v////wGZ////vv///ysAAAAGa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qAAAAC0xlZGdlcl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rAAAAEQAAAAls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s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8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cAAAAAlxAAAACXIAAAAGcwAAAApBY2NvdW50TnVtBnQAAAAOTGVkZ2VyIGFjY291bnQGdQAAAAZTdHJpbmcJCAAAAAZ3AAAAJGY5OTFhZWJkLWIzNGYtNGFjYS1hNWY0LTlkMGE1OTJjNjBkNAWI////LUdsb2JlU29mdHdhcmUuQXRsYXM0MC5BdGxhc0NvbW1vbi5BZ2dyZWdhdGlvbgEAAAAHdmFsdWVfXwAIAgAAAP////8AAAAABYf///8sR2xvYmVTb2Z0d2FyZS5BdGxhczQwLkF0bGFzQ29tbW9uLkNvbHVtblR5cGUBAAAAB3ZhbHVlX18ACAIAAAAAAAAABYb///8rR2xvYmVTb2Z0d2FyZS5BdGxhczQwLkF0bGFzQ29tbW9uLlNvcnRPcmRlcgEAAAAHdmFsdWVfXwAIAgAAAAAAAAAAAAAAAAWF////QEdsb2JlU29mdHdhcmUuQXRsYXM0MC5BdGxhc0NvbW1vbi5UeXBlLkNvbHVtbitDcm9zc1RhYkNvbHVtblR5cGUBAAAAB3ZhbHVlX18ACAIAAAAAAAAACgEAAAAAAAAAAAAAAAAABnwAAAAkYzZhOGNjOWMtYzc4ZS00MWRiLWJmZDktNDcxM2YxNWVjZjliBn0AAAAcVGFibGUuTGVkZ2VyVGFibGUuQWNjb3VudE51bQoKCgoBMAAAAC8AAAAJfgAAAAl/AAAACYAAAAAGgQAAAAtBY2NvdW50TmFtZQaCAAAADEFjY291bnQgbmFtZQaDAAAABlN0cmluZwkIAAAABoUAAAAkZGY1MmI2ZDAtYjcxYi00OWMyLWExOWYtODM5MTAzZTIxYWU0AXr///+I/////////wEAAAABef///4f///8AAAAAAXj///+G////AgAAAAAAAAAAAXf///+F////AAAAAAoBAAAAAAAAAAABAAAAAAaKAAAAJGE4ZmJkNTI5LTFhYjktNDU3ZC1iNDAwLTViZjc3ODJkMzRlYQaLAAAAHVRhYmxlLkxlZGdlclRhYmxlLkFjY291bnROYW1lCgoKCgExAAAALwAAAAmMAAAACY0AAAAJjgAAAAaPAAAAFkxlZGdlckFjY291bnRMb2NhbF9zc3QGkAAAAA9Mb2NhbCBBY2NvdW50ICMGkQAAAAZTdHJpbmcJCAAAAAaTAAAAJGQ3ZDRmZmZhLTJjN2ItNGM1YS1hZjU5LTdlNTdmNTNhM2I2NgFs////iP////////8CAAAAAWv///+H////AAAAAAFq////hv///wIAAAAAAAAAAAFp////hf///wAAAAAKAQAAAAAAAAAAAgAAAAAGmAAAACRmN2U3ZWYxNi0zNDkwLTRiZjgtYTJkMS0xMDRkNjc2NDM0YjcGmQAAAChUYWJsZS5MZWRnZXJUYWJsZS5MZWRnZXJBY2NvdW50TG9jYWxfc3N0CgoKCgEyAAAALwAAAAmaAAAACZsAAAAJnAAAAAadAAAAGkxlZGdlckFjY291bnROYW1lTG9jYWxfc3N0Bp4AAAASTG9jYWwgQWNjb3VudCBuYW1lBp8AAAAGU3RyaW5nCQgAAAAGoQAAACQ4MmIzYTE5MS0wNWQ2LTRiMTQtYjkxOC00NDQxYTU3ZTg3OTABXv///4j/////////AwAAAAFd////h////wAAAAABXP///4b///8CAAAAAAAAAAABW////4X///8AAAAACgEAAAAAAAAAAAMAAAAABqYAAAAkMzYwNjk1NDgtYjcyZi00ZjIxLThkZWMtNTQ5ZTdiMTY2YmRkBqcAAAAsVGFibGUuTGVkZ2VyVGFibGUuTGVkZ2VyQWNjb3VudE5hbWVMb2NhbF9zc3QKCgoKATMAAAAvAAAACagAAAAJqQAAAAmqAAAABqsAAAANQWNjb3VudFBsVHlwZQasAAAADEFjY291bnQgdHlwZQatAAAABEVudW0JCAAAAAavAAAAJGQ5MzRiYmQwLWEzYjMtNDE4MS04OWQ1LWZlMmFjOGI0N2FkMwFQ////iP////////8EAAAAAU////+H////AAAAAAFO////hv///wIAAAAAAAAAAAFN////hf///wAAAAAKAQAAAAAAAAAABAAAAAAGtAAAACRhNTA1MzdmNy0xOGI3LTQyZTgtYTQyZi1kZDhhODhjNDI0NGQGtQAAAB9UYWJsZS5MZWRnZXJUYWJsZS5BY2NvdW50UGxUeXBlCgoKCgE0AAAALwAAAAm2AAAACbcAAAAJuAAAAAa5AAAAEEJsb2NrZWRJbkpvdXJuYWwGugAAABFMb2NrZWQgaW4gam91cm5hbAa7AAAABEVudW0JCAAAAAa9AAAAJGFkZDVmMTVjLWY2MmYtNDY2Yi1iMzM4LTA1OGU0Yjc2NGZmNQFC////iP////////8FAAAAAUH///+H////AAAAAAFA////hv///wIAAAAAAAAAAAE/////hf///wAAAAAKAQAAAAAAAAAABQAAAAAGwgAAACRlMGZjMDhjZC1jYjQ1LTQ1Y2UtODRkYi0xNGNkMjBkMGIwZTMGwwAAACJUYWJsZS5MZWRnZXJUYWJsZS5CbG9ja2VkSW5Kb3VybmFsCgoKCgE1AAAALwAAAAnEAAAACcUAAAAJxgAAAAbHAAAABkNsb3NlZAbIAAAABkNsb3NlZAbJAAAABEVudW0JCAAAAAbLAAAAJGE4ZTI2N2Q3LWI2YWYtNGRkYS1iZTk0LTM5ZDQxODM5MDRjNQE0////iP////////8GAAAAATP///+H////AAAAAAEy////hv///wIAAAAAAAAAAAEx////hf///wAAAAAKAQAAAAAAAAAABgAAAAAG0AAAACQ5OGRkOThkMS03ZGQ3LTRlYzQtOWEzZC1jZDBjNjQ1YTg3MzEG0QAAABhUYWJsZS5MZWRnZXJUYWJsZS5DbG9zZWQKCgoKATYAAAAvAAAACdIAAAAJ0wAAAAnUAAAABtUAAAAMRGltZW5zaW9uWzFdBtYAAAAGQnJhbmNoBtcAAAAGU3RyaW5nCQgAAAAG2QAAACRkMDc3MTgxYS0wZDc4LTQwMjktYjFjMy1jYTUwMWEzNGI2MTQBJv///4j/////////BwAAAAEl////h////wAAAAABJP///4b///8CAAAAAAAAAAABI////4X///8AAAAACgEAAAAAAAAAAAcAAAAABt4AAAAkMGMzMjE4NjgtMTc1Ny00OGI3LTg4ZDctZDFmOTNkZTM5MmQzBt8AAAAeVGFibGUuTGVkZ2VyVGFibGUuRGltZW5zaW9uWzFdCgoKCgE3AAAALwAAAAngAAAACeEAAAAJ4gAAAAbjAAAADERpbWVuc2lvblsyXQbkAAAACkRlcGFydG1lbnQJ1wAAAAkIAAAABucAAAAkNDRlNzM3OGMtYzNmMi00N2ZmLTkwYTMtZTc5MDg1NzZiNzM4ARj///+I/////////wgAAAABF////4f///8AAAAAARb///+G////AgAAAAAAAAAAARX///+F////AAAAAAoBAAAAAAAAAAAIAAAAAAbsAAAAJGYxN2RmNmJkLWM3YzQtNDFjMi05NWYyLThjNDRkYWIyYmExYQbtAAAAHlRhYmxlLkxlZGdlclRhYmxlLkRpbWVuc2lvblsyXQoKCgoBOAAAAC8AAAAJ7gAAAAnvAAAACfAAAAAG8QAAADdBdGxhc01hbmFnZWRDb2x1bW5fOGUyYjljYWItYTQwNy00NzZmLTllYzgtNjMwYjA2OGZkOGUxBvIAAAARRGVwYXJ0bWVudChSYW5nZSkJCAAAAAkIAAAABvQAAAAkNGVjMDk0NzctZWZiMy00MjIxLWFlNjEtNDhmM2I1ZWRmNzIwAQv///+I/////////wkAAAABCv///4f///8CAAAAAQn///+G////AgAAAAAAAAAAAQj///+F////AAAAAAoBAAAAAAAAAAAJAAAAAAb5AAAAJDg0NDA3YmEzLTYxZDYtNDg3Yi1iMjgxLTZmYmZlNTM4N2VjZAkIAAAACgoKCgE5AAAALwAAAAn7AAAACfwAAAAJ/QAAAAb+AAAAN0F0bGFzTWFuYWdlZENvbHVtbl9jOWRiZTYyZC1mOGI4LTQ0YjYtODVhMC1mNzQ2YjNhMjU3MmIG/wAAABFEZXBhcnRtZW50IERlc2NyLgkIAAAACQgAAAAGAQEAACRjNmYwNDZlMS0yMDMwLTQzZDAtOTg0Yi0xYjE5NjkyYTBiYWIB/v7//4j/////////CgAAAAH9/v//h////wIAAAAB/P7//4b///8CAAAAAAAAAAAB+/7//4X///8AAAAACgEAAAAAAAAAAAoAAAAABgYBAAAkNjVmMmMyY2MtMGFhMy00ODAxLWI4NmQtODNmN2VlNDE1MWM0CQgAAAAKCgoKAToAAAAvAAAACQgBAAAJCQEAAAkKAQAABgsBAAA3QXRsYXNNYW5hZ2VkQ29sdW1uX2FmMjY3NTk0LWE2MjAtNDBmOS05NGRiLTczNWM4YWE1YTJkZgYMAQAACUhpZXJhcmNoeQkIAAAACQgAAAAGDgEAACQ1ZTIyNWU5Mi1lZDRiLTQ2ODktOGZlYS0zZDdjZWUyZTIxODIB8f7//4j/////////CwAAAAHw/v//h////wIAAAAB7/7//4b///8CAAAAAAAAAAAB7v7//4X///8AAAAACgEAAAAAAAAAAAsAAAAABhMBAAAkZmE3YTY5MDktZjg1NS00NTE2LWJjYTktMjZjNTAyMDAzODcyCQgAAAAKCgoKATsAAAAvAAAACRUBAAAJFgEAAAkXAQAABhgBAAA3QXRsYXNNYW5hZ2VkQ29sdW1uXzE4NTQ0MjFjLTE2MmUtNDMwNy04MTUxLTcxNjAzMzlkYzBkMAYZAQAAEEhpZXJhcmNoeSBEZXNjci4JCAAAAAkIAAAABhsBAAAkMTEzZDcwNDctNjRkOS00ZmRhLTg4MDYtNGM1MGJkMjRjNWRhAeT+//+I/////////wwAAAAB4/7//4f///8CAAAAAeL+//+G////AgAAAAAAAAAAAeH+//+F////AAAAAAoBAAAAAAAAAAAMAAAAAAYgAQAAJDhkZjIwM2RkLWVmMDgtNGM1Yi1hOGU5LTJkNDJmNDRmZDYxNQkIAAAACgoKCgE8AAAALwAAAAkiAQAACSMBAAAJJAEAAAYlAQAAN0F0bGFzTWFuYWdlZENvbHVtbl8zNjMzOTIxOS1lM2E5LTRlY2EtOTNkOS03YWUxNWE3NGQ0NzMGJgEAAAZEZXNjci4JCAAAAAkIAAAABigBAAAkZDcxYWU5YTEtZjkwOC00Yzc5LWI4YmQtMDE5Nzg1OWMyMTMxAdf+//+I/////////w0AAAAB1v7//4f///8CAAAAAdX+//+G////AgAAAAAAAAAAAdT+//+F////AAAAAAoBAAAAAAAAAAANAAAAAAYtAQAAJGRlMDAzODk3LTg1NzktNGFmOC1hM2MxLWU2Y2UyMDY4YjhhZAkIAAAACgoKCgE9AAAALwAAAAkvAQAACTABAAAJMQEAAAYyAQAAN0F0bGFzTWFuYWdlZENvbHVtbl8zMjc3OTMyNy1mZWU3LTRhOTAtODM3OC02N2VmYjUyZmFiODcGMwEAAApXaGVyZSB1c2VkCQgAAAAJCAAAAAY1AQAAJGEwMGQyMzlhLTU2OGEtNDY4OS1iZmIzLTRjMjRkMzQ0NjJlZgHK/v//iP////////8OAAAAAcn+//+H////AgAAAAHI/v//hv///wIAAAAAAAAAAAHH/v//hf///wAAAAAKAQAAAAAAAAAADgAAAAAGOgEAACQ5Y2MzM2UzZS1mOTc2LTQyMjktYjdlNS0xZWFiZTI4MWI2OTUJCAAAAAoKCgoBawAAABIAAAAHbAA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x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PQEAABxUYWJsZS5MZWRnZXJUYWJsZS5BY2NvdW50TnVtCT4BAAABwf7//8T+//8GQAEAAB1UYWJsZS5MZWRnZXJUYWJsZS5BY2NvdW50TmFtZQlBAQAAAb7+///E/v//BkMBAAAoVGFibGUuTGVkZ2VyVGFibGUuTGVkZ2VyQWNjb3VudExvY2FsX3NzdAlEAQAAAbv+///E/v//BkYBAAAsVGFibGUuTGVkZ2VyVGFibGUuTGVkZ2VyQWNjb3VudE5hbWVMb2NhbF9zc3QJRwEAAAG4/v//xP7//wZJAQAAH1RhYmxlLkxlZGdlclRhYmxlLkFjY291bnRQbFR5cGUJSgEAAAG1/v//xP7//wZMAQAAIlRhYmxlLkxlZGdlclRhYmxlLkJsb2NrZWRJbkpvdXJuYWwJTQEAAAGy/v//xP7//wZPAQAAGFRhYmxlLkxlZGdlclRhYmxlLkNsb3NlZAlQAQAAAa/+///E/v//BlIBAAAeVGFibGUuTGVkZ2VyVGFibGUuRGltZW5zaW9uWzFdCVMBAAABrP7//8T+//8GVQEAAB5UYWJsZS5MZWRnZXJUYWJsZS5EaW1lbnNpb25bMl0JVgEAAARv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c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VwEAAAEAAAABAAAABH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twEAAAlYAQAABwAAAAlZAQAABH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EAAAlaAQAABwAAAAlbAQAAAX4AAABwAAAACVwBAAABAAAAAQAAAAF/AAAAcQAAALYBAAAJWAEAAAcAAAAJXgEAAAS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IBAAAJWgEAAAcAAAAJYAEAAAGMAAAAcAAAAAlhAQAAAQAAAAEAAAABjQAAAHEAAAC1AQAACVgBAAAHAAAACWMBAAAEj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yAQAACVoBAAAHAAAACWUBAAABmgAAAHAAAAAJZgEAAAEAAAABAAAAAZsAAABxAAAAtQEAAAlYAQAABwAAAAloAQAABJ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EAAAlaAQAABwAAAAlqAQAAAagAAABwAAAACWsBAAABAAAAAQAAAAGpAAAAcQAAALYBAAAJWAEAAAcAAAAJbQEAAAS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IBAAAJWgEAAAcAAAAJbwEAAAG2AAAAcAAAAAlwAQAAAQAAAAEAAAABtwAAAHEAAAC2AQAACVgBAAAHAAAACXIBAAAEu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yAQAACVoBAAAHAAAACXQBAAABxAAAAHAAAAAJdQEAAAEAAAABAAAAAcUAAABxAAAAIgEAAAl2AQAABwAAAAl3AQAABM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wEAAAl4AQAABwAAAAl5AQAAAdIAAABwAAAACXoBAAABAAAAAQAAAAHTAAAAcQAAACIBAAAJdgEAAAcAAAAJf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BAAAJeAEAAAcAAAAJfgEAAAHgAAAAcAAAAAl/AQAAAQAAAAEAAAAB4QAAAHEAAAAiAQAACXYBAAAHAAAACYEBAAAE4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QAACXgBAAAHAAAACYMBAAAB7gAAAHAAAAAJhAEAAAAAAAAAAAAAAe8AAABxAAAAKgEAAAl2AQAABwAAAAmGAQAABP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wEAAAl4AQAABwAAAAmIAQAAAfsAAABwAAAACYQBAAAAAAAAAAAAAAH8AAAAcQAAACoBAAAJdgEAAAcAAAAJiwEAAAT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BAAAJeAEAAAcAAAAJjQEAAAEIAQAAcAAAAAmEAQAAAAAAAAAAAAABCQEAAHEAAAAqAQAACXYBAAAHAAAACZAB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QAACXgBAAAHAAAACZIBAAABFQEAAHAAAAAJhAEAAAAAAAAAAAAAARYBAABxAAAAKgEAAAl2AQAABwAAAAmVAQAABB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wEAAAl4AQAABwAAAAmXAQAAASIBAABwAAAACYQBAAAAAAAAAAAAAAEjAQAAcQAAACoBAAAJdgEAAAcAAAAJmg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8BAAAJeAEAAAcAAAAJnAEAAAEvAQAAcAAAAAmdAQAAAAAAAAAAAAABMAEAAHEAAAC+AQAACVgBAAAHAAAACZ8BAAAEM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yAQAACVoBAAAHAAAACaEBAAAFP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Xv7//4j/////////AAajAQAABlN0cmluZwakAQAADkxlZGdlciBhY2NvdW50CaUBAAABWv7//4b///8AAAAABVn+//85R2xvYmVTb2Z0d2FyZS5BdGxhczQwLkF0bGFzQ29tbW9uLk51bWJlclNlcXVlbmNlQ29uZGl0aW9uAQAAAAd2YWx1ZV9fAAgCAAAAAQAAAAAABqgBAAARVGFibGUuTGVkZ2VyVGFibGUJcwAAAAkIAAAACv////8JqAEAAAoJcwAAAAoKCgkIAAAACa4BAAAJCAAAAAFBAQAAPgEAAAFQ/v//iP////////8ABrEBAAAGU3RyaW5nBrIBAAAMQWNjb3VudCBuYW1lCaUBAAABTP7//4b///8CAAAAAUv+//9Z/v//AQAAAAAACagBAAAJgQAAAAkIAAAACv////8JqAEAAAoJgQAAAAoKCgkIAAAACbwBAAAJCAAAAAFEAQAAPgEAAAFC/v//iP////////8ABr8BAAAGU3RyaW5nBsABAAAPTG9jYWwgQWNjb3VudCAjCaUBAAABPv7//4b///8CAAAAAT3+//9Z/v//AQAAAAAACagBAAAJjwAAAAkIAAAACv////8JqAEAAAoJjwAAAAoKCgkIAAAACcoBAAAJCAAAAAFHAQAAPgEAAAE0/v//iP////////8ABs0BAAAGU3RyaW5nBs4BAAASTG9jYWwgQWNjb3VudCBuYW1lCaUBAAABMP7//4b///8CAAAAAS/+//9Z/v//AQAAAAAACagBAAAJnQAAAAkIAAAACv////8JqAEAAAoJnQAAAAoKCgkIAAAACdgBAAAJCAAAAAFKAQAAPgEAAAEm/v//iP////////8ABtsBAAAERW51bQbcAQAADEFjY291bnQgdHlwZQmlAQAAASL+//+G////AgAAAAEh/v//Wf7//wEAAAAAAAmoAQAACasAAAAJCAAAAAr/////CagBAAAKCasAAAAKCgoJCAAAAAnmAQAACQgAAAABTQEAAD4BAAABGP7//4j/////////AAbpAQAABEVudW0G6gEAABFMb2NrZWQgaW4gam91cm5hbAmlAQAAART+//+G////AgAAAAET/v//Wf7//wEAAAAAAAmoAQAACbkAAAAJCAAAAAr/////CagBAAAKCbkAAAAKCgoJCAAAAAn0AQAACQgAAAABUAEAAD4BAAABCv7//4j/////////AAb3AQAABEVudW0G+AEAAAZDbG9zZWQJ+QEAAAEG/v//hv///wIAAAABBf7//1n+//8BAAAAAAAG/AEAABFUYWJsZS5MZWRnZXJUYWJsZQnHAAAACQgAAAAK/////wn8AQAACgnHAAAACgoKCQgAAAAJAgIAAAkIAAAAAVMBAAA+AQAAAfz9//+I/////////wAGBQIAAAZTdHJpbmcGBgIAAAZCcmFuY2gJ+QEAAAH4/f//hv///wIAAAAB9/3//1n+//8BAAAAAAAJ/AEAAAnVAAAACQgAAAAK/////wn8AQAACgnVAAAACgoKCQgAAAAJEAIAAAkIAAAAAVYBAAA+AQAAAe79//+I/////////wAJBQIAAAYUAgAACkRlcGFydG1lbnQJ+QEAAAHq/f//hv///wIAAAAB6f3//1n+//8BAAAAAAAJ/AEAAAnjAAAACQgAAAAK/////wn8AQAACgnjAAAACgoKCQgAAAAJHgIAAAkIAAAAB1cBAAAAAQAAAAQAAAAEN0dsb2JlU29mdHdhcmUuQXRsYXM0MC5BdGxhc0NvbW1vbi5UeXBlLkZpZWxkT3V0cHV0RmllbGQCAAAACT4BAAANAwRY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Z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3/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e/f//Mkdsb2JlU29mdHdhcmUuQXRsYXM0MC5BdGxhc0NvbW1vbi5Db2x1bW5BdHRyaWJ1dGVzAQAAAAd2YWx1ZV9fAAgCAAAABgAAAAYjAgAABVRvdGFsAdz9///f/f//Adv9///e/f//EAAAAAYmAgAABE5vbmUB2f3//9/9//8B2P3//979//8JAAAACQgAAAAB1v3//9/9//8B1f3//979//8LAAAABiwCAAABMAHT/f//3/3//wHS/f//3v3//wQAAAAGLwIAAAdHZW5lcmFsAdD9///f/f//Ac/9///e/f//AgAAAAYyAgAAATEBzf3//9/9//8BzP3//979//8AAAAABjUCAAAEOC40MwFaAQAAEgAAAA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r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wIAAAhGb250Qm9sZAY4AgAABUZhbHNlAcf9///K/f//BjoCAAAKRm9udEl0YWxpYwk4AgAAAcT9///K/f//Bj0CAAANRm9udFVuZGVybGluZQY+AgAABS00MTQyAcH9///K/f//BkACAAAIRm9udE5hbWUGQQIAAAdDYWxpYnJpAb79///K/f//BkMCAAAJRm9udENvbG9yBkQCAAABMAG7/f//yv3//wZGAgAACEZvbnRTaXplBkcCAAACMTEBuP3//8r9//8GSQIAAAlGb250U3R5bGUGSgIAAAdSZWd1bGFyB1wBAAAAAQAAAAQAAAAEN0dsb2JlU29mdHdhcmUuQXRsYXM0MC5BdGxhc0NvbW1vbi5UeXBlLkZpZWxkT3V0cHV0RmllbGQCAAAACUEBAAANAwd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3//9/9//8Bs/3//979//8QAAAACSYCAAABsf3//9/9//8BsP3//979//8JAAAACQgAAAABrv3//9/9//8Brf3//979//8LAAAABlQCAAABMQGr/f//3/3//wGq/f//3v3//wQAAAAGVwIAAAdHZW5lcmFsAaj9///f/f//Aaf9///e/f//AgAAAAZaAgAAATEBpf3//9/9//8BpP3//979//8AAAAABl0CAAAFNDIuNDM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yv3//wk3AgAACTgCAAABn/3//8r9//8JOgIAAAk4AgAAAZz9///K/f//CT0CAAAGZgIAAAUtNDE0MgGZ/f//yv3//wlAAgAABmkCAAAHQ2FsaWJyaQGW/f//yv3//wlDAgAABmwCAAABMAGT/f//yv3//wlGAgAABm8CAAACMTEBkP3//8r9//8JSQIAAAZyAgAAB1JlZ3VsYXIHYQEAAAABAAAABAAAAAQ3R2xvYmVTb2Z0d2FyZS5BdGxhczQwLkF0bGFzQ29tbW9uLlR5cGUuRmllbGRPdXRwdXRGaWVsZAIAAAAJRAEAAA0DB2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M/f//3/3//wGL/f//3v3//wkAAAAJCAAAAAGJ/f//3/3//wGI/f//3v3//wsAAAAGeQIAAAEyAYb9///f/f//AYX9///e/f//BAAAAAZ8AgAAB0dlbmVyYWwBg/3//9/9//8Bgv3//979//8CAAAABn8CAAABMQGA/f//3/3//wF//f//3v3//wAAAAAGggIAAAQ3Ljg2B2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3//8r9//8JNwIAAAk4AgAAAXr9///K/f//CToCAAAJOAIAAAF3/f//yv3//wk9AgAABosCAAAFLTQxNDIBdP3//8r9//8JQAIAAAaOAgAAB0NhbGlicmkBcf3//8r9//8JQwIAAAaRAgAAATABbv3//8r9//8JRgIAAAaUAgAAAjExAWv9///K/f//CUkCAAAGlwIAAAdSZWd1bGFyB2YBAAAAAQAAAAQAAAAEN0dsb2JlU29mdHdhcmUuQXRsYXM0MC5BdGxhc0NvbW1vbi5UeXBlLkZpZWxkT3V0cHV0RmllbGQCAAAACUcBAAANAwd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/9//8BZv3//979//8JAAAACQgAAAABZP3//9/9//8BY/3//979//8LAAAABp4CAAABMwFh/f//3/3//wFg/f//3v3//wQAAAAGoQIAAAdHZW5lcmFsAV79///f/f//AV39///e/f//AgAAAAakAgAAATEBW/3//9/9//8BWv3//979//8AAAAABqcCAAAFMTIuODY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yv3//wk3AgAACTgCAAABVf3//8r9//8JOgIAAAk4AgAAAVL9///K/f//CT0CAAAGsAIAAAUtNDE0MgFP/f//yv3//wlAAgAABrMCAAAHQ2FsaWJyaQFM/f//yv3//wlDAgAABrYCAAABMAFJ/f//yv3//wlGAgAABrkCAAACMTEBRv3//8r9//8JSQIAAAa8AgAAB1JlZ3VsYXIHawEAAAABAAAABAAAAAQ3R2xvYmVTb2Z0d2FyZS5BdGxhczQwLkF0bGFzQ29tbW9uLlR5cGUuRmllbGRPdXRwdXRGaWVsZAIAAAAJSgEAAA0DB20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f//3/3//wFB/f//3v3//xAAAAAJJgIAAAE//f//3/3//wE+/f//3v3//wkAAAAJCAAAAAE8/f//3/3//wE7/f//3v3//wsAAAAGxgIAAAE0ATn9///f/f//ATj9///e/f//BAAAAAbJAgAAB0dlbmVyYWwBNv3//9/9//8BNf3//979//8CAAAABswCAAABMQEz/f//3/3//wEy/f//3v3//wAAAAAGzwIAAAUxMi43MQd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9///K/f//CTcCAAAJOAIAAAEt/f//yv3//wk6AgAACTgCAAABKv3//8r9//8JPQIAAAbYAgAABS00MTQyASf9///K/f//CUACAAAG2wIAAAdDYWxpYnJpAST9///K/f//CUMCAAAG3gIAAAEwASH9///K/f//CUYCAAAG4QIAAAIxMQEe/f//yv3//wlJAgAABuQCAAAHUmVndWxhcgdwAQAAAAEAAAAEAAAABDdHbG9iZVNvZnR3YXJlLkF0bGFzNDAuQXRsYXNDb21tb24uVHlwZS5GaWVsZE91dHB1dEZpZWxkAgAAAAlNAQAADQM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9///f/f//ARn9///e/f//EAAAAAkmAgAAARf9///f/f//ARb9///e/f//CQAAAAkIAAAAART9///f/f//ARP9///e/f//CwAAAAbuAgAAATUBEf3//9/9//8BEP3//979//8EAAAABvECAAAHR2VuZXJhbAEO/f//3/3//wEN/f//3v3//wIAAAAG9AIAAAUtNDEwOAEL/f//3/3//wEK/f//3v3//wAAAAAG9wIAAAQ2LjcxB3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//8r9//8JNwIAAAk4AgAAAQX9///K/f//CToCAAAJOAIAAAEC/f//yv3//wk9AgAABgADAAAFLTQxNDIB//z//8r9//8JQAIAAAYDAwAAB0NhbGlicmkB/Pz//8r9//8JQwIAAAYGAwAAATAB+fz//8r9//8JRgIAAAYJAwAAAjExAfb8///K/f//CUkCAAAGDAMAAAdSZWd1bGFyB3UBAAAAAQAAAAQAAAAEN0dsb2JlU29mdHdhcmUuQXRsYXM0MC5BdGxhc0NvbW1vbi5UeXBlLkZpZWxkT3V0cHV0RmllbGQCAAAACVABAAANAwF2AQAAWAEAAAd3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vz//9/9//8B8fz//979//8JAAAACQgAAAAB7/z//9/9//8B7vz//979//8LAAAABhMDAAABNgHs/P//3/3//wHr/P//3v3//wQAAAAGFgMAAAdHZW5lcmFsAen8///f/f//Aej8///e/f//AgAAAAYZAwAAATEB5vz//9/9//8B5fz//979//8AAAAABhwDAAAEOC41NwF4AQAAEgAAAAd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8///K/f//Bh4DAAAIRm9udEJvbGQJOAIAAAHg/P//yv3//wYhAwAACkZvbnRJdGFsaWMJOAIAAAHd/P//yv3//wYkAwAADUZvbnRVbmRlcmxpbmUGJQMAAAUtNDE0MgHa/P//yv3//wYnAwAACEZvbnROYW1lBigDAAAHQ2FsaWJyaQHX/P//yv3//wYqAwAACUZvbnRDb2xvcgYrAwAAATAB1Pz//8r9//8GLQMAAAhGb250U2l6ZQYuAwAAAjExAdH8///K/f//BjADAAAJRm9udFN0eWxlBjEDAAAHUmVndWxhcgd6AQAAAAEAAAAEAAAABDdHbG9iZVNvZnR3YXJlLkF0bGFzNDAuQXRsYXNDb21tb24uVHlwZS5GaWVsZE91dHB1dEZpZWxkAgAAAAlTAQAADQM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38///f/f//Acz8///e/f//CQAAAAkIAAAAAcr8///f/f//Acn8///e/f//CwAAAAY4AwAAATcBx/z//9/9//8Bxvz//979//8EAAAABjsDAAAHR2VuZXJhbAHE/P//3/3//wHD/P//3v3//wIAAAAGPgMAAAExAcH8///f/f//AcD8///e/f//AAAAAAZBAwAABDguNTc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P//yv3//wkeAwAACTgCAAABu/z//8r9//8JIQMAAAk4AgAAAbj8///K/f//CSQDAAAGSgMAAAUtNDE0MgG1/P//yv3//wknAwAABk0DAAAHQ2FsaWJyaQGy/P//yv3//wkqAwAABlADAAABMAGv/P//yv3//wktAwAABlMDAAACMTEBrPz//8r9//8JMAMAAAZWAwAAB1JlZ3VsYXIHfwEAAAABAAAABAAAAAQ3R2xvYmVTb2Z0d2FyZS5BdGxhczQwLkF0bGFzQ29tbW9uLlR5cGUuRmllbGRPdXRwdXRGaWVsZAIAAAAJVgEAAA0DB4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P//3/3//wGn/P//3v3//wkAAAAJCAAAAAGl/P//3/3//wGk/P//3v3//wsAAAAGXQMAAAE4AaL8///f/f//AaH8///e/f//BAAAAAZgAwAAB0dlbmVyYWwBn/z//9/9//8Bnvz//979//8CAAAABmMDAAABMQGc/P//3/3//wGb/P//3v3//wAAAAAGZgMAAAUxMy4yOQe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8///K/f//CR4DAAAJOAIAAAGW/P//yv3//wkhAwAACTgCAAABk/z//8r9//8JJAMAAAZvAwAABS00MTQyAZD8///K/f//CScDAAAGcgMAAAdDYWxpYnJpAY38///K/f//CSoDAAAGdQMAAAEwAYr8///K/f//CS0DAAAGeAMAAAIxMQGH/P//yv3//wkwAwAABnsDAAAHUmVndWxhcgeEAQAAAAEAAAAAAAAABDdHbG9iZVNvZnR3YXJlLkF0bGFzNDAuQXRsYXNDb21tb24uVHlwZS5GaWVsZE91dHB1dEZpZWxkAgAAAAe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z//9/9//8Bg/z//979//8kAAAACfIAAAABgfz//9/9//8BgPz//979//8LAAAABoEDAAABOQF+/P//3/3//wF9/P//3v3//wQAAAAGhAMAAAdHZW5lcmFsAXv8///f/f//AXr8///e/f//AgAAAAaHAwAAATEBePz//9/9//8Bd/z//979//8AAAAABooDAAAFMjAuNDMBdfz//9/9//8BdPz//979//8DAAAABo0DAAABMQe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8///K/f//CR4DAAAJOAIAAAFv/P//yv3//wkhAwAACTgCAAABbPz//8r9//8JJAMAAAaWAwAABS00MTQyAWn8///K/f//CScDAAAGmQMAAAdDYWxpYnJpAWb8///K/f//CSoDAAAGnAMAAAEwAWP8///K/f//CS0DAAAGnwMAAAIxMQFg/P//yv3//wkwAwAABqIDAAAHUmVndWxhcge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/9//8BXPz//979//8kAAAACf8AAAABWvz//9/9//8BWfz//979//8LAAAABqgDAAACMTABV/z//9/9//8BVvz//979//8EAAAABqsDAAAHR2VuZXJhbAFU/P//3/3//wFT/P//3v3//wIAAAAGrgMAAAExAVH8///f/f//AVD8///e/f//AAAAAAaxAwAABTE5LjQzAU78///f/f//AU38///e/f//AwAAAAa0AwAABENhc2g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yv3//wkeAwAACTgCAAABSPz//8r9//8JIQMAAAk4AgAAAUX8///K/f//CSQDAAAGvQMAAAUtNDE0MgFC/P//yv3//wknAwAABsADAAAHQ2FsaWJyaQE//P//yv3//wkqAwAABsMDAAABMAE8/P//yv3//wktAwAABsYDAAACMTEBOfz//8r9//8JMAMAAAbJAwAAB1JlZ3VsYXIHk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b8///f/f//ATX8///e/f//JAAAAAkMAQAAATP8///f/f//ATL8///e/f//CwAAAAbPAwAAAjExATD8///f/f//AS/8///e/f//BAAAAAbSAwAAB0dlbmVyYWwBLfz//9/9//8BLPz//979//8CAAAABtUDAAABMQEq/P//3/3//wEp/P//3v3//wAAAAAG2AMAAAIxMQEn/P//3/3//wEm/P//3v3//wMAAAAG2wMAAAZERVBBQ0M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yv3//wkeAwAACTgCAAABIfz//8r9//8JIQMAAAk4AgAAAR78///K/f//CSQDAAAG5AMAAAUtNDE0MgEb/P//yv3//wknAwAABucDAAAHQ2FsaWJyaQEY/P//yv3//wkqAwAABuoDAAABMAEV/P//yv3//wktAwAABu0DAAACMTEBEvz//8r9//8JMAMAAAbwAwAAB1JlZ3VsYXIHl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8///f/f//AQ78///e/f//JAAAAAkZAQAAAQz8///f/f//AQv8///e/f//CwAAAAb2AwAAAjEyAQn8///f/f//AQj8///e/f//BAAAAAb5AwAAB0dlbmVyYWwBBvz//9/9//8BBfz//979//8CAAAABvwDAAABMQED/P//3/3//wEC/P//3v3//wAAAAAG/wMAAAIxNwEA/P//3/3//wH/+///3v3//wMAAAAGAgQAABFGaXhlZCBEZXBhcnRtZW50cwe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37///K/f//CR4DAAAJOAIAAAH6+///yv3//wkhAwAACTgCAAAB9/v//8r9//8JJAMAAAYLBAAABS00MTQyAfT7///K/f//CScDAAAGDgQAAAdDYWxpYnJpAfH7///K/f//CSoDAAAGEQQAAAEwAe77///K/f//CS0DAAAGFAQAAAIxMQHr+///yv3//wkwAwAABhcEAAAHUmVndWxhcge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Pv//9/9//8B5/v//979//8kAAAACSYBAAAB5fv//9/9//8B5Pv//979//8LAAAABh0EAAACMTMB4vv//9/9//8B4fv//979//8EAAAABiAEAAAHR2VuZXJhbAHf+///3/3//wHe+///3v3//wIAAAAGIwQAAAExAdz7///f/f//Adv7///e/f//AAAAAAYmBAAAATgB2fv//9/9//8B2Pv//979//8DAAAABikEAAAEQ2FzaA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7///K/f//CR4DAAAJOAIAAAHT+///yv3//wkhAwAACTgCAAAB0Pv//8r9//8JJAMAAAYyBAAABS00MTQyAc37///K/f//CScDAAAGNQQAAAdDYWxpYnJpAcr7///K/f//CSoDAAAGOAQAAAEwAcf7///K/f//CS0DAAAGOwQAAAIxMQHE+///yv3//wkwAwAABj4EAAAHUmVndWxhcgedAQAAAAEAAAAAAAAABDdHbG9iZVNvZnR3YXJlLkF0bGFzNDAuQXRsYXNDb21tb24uVHlwZS5GaWVsZE91dHB1dEZpZWxkAgAAAA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v//9/9//8BwPv//979//8kAAAACTMBAAABvvv//9/9//8Bvfv//979//8LAAAABkQEAAACMTQBu/v//9/9//8Buvv//979//8EAAAABkcEAAAHR2VuZXJhbAG4+///3/3//wG3+///3v3//wIAAAAGSgQAAAExAbX7///f/f//AbT7///e/f//AAAAAAZNBAAABTcxLjQzAbL7///f/f//AbH7///e/f//AwAAAAkIAAAAB6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v//8r9//8JNwIAAAk4AgAAAaz7///K/f//CToCAAAJOAIAAAGp+///yv3//wk9AgAABlkEAAAFLTQxNDIBpvv//8r9//8JQAIAAAZcBAAAB0NhbGlicmkBo/v//8r9//8JQwIAAAZfBAAAATABoPv//8r9//8JRgIAAAZiBAAAAjExAZ37///K/f//CUkCAAAGZQQAAAdSZWd1bGFyAaUBAAAOAAAA3QAAAAZmBAAAC0xlZGdlclRhYmxlBmcEAAAYTGVkZ2VyIGNoYXJ0IG9mIGFjY291bnRzCQgAAAAJCAAAAAkIAAAAAZf7///g////AAAAAAlqBAAACWsEAAABlPv//93///+YW+uVjGHjSoWAD7W9LMFiCQgAAAAJCAAAAAluBAAACagBAAAKCgoKCgEAAAABkPv//9n///8AAAAAAY/7///Y////AAAAAAAJcgQAAAS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EAAAAJWgEAAAMAAAAJdAQAAAS8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EAAAAJWgEAAAMAAAAJdgQAAAT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4AAAAJWgEAAAMAAAAJeAQAAAT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4AAAAJWgEAAAMAAAAJegQAAAT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EAAAAJWgEAAAMAAAAJfAQAAAT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EAAAAJWgEAAAMAAAAJfgQAAAH5AQAADgAAAP////8GfwQAAAtMZWRnZXJUYWJsZQaABAAAGExlZGdlciBjaGFydCBvZiBhY2NvdW50cwkIAAAACQgAAAAJCAAAAAF++///4P///wAAAAAJgwQAAAmEBAAAAXv7///d////z2UqGiXGRkynaA077QUtgAkIAAAACQgAAAAJhwQAAAn8AQAACgoKCgoBAAAAAXf7///Z////AAAAAAF2+///2P///wAAAAAACYsEAAAEA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XgBAAADAAAACY0E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XgBAAADAAAACY8EAAAEH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XgBAAADAAAACZEEAAABagQAACEAAAAIAAAACZIEAAAHAAAACZMEAAAEaw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wAAAAmSBAAABwAAAAmVBAAABG4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BAAAAAAAAAFyBAAAKQAAAAAAAAAJlwQAAAAAAAAHd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yv3//waZBAAACEhlbHBUZXh0BpoEAAAlQWNjb3VudCBudW1iZXIgZm9yIHBvc3RpbmcgaW4gbGVkZ2VyLgFl+///yv3//wacBAAABUxhYmVsCaQBAAABYvv//8r9//8GnwQAAARUeXBlCaMBAAAHd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///yv3//wmZBAAABqMEAAAQTmFtZSBvZiBhY2NvdW50LgFc+///yv3//wmcBAAACbIBAAABWfv//8r9//8JnwQAAAmxAQAAB3g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v//8r9//8JnAQAAAnAAQAAAVP7///K/f//CZ8EAAAJvwEAAAd6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7///K/f//CZwEAAAJzgEAAAFN+///yv3//wmfBAAACc0B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///yv3//wmZBAAABrgEAABCQWNjb3VudCB0eXBlLCBmb3IgZXhhbXBsZSBwcm9maXQgJiBsb3NzLCBiYWxhbmNlLCBoZWFkZXIgb3IgdG90YWwuAUf7///K/f//CZwEAAAJ3AEAAAFE+///yv3//wmfBAAACdsBAAAHf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yv3//wmZBAAABsEEAAAkTG9jayB0aGUgYWNjb3VudCBmcm9tIG1hbnVhbCBwb3N0aW5nAT77///K/f//CZwEAAAJ6gEAAAE7+///yv3//wmfBAAACekBAAABgwQAACEAAAAJAAAACcgEAAARAAAACckEAAAEh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aAQAAAwAAAAnLBAAABIc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IBAAAAAAAAAGLBAAAKQAAAAAAAAAJzQQAAAAAAAAHj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+///yv3//wbPBAAABUxhYmVsCfgBAAABL/v//8r9//8G0gQAAARUeXBlCfcBAAAHj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+///yv3//wnPBAAACQYCAAABKfv//8r9//8J0gQAAAkFAgAAB5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v//8r9//8JzwQAAAkUAgAAASP7///K/f//CdIEAAAJBQIAAAGSBAAAEgAAAAeTB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g+///xP7//wbhBAAAHFRhYmxlLkxlZGdlclRhYmxlLkFjY291bnROdW0JPgEAAAEd+///xP7//wbkBAAAHVRhYmxlLkxlZGdlclRhYmxlLkFjY291bnROYW1lCUEBAAABGvv//8T+//8G5wQAAB9UYWJsZS5MZWRnZXJUYWJsZS5BY2NvdW50UGxUeXBlCUoBAAABF/v//8T+//8G6gQAAChUYWJsZS5MZWRnZXJUYWJsZS5MZWRnZXJBY2NvdW50TG9jYWxfc3N0CUQBAAABFPv//8T+//8G7QQAACJUYWJsZS5MZWRnZXJUYWJsZS5CbG9ja2VkSW5Kb3VybmFsCU0BAAABEfv//8T+//8G8AQAACxUYWJsZS5MZWRnZXJUYWJsZS5MZWRnZXJBY2NvdW50TmFtZUxvY2FsX3NzdAlHAQAAB5UE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O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vMEAAAdVGFibGUuTGVkZ2VyVGFibGUuQWNjb3VudE5hbWUJ9AQAAAEL+///Dvv//wb2BAAAH1RhYmxlLkxlZGdlclRhYmxlLkFjY291bnRQbFR5cGUJ9wQAAAEI+///Dvv//wb5BAAAGFRhYmxlLkxlZGdlclRhYmxlLkNsb3NlZAn6BAAAAQX7//8O+///BvwEAAAcVGFibGUuTGVkZ2VyVGFibGUuRGF0YUFyZWFJZAn9BAAAAQL7//8O+///Bv8EAAAhVGFibGUuTGVkZ2VyVGFibGUuRGViQ3JlZFByb3Bvc2FsCQAFAAAB//r//w77//8GAgUAABxUYWJsZS5MZWRnZXJUYWJsZS5BY2NvdW50TnVtCQMFAAAB/Pr//w77//8GBQUAACJUYWJsZS5MZWRnZXJUYWJsZS5CbG9ja2VkSW5Kb3VybmFsCQYFAAABlwQAAG8AAAAByAQAABIAAAAHyQ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+fr//8T+//8GCAUAABxUYWJsZS5MZWRnZXJUYWJsZS5BY2NvdW50TnVtCT4BAAAB9vr//8T+//8GCwUAAB1UYWJsZS5MZWRnZXJUYWJsZS5BY2NvdW50TmFtZQlBAQAAAfP6///E/v//Bg4FAAAoVGFibGUuTGVkZ2VyVGFibGUuTGVkZ2VyQWNjb3VudExvY2FsX3NzdAlEAQAAAfD6///E/v//BhEFAAAsVGFibGUuTGVkZ2VyVGFibGUuTGVkZ2VyQWNjb3VudE5hbWVMb2NhbF9zc3QJRwEAAAHt+v//xP7//wYUBQAAH1RhYmxlLkxlZGdlclRhYmxlLkFjY291bnRQbFR5cGUJSgEAAAHq+v//xP7//wYXBQAAIlRhYmxlLkxlZGdlclRhYmxlLkJsb2NrZWRJbkpvdXJuYWwJTQEAAAHn+v//xP7//wYaBQAAGFRhYmxlLkxlZGdlclRhYmxlLkNsb3NlZAlQAQAAAeT6///E/v//Bh0FAAAeVGFibGUuTGVkZ2VyVGFibGUuRGltZW5zaW9uWzFdCVMBAAAB4fr//8T+//8GIAUAAB5UYWJsZS5MZWRnZXJUYWJsZS5EaW1lbnNpb25bMl0JVgEAAAfL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3vr//w77//8GIwUAABhUYWJsZS5MZWRnZXJUYWJsZS5DbG9zZWQJJAUAAAHNBAAAbwAAAAX0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qAEAAAYmBQAAC0FjY291bnROYW1lCQgAAAAJCAAAAP////8JqAEAAAoJJgUAAAoKCgkIAAAACSsFAAAJCAAAAAH3BAAA9AQAAAmoAQAABi4FAAANQWNjb3VudFBsVHlwZQkIAAAACQgAAAD/////CagBAAAKCS4FAAAKCgoJCAAAAAkzBQAACQgAAAAB+gQAAPQEAAAJqAEAAAY2BQAABkNsb3NlZAkIAAAACQgAAAD/////CagBAAAKCTYFAAAKCgoJCAAAAAk7BQAACQgAAAAB/QQAAPQEAAAJqAEAAAY+BQAACkRhdGFBcmVhSWQJCAAAAAkIAAAA/////wmoAQAACgk+BQAACgoKCQgAAAAJQwUAAAkIAAAAAQAFAAD0BAAACagBAAAGRgUAAA9EZWJDcmVkUHJvcG9zYWwJCAAAAAkIAAAA/////wmoAQAACglGBQAACgoKCQgAAAAJSwUAAAkIAAAAAQMFAAD0BAAACagBAAAGTgUAAApBY2NvdW50TnVtCQgAAAAJCAAAAP////8JqAEAAAoJTgUAAAoKCgkIAAAACVMFAAAJCAAAAAEGBQAA9AQAAAmoAQAABlYFAAAQQmxvY2tlZEluSm91cm5hbAkIAAAACQgAAAD/////CagBAAAKCVYFAAAKCgoJCAAAAAlbBQAACQgAAAABJAUAAPQEAAAJqAEAAAk2BQAACQgAAAAGYAUAAAJOb/////8JqAEAAAoJNgUAAAoKCgkIAAAACWQFAAAJCAAAAAErBQAAEAAAAAAAAAAJWgEAAAAAAAABMwUAABAAAAAAAAAACVoBAAAAAAAAATsFAAAQAAAAAAAAAAlaAQAAAAAAAAFDBQAAEAAAAAAAAAAJWgEAAAAAAAABSwUAABAAAAAAAAAACVoBAAAAAAAAAVMFAAAQAAAAAAAAAAlaAQAAAAAAAAFbBQAAEAAAAAAAAAAJWgEAAAAAAAAEZ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VoBAAADAAAACWcFAAAHZ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v//yv3//wmfBAAABmoFAAAERW51bQGV+v//yv3//wmcBAAABm0FAAAGQ2xvc2VkCw==
    <Output>
      <OutputObject name="AtlasReport_1"/>
    </Output>
  </Query>
</Atlas>
</file>

<file path=customXml/item17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PAAAAD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gwj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MAAAAIAgAAAAYkAAAAFUF0bGFzUmVwb3J0XzFfVGFibGVfMQkl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jAAAACAgJJ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cAAAAJKAAAAAkpAAAABioAAAAKQWNjb3VudE51bQYrAAAADkxlZGdlciBhY2NvdW50BiwAAAAGU3RyaW5nBi0AAAAABi4AAAAkZjk5MWFlYmQtYjM0Zi00YWNhLWE1ZjQtOWQwYTU5MmM2MGQ0BdH///8tR2xvYmVTb2Z0d2FyZS5BdGxhczQwLkF0bGFzQ29tbW9uLkFnZ3JlZ2F0aW9uAQAAAAd2YWx1ZV9fAAgOAAAA/////wAAAAAF0P///yxHbG9iZVNvZnR3YXJlLkF0bGFzNDAuQXRsYXNDb21tb24uQ29sdW1uVHlwZQEAAAAHdmFsdWVfXwAIDgAAAAAAAAAFz////ytHbG9iZVNvZnR3YXJlLkF0bGFzNDAuQXRsYXNDb21tb24uU29ydE9yZGVyAQAAAAd2YWx1ZV9fAAgOAAAAAAAAAAAAAAAABc7///9AR2xvYmVTb2Z0d2FyZS5BdGxhczQwLkF0bGFzQ29tbW9uLlR5cGUuQ29sdW1uK0Nyb3NzVGFiQ29sdW1uVHlwZQEAAAAHdmFsdWVfXwAIDgAAAAAAAAAKAQAAAAAAAAAAAAAAAAAGMwAAACRjNmE4Y2M5Yy1jNzhlLTQxZGItYmZkOS00NzEzZjE1ZWNmOWIGNAAAABxUYWJsZS5MZWRnZXJUYWJsZS5BY2NvdW50TnVtCgoKCgEVAAAAFAAAAAk1AAAACTYAAAAJNwAAAAY4AAAAC0FjY291bnROYW1lBjkAAAAMQWNjb3VudCBuYW1lBjoAAAAGU3RyaW5nCS0AAAAGPAAAACRkZjUyYjZkMC1iNzFiLTQ5YzItYTE5Zi04MzkxMDNlMjFhZTQBw////9H/////////AQAAAAHC////0P///wAAAAABwf///8////8CAAAAAAAAAAABwP///87///8AAAAACgEAAAAAAAAAAAEAAAAABkEAAAAkYThmYmQ1MjktMWFiOS00NTdkLWI0MDAtNWJmNzc4MmQzNGVhBkIAAAAdVGFibGUuTGVkZ2VyVGFibGUuQWNjb3VudE5hbWUKCgoKARYAAAAUAAAACUMAAAAJRAAAAAlFAAAABkYAAAAWTGVkZ2VyQWNjb3VudExvY2FsX3NzdAZHAAAAD0xvY2FsIEFjY291bnQgIwZIAAAABlN0cmluZwktAAAABkoAAAAkZDdkNGZmZmEtMmM3Yi00YzVhLWFmNTktN2U1N2Y1M2EzYjY2AbX////R/////////wIAAAABtP///9D///8AAAAAAbP////P////AgAAAAAAAAAAAbL////O////AAAAAAoBAAAAAAAAAAACAAAAAAZPAAAAJGY3ZTdlZjE2LTM0OTAtNGJmOC1hMmQxLTEwNGQ2NzY0MzRiNwZQAAAAKFRhYmxlLkxlZGdlclRhYmxlLkxlZGdlckFjY291bnRMb2NhbF9zc3QKCgoKARcAAAAUAAAACVEAAAAJUgAAAAlTAAAABlQAAAAaTGVkZ2VyQWNjb3VudE5hbWVMb2NhbF9zc3QGVQAAABJMb2NhbCBBY2NvdW50IG5hbWUGVgAAAAZTdHJpbmcJLQAAAAZYAAAAJDgyYjNhMTkxLTA1ZDYtNGIxNC1iOTE4LTQ0NDFhNTdlODc5MAGn////0f////////8DAAAAAab////Q////AAAAAAGl////z////wIAAAAAAAAAAAGk////zv///wAAAAAKAQAAAAAAAAAAAwAAAAAGXQAAACQzNjA2OTU0OC1iNzJmLTRmMjEtOGRlYy01NDllN2IxNjZiZGQGXgAAACxUYWJsZS5MZWRnZXJUYWJsZS5MZWRnZXJBY2NvdW50TmFtZUxvY2FsX3NzdAoKCgoBGAAAABQAAAAJXwAAAAlgAAAACWEAAAAGYgAAAA1BY2NvdW50UGxUeXBlBmMAAAAMQWNjb3VudCB0eXBlBmQAAAAERW51bQktAAAABmYAAAAkZDkzNGJiZDAtYTNiMy00MTgxLTg5ZDUtZmUyYWM4YjQ3YWQzAZn////R/////////wQAAAABmP///9D///8AAAAAAZf////P////AgAAAAAAAAAAAZb////O////AAAAAAoBAAAAAAAAAAAEAAAAAAZrAAAAJGE1MDUzN2Y3LTE4YjctNDJlOC1hNDJmLWRkOGE4OGM0MjQ0ZAZsAAAAH1RhYmxlLkxlZGdlclRhYmxlLkFjY291bnRQbFR5cGUKCgoKARkAAAAUAAAACW0AAAAJbgAAAAlvAAAABnAAAAAQQmxvY2tlZEluSm91cm5hbAZxAAAAEUxvY2tlZCBpbiBqb3VybmFsBnIAAAAERW51bQktAAAABnQAAAAkYWRkNWYxNWMtZjYyZi00NjZiLWIzMzgtMDU4ZTRiNzY0ZmY1AYv////R/////////wUAAAABiv///9D///8AAAAAAYn////P////AgAAAAAAAAAAAYj////O////AAAAAAoBAAAAAAAAAAAFAAAAAAZ5AAAAJGUwZmMwOGNkLWNiNDUtNDVjZS04NGRiLTE0Y2QyMGQwYjBlMwZ6AAAAIlRhYmxlLkxlZGdlclRhYmxlLkJsb2NrZWRJbkpvdXJuYWwKCgoKARoAAAAUAAAACXsAAAAJfAAAAAl9AAAABn4AAAAGQ2xvc2VkBn8AAAAGQ2xvc2VkBoAAAAAERW51bQktAAAABoIAAAAkYThlMjY3ZDctYjZhZi00ZGRhLWJlOTQtMzlkNDE4MzkwNGM1AX3////R/////////wYAAAABfP///9D///8AAAAAAXv////P////AgAAAAAAAAAAAXr////O////AAAAAAoBAAAAAAAAAAAGAAAAAAaHAAAAJDk4ZGQ5OGQxLTdkZDctNGVjNC05YTNkLWNkMGM2NDVhODczMQaIAAAAGFRhYmxlLkxlZGdlclRhYmxlLkNsb3NlZAoKCgoBGwAAABQAAAAJiQAAAAmKAAAACYsAAAAGjAAAAAxEaW1lbnNpb25bMV0GjQAAAAZCcmFuY2gGjgAAAAZTdHJpbmcJLQAAAAaQAAAAJGQwNzcxODFhLTBkNzgtNDAyOS1iMWMzLWNhNTAxYTM0YjYxNAFv////0f////////8HAAAAAW7////Q////AAAAAAFt////z////wIAAAAAAAAAAAFs////zv///wAAAAAKAQAAAAAAAAAABwAAAAAGlQAAACQwYzMyMTg2OC0xNzU3LTQ4YjctODhkNy1kMWY5M2RlMzkyZDMGlgAAAB5UYWJsZS5MZWRnZXJUYWJsZS5EaW1lbnNpb25bMV0KCgoKARwAAAAUAAAACZcAAAAJmAAAAAmZAAAABpoAAAAMRGltZW5zaW9uWzJdBpsAAAAKRGVwYXJ0bWVudAmOAAAACS0AAAAGngAAACQ0NGU3Mzc4Yy1jM2YyLTQ3ZmYtOTBhMy1lNzkwODU3NmI3MzgBYf///9H/////////CAAAAAFg////0P///wAAAAABX////8////8CAAAAAAAAAAABXv///87///8AAAAACgEAAAAAAAAAAAgAAAAABqMAAAAkZjE3ZGY2YmQtYzdjNC00MWMyLTk1ZjItOGM0NGRhYjJiYTFhBqQAAAAeVGFibGUuTGVkZ2VyVGFibGUuRGltZW5zaW9uWzJdCgoKCgEdAAAAFAAAAAmlAAAACaYAAAAJpwAAAAaoAAAAN0F0bGFzTWFuYWdlZENvbHVtbl84ZTJiOWNhYi1hNDA3LTQ3NmYtOWVjOC02MzBiMDY4ZmQ4ZTEGqQAAABFEZXBhcnRtZW50KFJhbmdlKQktAAAACS0AAAAGqwAAACQ0ZWMwOTQ3Ny1lZmIzLTQyMjEtYWU2MS00OGYzYjVlZGY3MjABVP///9H/////////CQAAAAFT////0P///wIAAAABUv///8////8CAAAAAAAAAAABUf///87///8AAAAACgEAAAAAAAAAAAkAAAAABrAAAAAkODQ0MDdiYTMtNjFkNi00ODdiLWIyODEtNmZiZmU1Mzg3ZWNkCS0AAAAKCgoKAR4AAAAUAAAACbIAAAAJswAAAAm0AAAABrUAAAA3QXRsYXNNYW5hZ2VkQ29sdW1uX2M5ZGJlNjJkLWY4YjgtNDRiNi04NWEwLWY3NDZiM2EyNTcyYga2AAAAEURlcGFydG1lbnQgRGVzY3IuCS0AAAAJLQAAAAa4AAAAJGM2ZjA0NmUxLTIwMzAtNDNkMC05ODRiLTFiMTk2OTJhMGJhYgFH////0f////////8KAAAAAUb////Q////AgAAAAFF////z////wIAAAAAAAAAAAFE////zv///wAAAAAKAQAAAAAAAAAACgAAAAAGvQAAACQ2NWYyYzJjYy0wYWEzLTQ4MDEtYjg2ZC04M2Y3ZWU0MTUxYzQJLQAAAAoKCgoBHwAAABQAAAAJvwAAAAnAAAAACcEAAAAGwgAAADdBdGxhc01hbmFnZWRDb2x1bW5fYWYyNjc1OTQtYTYyMC00MGY5LTk0ZGItNzM1YzhhYTVhMmRmBsMAAAAJSGllcmFyY2h5CS0AAAAJLQAAAAbFAAAAJDVlMjI1ZTkyLWVkNGItNDY4OS04ZmVhLTNkN2NlZTJlMjE4MgE6////0f////////8LAAAAATn////Q////AgAAAAE4////z////wIAAAAAAAAAAAE3////zv///wAAAAAKAQAAAAAAAAAACwAAAAAGygAAACRmYTdhNjkwOS1mODU1LTQ1MTYtYmNhOS0yNmM1MDIwMDM4NzIJLQAAAAoKCgoBIAAAABQAAAAJzAAAAAnNAAAACc4AAAAGzwAAADdBdGxhc01hbmFnZWRDb2x1bW5fMTg1NDQyMWMtMTYyZS00MzA3LTgxNTEtNzE2MDMzOWRjMGQwBtAAAAAQSGllcmFyY2h5IERlc2NyLgktAAAACS0AAAAG0gAAACQxMTNkNzA0Ny02NGQ5LTRmZGEtODgwNi00YzUwYmQyNGM1ZGEBLf///9H/////////DAAAAAEs////0P///wIAAAABK////8////8CAAAAAAAAAAABKv///87///8AAAAACgEAAAAAAAAAAAwAAAAABtcAAAAkOGRmMjAzZGQtZWYwOC00YzViLWE4ZTktMmQ0MmY0NGZkNjE1CS0AAAAKCgoKASEAAAAUAAAACdkAAAAJ2gAAAAnbAAAABtwAAAA3QXRsYXNNYW5hZ2VkQ29sdW1uXzM2MzM5MjE5LWUzYTktNGVjYS05M2Q5LTdhZTE1YTc0ZDQ3MwbdAAAABkRlc2NyLgktAAAACS0AAAAG3wAAACRkNzFhZTlhMS1mOTA4LTRjNzktYjhiZC0wMTk3ODU5YzIxMzEBIP///9H/////////DQAAAAEf////0P///wIAAAABHv///8////8CAAAAAAAAAAABHf///87///8AAAAACgEAAAAAAAAAAA0AAAAABuQAAAAkZGUwMDM4OTctODU3OS00YWY4LWEzYzEtZTZjZTIwNjhiOGFkCS0AAAAKCgoKASIAAAAUAAAACeYAAAAJ5wAAAAnoAAAABukAAAA3QXRsYXNNYW5hZ2VkQ29sdW1uXzMyNzc5MzI3LWZlZTctNGE5MC04Mzc4LTY3ZWZiNTJmYWI4NwbqAAAACldoZXJlIHVzZWQJLQAAAAktAAAABuwAAAAkYTAwZDIzOWEtNTY4YS00Njg5LWJmYjMtNGMyNGQzNDQ2MmVmARP////R/////////w4AAAABEv///9D///8CAAAAARH////P////AgAAAAAAAAAAARD////O////AAAAAAoBAAAAAAAAAAAOAAAAAAbxAAAAJDljYzMzZTNlLWY5NzYtNDIyOS1iN2U1LTFlYWJlMjgxYjY5NQktAAAACgoKCgUlAAAAOEdsb2JlU29mdHdhcmUuQXRsYXM0MC5BdGxhc0NvbW1vbkNsaWVudC5SZXBvcnQuUmVmZXJlbmNlAQAAAApfcmVmZXJlbmNlBwgjAAAACfMAAAAHJgAAAAABAAAABAAAAAQ8R2xvYmVTb2Z0d2FyZS5BdGxhczQwLkF0bGFzQ29tbW9uQ2xpZW50LkRhdGFTb3VyY2VGaWVsZFZhbHVlIwAAAAn0AAAADQMEJ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9QAAAAEAAAABAAAABCg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twEAAAn2AAAABwAAAAn3AAAABC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EAAAn4AAAABwAAAAn5AAAAATUAAAAnAAAACfoAAAABAAAAAQAAAAE2AAAAKAAAALYBAAAJ9gAAAAcAAAAJ/AAAAAE3AAAAKQAAALIBAAAJ+AAAAAcAAAAJ/gAAAAFDAAAAJwAAAAn/AAAAAQAAAAEAAAABRAAAACgAAAC1AQAACfYAAAAHAAAACQEBAAABRQAAACkAAACyAQAACfgAAAAHAAAACQMBAAABUQAAACcAAAAJBAEAAAEAAAABAAAAAVIAAAAoAAAAtQEAAAn2AAAABwAAAAkGAQAAAVMAAAApAAAAsgEAAAn4AAAABwAAAAkIAQAAAV8AAAAnAAAACQkBAAABAAAAAQAAAAFgAAAAKAAAALYBAAAJ9gAAAAcAAAAJCwEAAAFhAAAAKQAAALIBAAAJ+AAAAAcAAAAJDQEAAAFtAAAAJwAAAAkOAQAAAQAAAAEAAAABbgAAACgAAAC2AQAACfYAAAAHAAAACRABAAABbwAAACkAAACyAQAACfgAAAAHAAAACRIBAAABewAAACcAAAAJEwEAAAEAAAABAAAAAXwAAAAoAAAAIgEAAAkUAQAABwAAAAkVAQAAAX0AAAApAAAAHwEAAAkWAQAABwAAAAkXAQAAAYkAAAAnAAAACRgBAAABAAAAAQAAAAGKAAAAKAAAACIBAAAJFAEAAAcAAAAJGgEAAAGLAAAAKQAAAB8BAAAJFgEAAAcAAAAJHAEAAAGXAAAAJwAAAAkdAQAAAQAAAAEAAAABmAAAACgAAAAiAQAACRQBAAAHAAAACR8BAAABmQAAACkAAAAfAQAACRYBAAAHAAAACSEBAAABpQAAACcAAAAJIgEAAAAAAAAAAAAAAaYAAAAoAAAAKgEAAAkUAQAABwAAAAkkAQAAAacAAAApAAAAHwEAAAkWAQAABwAAAAkmAQAAAbIAAAAnAAAACSIBAAAAAAAAAAAAAAGzAAAAKAAAACoBAAAJFAEAAAcAAAAJKQEAAAG0AAAAKQAAAB8BAAAJFgEAAAcAAAAJKwEAAAG/AAAAJwAAAAkiAQAAAAAAAAAAAAABwAAAACgAAAAqAQAACRQBAAAHAAAACS4BAAABwQAAACkAAAAfAQAACRYBAAAHAAAACTABAAABzAAAACcAAAAJIgEAAAAAAAAAAAAAAc0AAAAoAAAAKgEAAAkUAQAABwAAAAkzAQAAAc4AAAApAAAAHwEAAAkWAQAABwAAAAk1AQAAAdkAAAAnAAAACSIBAAAAAAAAAAAAAAHaAAAAKAAAACoBAAAJFAEAAAcAAAAJOAEAAAHbAAAAKQAAAB8BAAAJFgEAAAcAAAAJOgEAAAHmAAAAJwAAAAk7AQAAAAAAAAAAAAAB5wAAACgAAAC+AQAACfYAAAAHAAAACT0BAAAB6AAAACkAAACyAQAACfgAAAAHAAAACT8BAAAP8wAAAAEAAAAIAQAAAAX0AAAAPEdsb2JlU29mdHdhcmUuQXRsYXM0MC5BdGxhc0NvbW1vbkNsaWVudC5EYXRhU291cmNlRmllbGRWYWx1ZQQAAAASX2lzRHJpbGxEb3duRmlsdGVyBl9kc0tleQpfZmllbGRuYW1lC19maWVsZFZhbHVlAAEBAQEjAAAAAAZAAQAAEVRhYmxlLkxlZGdlclRhYmxlBkEBAAAKRGF0YUFyZWFJZAkGAAAAB/UAAAAAAQAAAAQAAAAEN0dsb2JlU29mdHdhcmUuQXRsYXM0MC5BdGxhc0NvbW1vbi5UeXBlLkZpZWxkT3V0cHV0RmllbGQOAAAACUMBAAANAwT2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3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7/v//Mkdsb2JlU29mdHdhcmUuQXRsYXM0MC5BdGxhc0NvbW1vbi5Db2x1bW5BdHRyaWJ1dGVzAQAAAAd2YWx1ZV9fAAgOAAAABgAAAAZGAQAABVRvdGFsAbn+//+8/v//Abj+//+7/v//EAAAAAZJAQAABE5vbmUBtv7//7z+//8Btf7//7v+//8JAAAACS0AAAABs/7//7z+//8Bsv7//7v+//8LAAAABk8BAAABMAGw/v//vP7//wGv/v//u/7//wQAAAAGUgEAAAdHZW5lcmFsAa3+//+8/v//Aaz+//+7/v//AgAAAAZVAQAAATEBqv7//7z+//8Bqf7//7v+//8AAAAABlgBAAAEOC40MwH4AAAADAAAAA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f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gEAAAhGb250Qm9sZAZbAQAABUZhbHNlAaT+//+n/v//Bl0BAAAKRm9udEl0YWxpYwlbAQAAAaH+//+n/v//BmABAAANRm9udFVuZGVybGluZQZhAQAABS00MTQyAZ7+//+n/v//BmMBAAAIRm9udE5hbWUGZAEAAAdDYWxpYnJpAZv+//+n/v//BmYBAAAJRm9udENvbG9yBmcBAAABMAGY/v//p/7//wZpAQAACEZvbnRTaXplBmoBAAACMTEBlf7//6f+//8GbAEAAAlGb250U3R5bGUGbQEAAAdSZWd1bGFyB/oAAAAAAQAAAAQAAAAEN0dsb2JlU29mdHdhcmUuQXRsYXM0MC5BdGxhc0NvbW1vbi5UeXBlLkZpZWxkT3V0cHV0RmllbGQOAAAACW4BAAANAw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f7//7z+//8BkP7//7v+//8QAAAACUkBAAABjv7//7z+//8Bjf7//7v+//8JAAAACS0AAAABi/7//7z+//8Biv7//7v+//8LAAAABncBAAABMQGI/v//vP7//wGH/v//u/7//wQAAAAGegEAAAdHZW5lcmFsAYX+//+8/v//AYT+//+7/v//AgAAAAZ9AQAAATEBgv7//7z+//8Bgf7//7v+//8AAAAABoABAAAFNDIuNDMH/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p/7//wlaAQAACVsBAAABfP7//6f+//8JXQEAAAlbAQAAAXn+//+n/v//CWABAAAGiQEAAAUtNDE0MgF2/v//p/7//wljAQAABowBAAAHQ2FsaWJyaQFz/v//p/7//wlmAQAABo8BAAABMAFw/v//p/7//wlpAQAABpIBAAACMTEBbf7//6f+//8JbAEAAAaVAQAAB1JlZ3VsYXIH/wAAAAABAAAABAAAAAQ3R2xvYmVTb2Z0d2FyZS5BdGxhczQwLkF0bGFzQ29tbW9uLlR5cGUuRmllbGRPdXRwdXRGaWVsZA4AAAAJlgEAAA0DBw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vP7//wFo/v//u/7//wkAAAAJLQAAAAFm/v//vP7//wFl/v//u/7//wsAAAAGnAEAAAEyAWP+//+8/v//AWL+//+7/v//BAAAAAafAQAAB0dlbmVyYWwBYP7//7z+//8BX/7//7v+//8CAAAABqIBAAABMQFd/v//vP7//wFc/v//u/7//wAAAAAGpQEAAAQ3Ljg2Bw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7//6f+//8JWgEAAAlbAQAAAVf+//+n/v//CV0BAAAJWwEAAAFU/v//p/7//wlgAQAABq4BAAAFLTQxNDIBUf7//6f+//8JYwEAAAaxAQAAB0NhbGlicmkBTv7//6f+//8JZgEAAAa0AQAAATABS/7//6f+//8JaQEAAAa3AQAAAjExAUj+//+n/v//CWwBAAAGugEAAAdSZWd1bGFyBwQBAAAAAQAAAAQAAAAEN0dsb2JlU29mdHdhcmUuQXRsYXM0MC5BdGxhc0NvbW1vbi5UeXBlLkZpZWxkT3V0cHV0RmllbGQOAAAACbsBAAANAwc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7//7z+//8BQ/7//7v+//8JAAAACS0AAAABQf7//7z+//8BQP7//7v+//8LAAAABsEBAAABMwE+/v//vP7//wE9/v//u/7//wQAAAAGxAEAAAdHZW5lcmFsATv+//+8/v//ATr+//+7/v//AgAAAAbHAQAAATEBOP7//7z+//8BN/7//7v+//8AAAAABsoBAAAFMTIuODY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v//p/7//wlaAQAACVsBAAABMv7//6f+//8JXQEAAAlbAQAAAS/+//+n/v//CWABAAAG0wEAAAUtNDE0MgEs/v//p/7//wljAQAABtYBAAAHQ2FsaWJyaQEp/v//p/7//wlmAQAABtkBAAABMAEm/v//p/7//wlpAQAABtwBAAACMTEBI/7//6f+//8JbAEAAAbfAQAAB1JlZ3VsYXIHCQEAAAABAAAABAAAAAQ3R2xvYmVTb2Z0d2FyZS5BdGxhczQwLkF0bGFzQ29tbW9uLlR5cGUuRmllbGRPdXRwdXRGaWVsZA4AAAAJ4AEAAA0DBw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vP7//wEe/v//u/7//xAAAAAJSQEAAAEc/v//vP7//wEb/v//u/7//wkAAAAJLQAAAAEZ/v//vP7//wEY/v//u/7//wsAAAAG6QEAAAE0ARb+//+8/v//ARX+//+7/v//BAAAAAbsAQAAB0dlbmVyYWwBE/7//7z+//8BEv7//7v+//8CAAAABu8BAAABMQEQ/v//vP7//wEP/v//u/7//wAAAAAG8gEAAAUxMi43M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+//+n/v//CVoBAAAJWwEAAAEK/v//p/7//wldAQAACVsBAAABB/7//6f+//8JYAEAAAb7AQAABS00MTQyAQT+//+n/v//CWMBAAAG/gEAAAdDYWxpYnJpAQH+//+n/v//CWYBAAAGAQIAAAEwAf79//+n/v//CWkBAAAGBAIAAAIxMQH7/f//p/7//wlsAQAABgcCAAAHUmVndWxhcgcOAQAAAAEAAAAEAAAABDdHbG9iZVNvZnR3YXJlLkF0bGFzNDAuQXRsYXNDb21tb24uVHlwZS5GaWVsZE91dHB1dEZpZWxkDgAAAAkIAgAADQMHE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9//+8/v//Afb9//+7/v//EAAAAAlJAQAAAfT9//+8/v//AfP9//+7/v//CQAAAAktAAAAAfH9//+8/v//AfD9//+7/v//CwAAAAYRAgAAATUB7v3//7z+//8B7f3//7v+//8EAAAABhQCAAAHR2VuZXJhbAHr/f//vP7//wHq/f//u/7//wIAAAAGFwIAAAUtNDEwOAHo/f//vP7//wHn/f//u/7//wAAAAAGGgIAAAQ2LjcxBx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3//6f+//8JWgEAAAlbAQAAAeL9//+n/v//CV0BAAAJWwEAAAHf/f//p/7//wlgAQAABiMCAAAFLTQxNDIB3P3//6f+//8JYwEAAAYmAgAAB0NhbGlicmkB2f3//6f+//8JZgEAAAYpAgAAATAB1v3//6f+//8JaQEAAAYsAgAAAjExAdP9//+n/v//CWwBAAAGLwIAAAdSZWd1bGFyBxMBAAAAAQAAAAQAAAAEN0dsb2JlU29mdHdhcmUuQXRsYXM0MC5BdGxhc0NvbW1vbi5UeXBlLkZpZWxkT3V0cHV0RmllbGQOAAAACTACAAANAwEUAQAA9gAAAAcV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7z+//8Bzv3//7v+//8JAAAACS0AAAABzP3//7z+//8By/3//7v+//8LAAAABjYCAAABNgHJ/f//vP7//wHI/f//u/7//wQAAAAGOQIAAAdHZW5lcmFsAcb9//+8/v//AcX9//+7/v//AgAAAAY8AgAAATEBw/3//7z+//8Bwv3//7v+//8AAAAABj8CAAAEOC41NwEWAQAADAAAAA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9//+n/v//BkECAAAIRm9udEJvbGQJWwEAAAG9/f//p/7//wZEAgAACkZvbnRJdGFsaWMJWwEAAAG6/f//p/7//wZHAgAADUZvbnRVbmRlcmxpbmUGSAIAAAUtNDE0MgG3/f//p/7//wZKAgAACEZvbnROYW1lBksCAAAHQ2FsaWJyaQG0/f//p/7//wZNAgAACUZvbnRDb2xvcgZOAgAAATABsf3//6f+//8GUAIAAAhGb250U2l6ZQZRAgAAAjExAa79//+n/v//BlMCAAAJRm9udFN0eWxlBlQCAAAHUmVndWxhcgcYAQAAAAEAAAAEAAAABDdHbG9iZVNvZnR3YXJlLkF0bGFzNDAuQXRsYXNDb21tb24uVHlwZS5GaWVsZE91dHB1dEZpZWxkDgAAAAlVAgAADQMHG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r9//+8/v//Aan9//+7/v//CQAAAAktAAAAAaf9//+8/v//Aab9//+7/v//CwAAAAZbAgAAATcBpP3//7z+//8Bo/3//7v+//8EAAAABl4CAAAHR2VuZXJhbAGh/f//vP7//wGg/f//u/7//wIAAAAGYQIAAAExAZ79//+8/v//AZ39//+7/v//AAAAAAZkAgAABDguNTcHH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f//p/7//wlBAgAACVsBAAABmP3//6f+//8JRAIAAAlbAQAAAZX9//+n/v//CUcCAAAGbQIAAAUtNDE0MgGS/f//p/7//wlKAgAABnACAAAHQ2FsaWJyaQGP/f//p/7//wlNAgAABnMCAAABMAGM/f//p/7//wlQAgAABnYCAAACMTEBif3//6f+//8JUwIAAAZ5AgAAB1JlZ3VsYXIHHQEAAAABAAAABAAAAAQ3R2xvYmVTb2Z0d2FyZS5BdGxhczQwLkF0bGFzQ29tbW9uLlR5cGUuRmllbGRPdXRwdXRGaWVsZA4AAAAJegIAAA0DBx8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f//vP7//wGE/f//u/7//wkAAAAJLQAAAAGC/f//vP7//wGB/f//u/7//wsAAAAGgAIAAAE4AX/9//+8/v//AX79//+7/v//BAAAAAaDAgAAB0dlbmVyYWwBfP3//7z+//8Be/3//7v+//8CAAAABoYCAAABMQF5/f//vP7//wF4/f//u/7//wAAAAAGiQIAAAUxMy4yOQc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b9//+n/v//CUECAAAJWwEAAAFz/f//p/7//wlEAgAACVsBAAABcP3//6f+//8JRwIAAAaSAgAABS00MTQyAW39//+n/v//CUoCAAAGlQIAAAdDYWxpYnJpAWr9//+n/v//CU0CAAAGmAIAAAEwAWf9//+n/v//CVACAAAGmwIAAAIxMQFk/f//p/7//wlTAgAABp4CAAAHUmVndWxhcgciAQAAAAEAAAAAAAAABDdHbG9iZVNvZnR3YXJlLkF0bGFzNDAuQXRsYXNDb21tb24uVHlwZS5GaWVsZE91dHB1dEZpZWxkDgAAAA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3//7z+//8BYP3//7v+//8kAAAACakAAAABXv3//7z+//8BXf3//7v+//8LAAAABqQCAAABOQFb/f//vP7//wFa/f//u/7//wQAAAAGpwIAAAdHZW5lcmFsAVj9//+8/v//AVf9//+7/v//AgAAAAaqAgAAATEBVf3//7z+//8BVP3//7v+//8AAAAABq0CAAAFMjAuNDMBUv3//7z+//8BUf3//7v+//8DAAAABrACAAABM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n/v//CUECAAAJWwEAAAFM/f//p/7//wlEAgAACVsBAAABSf3//6f+//8JRwIAAAa5AgAABS00MTQyAUb9//+n/v//CUoCAAAGvAIAAAdDYWxpYnJpAUP9//+n/v//CU0CAAAGvwIAAAEwAUD9//+n/v//CVACAAAGwgIAAAIxMQE9/f//p/7//wlTAgAABsUCAAAHUmVndWxhcgc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v3//7z+//8BOf3//7v+//8kAAAACbYAAAABN/3//7z+//8BNv3//7v+//8LAAAABssCAAACMTABNP3//7z+//8BM/3//7v+//8EAAAABs4CAAAHR2VuZXJhbAEx/f//vP7//wEw/f//u/7//wIAAAAG0QIAAAExAS79//+8/v//AS39//+7/v//AAAAAAbUAgAABTE5LjQzASv9//+8/v//ASr9//+7/v//AwAAAAbXAgAABENhc2g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f//p/7//wlBAgAACVsBAAABJf3//6f+//8JRAIAAAlbAQAAASL9//+n/v//CUcCAAAG4AIAAAUtNDE0MgEf/f//p/7//wlKAgAABuMCAAAHQ2FsaWJyaQEc/f//p/7//wlNAgAABuYCAAABMAEZ/f//p/7//wlQAgAABukCAAACMTEBFv3//6f+//8JUwIAAAbsAgAAB1JlZ3VsYXIHL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9//+8/v//ARL9//+7/v//JAAAAAnDAAAAARD9//+8/v//AQ/9//+7/v//CwAAAAbyAgAAAjExAQ39//+8/v//AQz9//+7/v//BAAAAAb1AgAAB0dlbmVyYWwBCv3//7z+//8BCf3//7v+//8CAAAABvgCAAABMQEH/f//vP7//wEG/f//u/7//wAAAAAG+wIAAAIxMQEE/f//vP7//wED/f//u/7//wMAAAAG/gIAAAZERVBBQ0M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p/7//wlBAgAACVsBAAAB/vz//6f+//8JRAIAAAlbAQAAAfv8//+n/v//CUcCAAAGBwMAAAUtNDE0MgH4/P//p/7//wlKAgAABgoDAAAHQ2FsaWJyaQH1/P//p/7//wlNAgAABg0DAAABMAHy/P//p/7//wlQAgAABhADAAACMTEB7/z//6f+//8JUwIAAAYTAwAAB1JlZ3VsYXIHM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8//+8/v//Aev8//+7/v//JAAAAAnQAAAAAen8//+8/v//Aej8//+7/v//CwAAAAYZAwAAAjEyAeb8//+8/v//AeX8//+7/v//BAAAAAYcAwAAB0dlbmVyYWwB4/z//7z+//8B4vz//7v+//8CAAAABh8DAAABMQHg/P//vP7//wHf/P//u/7//wAAAAAGIgMAAAIxNwHd/P//vP7//wHc/P//u/7//wMAAAAGJQMAABFGaXhlZCBEZXBhcnRtZW50cw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8//+n/v//CUECAAAJWwEAAAHX/P//p/7//wlEAgAACVsBAAAB1Pz//6f+//8JRwIAAAYuAwAABS00MTQyAdH8//+n/v//CUoCAAAGMQMAAAdDYWxpYnJpAc78//+n/v//CU0CAAAGNAMAAAEwAcv8//+n/v//CVACAAAGNwMAAAIxMQHI/P//p/7//wlTAgAABjoDAAAHUmVndWxhcgc4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7z+//8BxPz//7v+//8kAAAACd0AAAABwvz//7z+//8Bwfz//7v+//8LAAAABkADAAACMTMBv/z//7z+//8Bvvz//7v+//8EAAAABkMDAAAHR2VuZXJhbAG8/P//vP7//wG7/P//u/7//wIAAAAGRgMAAAExAbn8//+8/v//Abj8//+7/v//AAAAAAZJAwAAATgBtvz//7z+//8Btfz//7v+//8DAAAABkwDAAAEQ2FzaAc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8//+n/v//CUECAAAJWwEAAAGw/P//p/7//wlEAgAACVsBAAABrfz//6f+//8JRwIAAAZVAwAABS00MTQyAar8//+n/v//CUoCAAAGWAMAAAdDYWxpYnJpAaf8//+n/v//CU0CAAAGWwMAAAEwAaT8//+n/v//CVACAAAGXgMAAAIxMQGh/P//p/7//wlTAgAABmEDAAAHUmVndWxhcgc7AQAAAAEAAAAAAAAABDdHbG9iZVNvZnR3YXJlLkF0bGFzNDAuQXRsYXNDb21tb24uVHlwZS5GaWVsZE91dHB1dEZpZWxkDgAAAA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z//7z+//8Bnfz//7v+//8kAAAACeoAAAABm/z//7z+//8Bmvz//7v+//8LAAAABmcDAAACMTQBmPz//7z+//8Bl/z//7v+//8EAAAABmoDAAAHR2VuZXJhbAGV/P//vP7//wGU/P//u/7//wIAAAAGbQMAAAExAZL8//+8/v//AZH8//+7/v//AAAAAAZwAwAABTcxLjQzAY/8//+8/v//AY78//+7/v//AwAAAAktAAAA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6f+//8JWgEAAAlbAQAAAYn8//+n/v//CV0BAAAJWwEAAAGG/P//p/7//wlgAQAABnwDAAAFLTQxNDIBg/z//6f+//8JYwEAAAZ/AwAAB0NhbGlicmkBgPz//6f+//8JZgEAAAaCAwAAATABffz//6f+//8JaQEAAAaFAwAAAjExAXr8//+n/v//CWwBAAAGiAMAAAdSZWd1bGFyBU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f8///R/////////wAGigMAAAZTdHJpbmcGiwMAAA5MZWRnZXIgYWNjb3VudAmMAwAAAXP8///P////AAAAAAVy/P//OUdsb2JlU29mdHdhcmUuQXRsYXM0MC5BdGxhc0NvbW1vbi5OdW1iZXJTZXF1ZW5jZUNvbmRpdGlvbgEAAAAHdmFsdWVfXwAIDgAAAAEAAAAAAAaPAwAAEVRhYmxlLkxlZGdlclRhYmxlCSoAAAAJLQAAAAr/////CY8DAAAKCSoAAAAKCgoJLQAAAAmVAwAACS0AAAABbgEAAEMBAAABafz//9H/////////AAaYAwAABlN0cmluZwaZAwAADEFjY291bnQgbmFtZQmMAwAAAWX8///P////AgAAAAFk/P//cvz//wEAAAAAAAmPAwAACTgAAAAJLQAAAAr/////CY8DAAAKCTgAAAAKCgoJLQAAAAmjAwAACS0AAAABlgEAAEMBAAABW/z//9H/////////AAamAwAABlN0cmluZwanAwAAD0xvY2FsIEFjY291bnQgIwmMAwAAAVf8///P////AgAAAAFW/P//cvz//wEAAAAAAAmPAwAACUYAAAAJLQAAAAr/////CY8DAAAKCUYAAAAKCgoJLQAAAAmxAwAACS0AAAABuwEAAEMBAAABTfz//9H/////////AAa0AwAABlN0cmluZwa1AwAAEkxvY2FsIEFjY291bnQgbmFtZQmMAwAAAUn8///P////AgAAAAFI/P//cvz//wEAAAAAAAmPAwAACVQAAAAJLQAAAAr/////CY8DAAAKCVQAAAAKCgoJLQAAAAm/AwAACS0AAAAB4AEAAEMBAAABP/z//9H/////////AAbCAwAABEVudW0GwwMAAAxBY2NvdW50IHR5cGUJjAMAAAE7/P//z////wIAAAABOvz//3L8//8BAAAAAAAJjwMAAAliAAAACS0AAAAK/////wmPAwAACgliAAAACgoKCS0AAAAJzQMAAAktAAAAAQgCAABDAQAAATH8///R/////////wAG0AMAAARFbnVtBtEDAAARTG9ja2VkIGluIGpvdXJuYWwJjAMAAAEt/P//z////wIAAAABLPz//3L8//8BAAAAAAAJjwMAAAlwAAAACS0AAAAK/////wmPAwAACglwAAAACgoKCS0AAAAJ2wMAAAktAAAAATACAABDAQAAASP8///R/////////wAG3gMAAARFbnVtBt8DAAAGQ2xvc2VkCeADAAABH/z//8////8CAAAAAR78//9y/P//AQAAAAAABuMDAAARVGFibGUuTGVkZ2VyVGFibGUJfgAAAAktAAAACv////8J4wMAAAoJfgAAAAoKCgktAAAACekDAAAJLQAAAAFVAgAAQwEAAAEV/P//0f////////8ABuwDAAAGU3RyaW5nBu0DAAAGQnJhbmNoCeADAAABEfz//8////8CAAAAARD8//9y/P//AQAAAAAACeMDAAAJjAAAAAktAAAACv////8J4wMAAAoJjAAAAAoKCgktAAAACfcDAAAJLQAAAAF6AgAAQwEAAAEH/P//0f////////8ACewDAAAG+wMAAApEZXBhcnRtZW50CeADAAABA/z//8////8CAAAAAQL8//9y/P//AQAAAAAACeMDAAAJmgAAAAktAAAACv////8J4wMAAAoJmgAAAAoKCgktAAAACQUEAAAJLQAAAAWM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dAAAABgcEAAALTGVkZ2VyVGFibGUGCAQAABhMZWRnZXIgY2hhcnQgb2YgYWNjb3VudHMJLQAAAAktAAAACS0AAAAF9vv//zBHbG9iZVNvZnR3YXJlLkF0bGFzNDAuQXRsYXNDb21tb24uRGF0YVNvdXJjZVR5cGUBAAAAB3ZhbHVlX18ACA4AAAAAAAAACQsEAAAJDAQAAATz+///C1N5c3RlbS5HdWlkCwAAAAJfYQJfYgJfYwJfZAJfZQJfZgJfZwJfaAJfaQJfagJfawAAAAAAAAAAAAAACAcHAgICAgICAgKYW+uVjGHjSoWAD7W9LMFiCS0AAAAJLQAAAAkPBAAACY8DAAAKCgoKCgEAAAAF7/v//zRHbG9iZVNvZnR3YXJlLkF0bGFzNDAuQXRsYXNDb21tb24uRGF0YVNvdXJjZUpvaW5Nb2RlAQAAAAd2YWx1ZV9fAAgOAAAAAAAAAAXu+///NUdsb2JlU29mdHdhcmUuQXRsYXM0MC5BdGxhc0NvbW1vbi5EYXRhU291cmNlRmV0Y2hNb2RlAQAAAAd2YWx1ZV9fAAgOAAAAAAAAAAAJEwQAAAGVAwAAKQAAALEAAAAJ+AAAAAMAAAAJFQQAAAGjAwAAKQAAALEAAAAJ+AAAAAMAAAAJFwQAAAGxAwAAKQAAAK4AAAAJ+AAAAAMAAAAJGQQAAAG/AwAAKQAAAK4AAAAJ+AAAAAMAAAAJGwQAAAHNAwAAKQAAALEAAAAJ+AAAAAMAAAAJHQQAAAHbAwAAKQAAALEAAAAJ+AAAAAMAAAAJHwQAAAHgAwAAjAMAAP////8GIAQAAAtMZWRnZXJUYWJsZQYhBAAAGExlZGdlciBjaGFydCBvZiBhY2NvdW50cwktAAAACS0AAAAJLQAAAAHd+///9vv//wAAAAAJJAQAAAklBAAAAdr7///z+///z2UqGiXGRkynaA077QUtgAktAAAACS0AAAAJKAQAAAnjAwAACgoKCgoBAAAAAdb7///v+///AAAAAAHV+///7vv//wAAAAAACSwEAAAB6QMAACkAAACAAAAACRYBAAADAAAACS4EAAAB9wMAACkAAACAAAAACRYBAAADAAAACTAEAAABBQQAACkAAACAAAAACRYBAAADAAAACTIEAAAECw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MwQAAAcAAAAJNAQAAAQM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HAAAACTMEAAAHAAAACTYEAAAED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MEAAAAAAAABBM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gEAAAAAAAABx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v//6f+//8GOgQAAAhIZWxwVGV4dAY7BAAAJUFjY291bnQgbnVtYmVyIGZvciBwb3N0aW5nIGluIGxlZGdlci4BxPv//6f+//8GPQQAAAVMYWJlbAmLAwAAAcH7//+n/v//BkAEAAAEVHlwZQmKAwAABx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v//6f+//8JOgQAAAZEBAAAEE5hbWUgb2YgYWNjb3VudC4Bu/v//6f+//8JPQQAAAmZAwAAAbj7//+n/v//CUAEAAAJmAMAAAc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X7//+n/v//CT0EAAAJpwMAAAGy+///p/7//wlABAAACaYDAAAHG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p/7//wk9BAAACbUDAAABrPv//6f+//8JQAQAAAm0AwAABx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6f+//8JOgQAAAZZBAAAQkFjY291bnQgdHlwZSwgZm9yIGV4YW1wbGUgcHJvZml0ICYgbG9zcywgYmFsYW5jZSwgaGVhZGVyIG9yIHRvdGFsLgGm+///p/7//wk9BAAACcMDAAABo/v//6f+//8JQAQAAAnCAwAABx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v//6f+//8JOgQAAAZiBAAAJExvY2sgdGhlIGFjY291bnQgZnJvbSBtYW51YWwgcG9zdGluZwGd+///p/7//wk9BAAACdEDAAABmvv//6f+//8JQAQAAAnQAwAAASQEAAALBAAACQAAAAlpBAAAEQAAAAlqBAAAASUEAAAMBAAAAQAAAAn4AAAAAwAAAAlsBAAAASgEAAAPBAAAAAAAAAlpBAAAAAAAAAEsBAAAEwQAAAAAAAAJbgQAAAAAAAAHL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///p/7//wZwBAAABUxhYmVsCd8DAAABjvv//6f+//8GcwQAAARUeXBlCd4DAAAHM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+///p/7//wlwBAAACe0DAAABiPv//6f+//8JcwQAAAnsAwAABz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v//6f+//8JcAQAAAn7AwAAAYL7//+n/v//CXMEAAAJ7AMAAAEzBAAADAAAAAc0B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/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CBAAAHFRhYmxlLkxlZGdlclRhYmxlLkFjY291bnROdW0JQwEAAAF8+///f/v//waFBAAAHVRhYmxlLkxlZGdlclRhYmxlLkFjY291bnROYW1lCW4BAAABefv//3/7//8GiAQAAB9UYWJsZS5MZWRnZXJUYWJsZS5BY2NvdW50UGxUeXBlCeABAAABdvv//3/7//8GiwQAAChUYWJsZS5MZWRnZXJUYWJsZS5MZWRnZXJBY2NvdW50TG9jYWxfc3N0CZYBAAABc/v//3/7//8GjgQAACJUYWJsZS5MZWRnZXJUYWJsZS5CbG9ja2VkSW5Kb3VybmFsCQgCAAABcPv//3/7//8GkQQAACxUYWJsZS5MZWRnZXJUYWJsZS5MZWRnZXJBY2NvdW50TmFtZUxvY2FsX3NzdAm7AQAABzYE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t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pQEAAAdVGFibGUuTGVkZ2VyVGFibGUuQWNjb3VudE5hbWUJlQQAAAFq+///bfv//waXBAAAH1RhYmxlLkxlZGdlclRhYmxlLkFjY291bnRQbFR5cGUJmAQAAAFn+///bfv//waaBAAAGFRhYmxlLkxlZGdlclRhYmxlLkNsb3NlZAmbBAAAAWT7//9t+///Bp0EAAAcVGFibGUuTGVkZ2VyVGFibGUuRGF0YUFyZWFJZAmeBAAAAWH7//9t+///BqAEAAAhVGFibGUuTGVkZ2VyVGFibGUuRGViQ3JlZFByb3Bvc2FsCaEEAAABXvv//237//8GowQAABxUYWJsZS5MZWRnZXJUYWJsZS5BY2NvdW50TnVtCaQEAAABW/v//237//8GpgQAACJUYWJsZS5MZWRnZXJUYWJsZS5CbG9ja2VkSW5Kb3VybmFsCacEAAAEO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WkEAAAMAAAAB2o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j7//9/+///BqkEAAAcVGFibGUuTGVkZ2VyVGFibGUuQWNjb3VudE51bQlDAQAAAVX7//9/+///BqwEAAAdVGFibGUuTGVkZ2VyVGFibGUuQWNjb3VudE5hbWUJbgEAAAFS+///f/v//wavBAAAKFRhYmxlLkxlZGdlclRhYmxlLkxlZGdlckFjY291bnRMb2NhbF9zc3QJlgEAAAFP+///f/v//wayBAAALFRhYmxlLkxlZGdlclRhYmxlLkxlZGdlckFjY291bnROYW1lTG9jYWxfc3N0CbsBAAABTPv//3/7//8GtQQAAB9UYWJsZS5MZWRnZXJUYWJsZS5BY2NvdW50UGxUeXBlCeABAAABSfv//3/7//8GuAQAACJUYWJsZS5MZWRnZXJUYWJsZS5CbG9ja2VkSW5Kb3VybmFsCQgCAAABRvv//3/7//8GuwQAABhUYWJsZS5MZWRnZXJUYWJsZS5DbG9zZWQJMAIAAAFD+///f/v//wa+BAAAHlRhYmxlLkxlZGdlclRhYmxlLkRpbWVuc2lvblsxXQlVAgAAAUD7//9/+///BsEEAAAeVGFibGUuTGVkZ2VyVGFibGUuRGltZW5zaW9uWzJdCXoCAAAHbA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37//9t+///BsQEAAAYVGFibGUuTGVkZ2VyVGFibGUuQ2xvc2VkCcUEAAABbgQAADgEAAAFlQQ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8DAAAGxwQAAAtBY2NvdW50TmFtZQktAAAACS0AAAD/////CY8DAAAKCccEAAAKCgoJLQAAAAnMBAAACS0AAAABmAQAAJUEAAAJjwMAAAbPBAAADUFjY291bnRQbFR5cGUJLQAAAAktAAAA/////wmPAwAACgnPBAAACgoKCS0AAAAJ1AQAAAktAAAAAZsEAACVBAAACY8DAAAG1wQAAAZDbG9zZWQJLQAAAAktAAAA/////wmPAwAACgnXBAAACgoKCS0AAAAJ3AQAAAktAAAAAZ4EAACVBAAACY8DAAAG3wQAAApEYXRhQXJlYUlkCS0AAAAJLQAAAP////8JjwMAAAoJ3wQAAAoKCgktAAAACeQEAAAJLQAAAAGhBAAAlQQAAAmPAwAABucEAAAPRGViQ3JlZFByb3Bvc2FsCS0AAAAJLQAAAP////8JjwMAAAoJ5wQAAAoKCgktAAAACewEAAAJLQAAAAGkBAAAlQQAAAmPAwAABu8EAAAKQWNjb3VudE51bQktAAAACS0AAAD/////CY8DAAAKCe8EAAAKCgoJLQAAAAn0BAAACS0AAAABpwQAAJUEAAAJjwMAAAb3BAAAEEJsb2NrZWRJbkpvdXJuYWwJLQAAAAktAAAA/////wmPAwAACgn3BAAACgoKCS0AAAAJ/AQAAAktAAAAAcUEAACVBAAACY8DAAAJ1wQAAAktAAAABgEFAAACTm//////CY8DAAAKCdcEAAAKCgoJLQAAAAkFBQAACS0AAAAEz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3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5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7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9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/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BBQUAACkAAAAwAAAACfgAAAADAAAACQgFAAAHC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+v//p/7//wlABAAABgsFAAAERW51bQH0+v//p/7//wk9BAAABg4FAAAGQ2xvc2VkCw==</Report>
</Atlas>
</file>

<file path=customXml/item18.xml><?xml version="1.0" encoding="utf-8"?>
<Atlas>
  <Query type="ReportList" id="e06be692-1f5d-4bef-b7ea-7b0e1f6acf4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VVGF4TGVkZ2VyQWNjb3VudEdyb3VwBh4AAAAVTGVkZ2VyIHBvc3RpbmcgZ3JvdXBzCQgAAAAJCAAAAAkIAAAABeD///8wR2xvYmVTb2Z0d2FyZS5BdGxhczQwLkF0bGFzQ29tbW9uLkRhdGFTb3VyY2VUeXBlAQAAAAd2YWx1ZV9fAAgCAAAAAAAAAAkhAAAACSIAAAAE3f///wtTeXN0ZW0uR3VpZAsAAAACX2ECX2ICX2MCX2QCX2UCX2YCX2cCX2gCX2kCX2oCX2sAAAAAAAAAAAAAAAgHBwICAgICAgICXkgc07yAk0eUe2MqWy4m2AkIAAAACQgAAAAJJQAAAAYmAAAAG1RhYmxlLlRheExlZGdlckFjY291bnRHcm91c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JNQAAAAoRFQAAAAQAAAAGNgAAAA5BdGxhc1JlcG9ydF8xM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f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v///z5HbG9iZVNvZnR3YXJlLkF0bGFzNDAuQXRsYXNDb21tb24uVHlwZS5BdGxhc1F1ZXJ5QXR0cmlidXRlTmFtZQEAAAAHdmFsdWVfXwAIAgAAAAIAAAAGOwAAACRlMDZiZTY5Mi0xZjVkLTRiZWYtYjdlYS03YjBlMWY2YWNmNDEBxP///8f///8Bw////8b///8AAAAABj4AAAAEdHJ1ZQHB////x////wHA////xv///wsAAAAGQQAAABVMZWRnZXIgcG9zdGluZyBncm91cHMBvv///8f///8Bvf///8b///8bAAAABkQAAAAEVHJ1ZQG7////x////wG6////xv///wYAAAAGRwAAAAVGYWxzZQG4////x////wG3////xv///xwAAAAJRAAAAAG1////x////wG0////xv///x0AAAAJRwAAAAGy////x////wGx////xv///yoAAAAJRAAAAAGv////x////wGu////xv///wEAAAAGUwAAAAMzNzE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FVRheExlZGdlckFjY291bnRHcm91c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ZAAAAAcAAAAJZ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k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o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kAAAAJagAAAAlrAAAABmwAAAAPVGF4QWNjb3VudEdyb3VwBm0AAAAUTGVkZ2VyIHBvc3RpbmcgZ3JvdXAGbgAAAAZTdHJpbmcJCAAAAAZwAAAAJDQxYjc2ZjdjLTU1NTItNDA2Ni04NzM1LTgyMjE4YzEyZGUwYgWP////LUdsb2JlU29mdHdhcmUuQXRsYXM0MC5BdGxhc0NvbW1vbi5BZ2dyZWdhdGlvbgEAAAAHdmFsdWVfXwAIAgAAAP////8AAAAABY7///8sR2xvYmVTb2Z0d2FyZS5BdGxhczQwLkF0bGFzQ29tbW9uLkNvbHVtblR5cGUBAAAAB3ZhbHVlX18ACAIAAAAAAAAABY3///8rR2xvYmVTb2Z0d2FyZS5BdGxhczQwLkF0bGFzQ29tbW9uLlNvcnRPcmRlcgEAAAAHdmFsdWVfXwAIAgAAAAIAAAAAAAAAAAWM////QEdsb2JlU29mdHdhcmUuQXRsYXM0MC5BdGxhc0NvbW1vbi5UeXBlLkNvbHVtbitDcm9zc1RhYkNvbHVtblR5cGUBAAAAB3ZhbHVlX18ACAIAAAAAAAAACgEAAAAAAAAAAAAAAAAABnUAAAAkZTg5ZTQxMGUtZTY4My00YzU5LTg3MDEtNGU1NGZkZjU1OTUwBnYAAAArVGFibGUuVGF4TGVkZ2VyQWNjb3VudEdyb3VwLlRheEFjY291bnRHcm91cAoKCgoBMAAAAC8AAAAJdwAAAAl4AAAACXkAAAAGegAAAAROYW1lBnsAAAALRGVzY3JpcHRpb24GfAAAAAZTdHJpbmcJCAAAAAZ+AAAAJDRkZTJiNWI4LWVjZmQtNDJkNy04MGYzLTJhYzA2MWI2NzNkNgGB////j/////////8BAAAAAYD///+O////AAAAAAF/////jf///wIAAAAAAAAAAAF+////jP///wAAAAAKAQAAAAAAAAAAAQAAAAAGgwAAACQ2Mjc0YjAwMC02NzRhLTQ2OGYtOGM3Yy1iODBkOTUxZmI2YzIGhAAAACBUYWJsZS5UYXhMZWRnZXJBY2NvdW50R3JvdXAuTmFtZQoKCgoBMQAAAC8AAAAJhQAAAAmGAAAACYcAAAAGiAAAABJUYXhBY2NvdW50T3V0Z29pbmcGiQAAABFTYWxlcyB0YXggcGF5YWJsZQaKAAAABlN0cmluZwkIAAAABowAAAAkYmM0OWFiMjItYjJkNi00MDg0LWE1YjktMWI1OWIxYmFmZDRmAXP///+P/////////wIAAAABcv///47///8AAAAAAXH///+N////AgAAAAAAAAAAAXD///+M////AAAAAAoBAAAAAAAAAAACAAAAAAaRAAAAJGZiMDkyOTA4LTUxOWEtNGI1ZS1hOTQ2LTg1MGEzYTRhZWU1YgaSAAAALlRhYmxlLlRheExlZGdlckFjY291bnRHcm91cC5UYXhBY2NvdW50T3V0Z29pbmcKCgoKATIAAAAvAAAACZMAAAAJlAAAAAmVAAAABpYAAAASVGF4QWNjb3VudEluY29taW5nBpcAAAAUU2FsZXMgdGF4IHJlY2VpdmFibGUGmAAAAAZTdHJpbmcJCAAAAAaaAAAAJDk4ZWVjNDUzLTI4MWMtNGU2NC05YzQ5LTVkMTc5ODYwODQ1MgFl////j/////////8DAAAAAWT///+O////AAAAAAFj////jf///wIAAAAAAAAAAAFi////jP///wAAAAAKAQAAAAAAAAAAAwAAAAAGnwAAACRhYmMwNmZhOC1hYWNhLTQ0NWMtYTViZi03ODY4MjQ3ZDVhOWEGoAAAAC5UYWJsZS5UYXhMZWRnZXJBY2NvdW50R3JvdXAuVGF4QWNjb3VudEluY29taW5nCgoKCgEzAAAALwAAAAmhAAAACaIAAAAJowAAAAakAAAAEFRheEFjY291bnRVc2VUYXgGpQAAAA9Vc2UgdGF4IGV4cGVuc2UGpgAAAAZTdHJpbmcJCAAAAAaoAAAAJDQ4ZmFkMTlmLTMyYTUtNDFmZS1hOTI4LTU4Y2U4NWJhZTkzNQFX////j/////////8EAAAAAVb///+O////AAAAAAFV////jf///wIAAAAAAAAAAAFU////jP///wAAAAAKAQAAAAAAAAAABAAAAAAGrQAAACQ0MDBhYTMzOC01NjQ2LTQ2ODktOWFkYi00Yjc5OTU3ZDNiNjYGrgAAACxUYWJsZS5UYXhMZWRnZXJBY2NvdW50R3JvdXAuVGF4QWNjb3VudFVzZVRheAoKCgoBNAAAAC8AAAAJrwAAAAmwAAAACbEAAAAGsgAAABZUYXhPZmZzZXRBY2NvdW50VXNlVGF4BrMAAAAPVXNlIHRheCBwYXlhYmxlBrQAAAAGU3RyaW5nCQgAAAAGtgAAACQxZjJkZWZlNC1kMGY3LTRjODgtOGQ4MS1hMGE1OTQ2ODgxNDcBSf///4//////////BQAAAAFI////jv///wAAAAABR////43///8CAAAAAAAAAAABRv///4z///8AAAAACgEAAAAAAAAAAAUAAAAABrsAAAAkOWIzOTRjMzYtZmViZC00MTJjLTlmOTctZDI4ZTI2NzU5NzVlBrwAAAAyVGFibGUuVGF4TGVkZ2VyQWNjb3VudEdyb3VwLlRheE9mZnNldEFjY291bnRVc2VUYXgKCgoKATUAAAAvAAAACb0AAAAJvgAAAAm/AAAABsAAAAAQVGF4QWNjb3VudFJlcG9ydAbBAAAAElNldHRsZW1lbnQgYWNjb3VudAbCAAAABlN0cmluZwkIAAAABsQAAAAkMjMxOWQ4NWUtNmNiNy00NTY0LTkxYTktNThlZWFhMWI0NjM2ATv///+P/////////wYAAAABOv///47///8AAAAAATn///+N////AgAAAAAAAAAAATj///+M////AAAAAAoBAAAAAAAAAAAGAAAAAAbJAAAAJGY4ZjZiYmU3LTc2ZTMtNDUyYi05NWYxLTFmZDAwMDZlZjNlNwbKAAAALFRhYmxlLlRheExlZGdlckFjY291bnRHcm91cC5UYXhBY2NvdW50UmVwb3J0CgoKCgFkAAAAEgAAAAdl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MAAAAK1RhYmxlLlRheExlZGdlckFjY291bnRHcm91cC5UYXhBY2NvdW50R3JvdXAJzQAAAAEy////Nf///wbPAAAAIFRhYmxlLlRheExlZGdlckFjY291bnRHcm91cC5OYW1lCdAAAAABL////zX///8G0gAAAC5UYWJsZS5UYXhMZWRnZXJBY2NvdW50R3JvdXAuVGF4QWNjb3VudE91dGdvaW5nCdMAAAABLP///zX///8G1QAAAC5UYWJsZS5UYXhMZWRnZXJBY2NvdW50R3JvdXAuVGF4QWNjb3VudEluY29taW5nCdYAAAABKf///zX///8G2AAAACxUYWJsZS5UYXhMZWRnZXJBY2NvdW50R3JvdXAuVGF4QWNjb3VudFVzZVRheAnZAAAAASb///81////BtsAAAAyVGFibGUuVGF4TGVkZ2VyQWNjb3VudEdyb3VwLlRheE9mZnNldEFjY291bnRVc2VUYXgJ3AAAAAEj////Nf///wbeAAAALFRhYmxlLlRheExlZGdlckFjY291bnRHcm91cC5UYXhBY2NvdW50UmVwb3J0Cd8AAAAEa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eAAAAABAAAAAQAAAARq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4AAAAJ4QAAAAcAAAAJ4gAAAAR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4wAAAAcAAAAJ5AAAAAF3AAAAaQAAAAnlAAAAAQAAAAEAAAABeAAAAGoAAABtAAAACeEAAAAHAAAACecAAAAEe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eMAAAAHAAAACekAAAABhQAAAGkAAAAJ6gAAAAEAAAABAAAAAYYAAABqAAAAbQAAAAnhAAAABwAAAAnsAAAABI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jAAAABwAAAAnuAAAAAZMAAABpAAAACe8AAAABAAAAAQAAAAGUAAAAagAAAG0AAAAJ4QAAAAcAAAAJ8QAAAAS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4wAAAAcAAAAJ8wAAAAGhAAAAaQAAAAn0AAAAAQAAAAEAAAABogAAAGoAAABtAAAACeEAAAAHAAAACfYAAAAEo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eMAAAAHAAAACfgAAAABrwAAAGkAAAAJ+QAAAAEAAAABAAAAAbAAAABqAAAAbQAAAAnhAAAABwAAAAn7AAAABL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jAAAABwAAAAn9AAAAAb0AAABpAAAACf4AAAABAAAAAQAAAAG+AAAAagAAAG0AAAAJ4QAAAAcAAAAJAAEAAAS/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4wAAAAcAAAAJAgEAAAXN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9/v//j/////////8ABgQBAAAGU3RyaW5nBgUBAAAUTGVkZ2VyIHBvc3RpbmcgZ3JvdXAJBgEAAAH5/v//jf///wIAAAAF+P7//zlHbG9iZVNvZnR3YXJlLkF0bGFzNDAuQXRsYXNDb21tb24uTnVtYmVyU2VxdWVuY2VDb25kaXRpb24BAAAAB3ZhbHVlX18ACAIAAAABAAAAAAAGCQEAABtUYWJsZS5UYXhMZWRnZXJBY2NvdW50R3JvdXAJbAAAAAkIAAAACv////8JCQEAAAoJbAAAAAoKCgkIAAAACQ8BAAAJCAAAAAHQAAAAzQAAAAHv/v//j/////////8ABhIBAAAGU3RyaW5nBhMBAAALRGVzY3JpcHRpb24JBgEAAAHr/v//jf///wIAAAAB6v7///j+//8BAAAAAAAJCQEAAAl6AAAACQgAAAAK/////wkJAQAACgl6AAAACgoKCQgAAAAJHQEAAAkIAAAAAdMAAADNAAAAAeH+//+P/////////wAGIAEAAAZTdHJpbmcGIQEAABFTYWxlcyB0YXggcGF5YWJsZQkGAQAAAd3+//+N////AgAAAAHc/v//+P7//wEAAAAAAAkJAQAACYgAAAAJCAAAAAr/////CQkBAAAKCYgAAAAKCgoJCAAAAAkrAQAACQgAAAAB1gAAAM0AAAAB0/7//4//////////AAYuAQAABlN0cmluZwYvAQAAFFNhbGVzIHRheCByZWNlaXZhYmxlCQYBAAABz/7//43///8CAAAAAc7+///4/v//AQAAAAAACQkBAAAJlgAAAAkIAAAACv////8JCQEAAAoJlgAAAAoKCgkIAAAACTkBAAAJCAAAAAHZAAAAzQAAAAHF/v//j/////////8ABjwBAAAGU3RyaW5nBj0BAAAPVXNlIHRheCBleHBlbnNlCQYBAAABwf7//43///8CAAAAAcD+///4/v//AQAAAAAACQkBAAAJpAAAAAkIAAAACv////8JCQEAAAoJpAAAAAoKCgkIAAAACUcBAAAJCAAAAAHcAAAAzQAAAAG3/v//j/////////8ABkoBAAAGU3RyaW5nBksBAAAPVXNlIHRheCBwYXlhYmxlCQYBAAABs/7//43///8CAAAAAbL+///4/v//AQAAAAAACQkBAAAJsgAAAAkIAAAACv////8JCQEAAAoJsgAAAAoKCgkIAAAACVUBAAAJCAAAAAHfAAAAzQAAAAGp/v//j/////////8ABlgBAAAGU3RyaW5nBlkBAAASU2V0dGxlbWVudCBhY2NvdW50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BTQ4LjcxAeMAAAASAAAA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IzMA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HR2VuZXJhbAE7/v//mv7//wE6/v//mf7//wIAAAAGxwEAAAExATj+//+a/v//ATf+//+Z/v//AAAAAAbKAQAABTE3Ljg2B+4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4X+//8JfAEAAAl9AQAAATL+//+F/v//CX8BAAAJfQEAAAEv/v//hf7//wmCAQAABtMBAAAFLTQxNDIBLP7//4X+//8JhQEAAAbWAQAAB0NhbGlicmkBKf7//4X+//8JiAEAAAbZAQAAATABJv7//4X+//8JiwEAAAbcAQAAAjExASP+//+F/v//CY4BAAAG3wEAAAdSZWd1bGFyB+8AAAAAAQAAAAQAAAAEN0dsb2JlU29mdHdhcmUuQXRsYXM0MC5BdGxhc0NvbW1vbi5UeXBlLkZpZWxkT3V0cHV0RmllbGQCAAAACdYAAAANAw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7//5r+//8BHv7//5n+//8QAAAACWsBAAABHP7//5r+//8BG/7//5n+//8JAAAACQgAAAABGf7//5r+//8BGP7//5n+//8LAAAABukBAAABMwEW/v//mv7//wEV/v//mf7//wQAAAAG7AEAAAdHZW5lcmFsARP+//+a/v//ARL+//+Z/v//AgAAAAbvAQAAATEBEP7//5r+//8BD/7//5n+//8AAAAABvIBAAAFMjAuMjk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v//hf7//wl8AQAACX0BAAABCv7//4X+//8JfwEAAAl9AQAAAQf+//+F/v//CYIBAAAG+wEAAAUtNDE0MgEE/v//hf7//wmFAQAABv4BAAAHQ2FsaWJyaQEB/v//hf7//wmIAQAABgECAAABMAH+/f//hf7//wmLAQAABgQCAAACMTEB+/3//4X+//8JjgEAAAYHAgAAB1JlZ3VsYXIH9AAAAAABAAAABAAAAAQ3R2xvYmVTb2Z0d2FyZS5BdGxhczQwLkF0bGFzQ29tbW9uLlR5cGUuRmllbGRPdXRwdXRGaWVsZAIAAAAJ2QAAAA0DB/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f//mv7//wH2/f//mf7//xAAAAAJawEAAAH0/f//mv7//wHz/f//mf7//wkAAAAJCAAAAAHx/f//mv7//wHw/f//mf7//wsAAAAGEQIAAAE0Ae79//+a/v//Ae39//+Z/v//BAAAAAYUAgAAB0dlbmVyYWwB6/3//5r+//8B6v3//5n+//8CAAAABhcCAAABMQHo/f//mv7//wHn/f//mf7//wAAAAAGGgIAAAUxNy4yO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F/v//CXwBAAAJfQEAAAHi/f//hf7//wl/AQAACX0BAAAB3/3//4X+//8JggEAAAYjAgAABS00MTQyAdz9//+F/v//CYUBAAAGJgIAAAdDYWxpYnJpAdn9//+F/v//CYgBAAAGKQIAAAEwAdb9//+F/v//CYsBAAAGLAIAAAIxMQHT/f//hf7//wmOAQAABi8CAAAHUmVndWxhcgf5AAAAAAEAAAAEAAAABDdHbG9iZVNvZnR3YXJlLkF0bGFzNDAuQXRsYXNDb21tb24uVHlwZS5GaWVsZE91dHB1dEZpZWxkAgAAAAncAA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9//+a/v//Ac79//+Z/v//EAAAAAlrAQAAAcz9//+a/v//Acv9//+Z/v//CQAAAAkIAAAAAcn9//+a/v//Acj9//+Z/v//CwAAAAY5AgAAATUBxv3//5r+//8Bxf3//5n+//8EAAAABjwCAAAHR2VuZXJhbAHD/f//mv7//wHC/f//mf7//wIAAAAGPwIAAAExAcD9//+a/v//Ab/9//+Z/v//AAAAAAZCAgAABTE2Ljcx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3//4X+//8JfAEAAAl9AQAAAbr9//+F/v//CX8BAAAJfQEAAAG3/f//hf7//wmCAQAABksCAAAFLTQxNDIBtP3//4X+//8JhQEAAAZOAgAAB0NhbGlicmkBsf3//4X+//8JiAEAAAZRAgAAATABrv3//4X+//8JiwEAAAZUAgAAAjExAav9//+F/v//CY4BAAAGVwIAAAdSZWd1bGFyB/4AAAAAAQAAAAQAAAAEN0dsb2JlU29mdHdhcmUuQXRsYXM0MC5BdGxhc0NvbW1vbi5UeXBlLkZpZWxkT3V0cHV0RmllbGQCAAAACd8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3//5r+//8Bpv3//5n+//8QAAAACWsBAAABpP3//5r+//8Bo/3//5n+//8JAAAACQgAAAABof3//5r+//8BoP3//5n+//8LAAAABmECAAABNgGe/f//mv7//wGd/f//mf7//wQAAAAGZAIAAAdHZW5lcmFsAZv9//+a/v//AZr9//+Z/v//AgAAAAZnAgAAATEBmP3//5r+//8Bl/3//5n+//8AAAAABmoCAAAFMjAuMTQ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f//hf7//wl8AQAACX0BAAABkv3//4X+//8JfwEAAAl9AQAAAY/9//+F/v//CYIBAAAGcwIAAAUtNDE0MgGM/f//hf7//wmFAQAABnYCAAAHQ2FsaWJyaQGJ/f//hf7//wmIAQAABnkCAAADMjU1AYb9//+F/v//CYsBAAAGfAIAAAIxMQGD/f//hf7//wmOAQAABn8CAAAHUmVndWxhcgEGAQAADgAAALEBAAAGgAIAABVUYXhMZWRnZXJBY2NvdW50R3JvdXAGgQIAABVMZWRnZXIgcG9zdGluZyBncm91cHMJCAAAAAkIAAAACQgAAAABff3//+D///8AAAAACYQCAAAJhQIAAAF6/f//3f///1oUOVJwY6xGujqqKQ4k2MkJCAAAAAkIAAAACYgCAAAJCQEAAAoKCgoKAQAAAAF2/f//2f///wAAAAABdf3//9j///8AAAAAAAmM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O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Q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S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U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W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Y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njAAAAAwAAAAmaAgAAAYQCAAAhAAAABwAAAAmbAgAABwAAAAmcAgAAAYUCAAAiAAAAAAAAAAmbAgAAAAAAAAS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IAAAAAAAABjAIAACkAAAAAAAAACZ4CAAAAAAAAB44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GoAIAAAhIZWxwVGV4dAahAgAAK05hbWUgb2YgbGVkZ2VyIHBvc3RpbmcgZ3JvdXAgZm9yIHNhbGVzIHRheC4BXv3//4X+//8GowIAAAVMYWJlbAkFAQAAAVv9//+F/v//BqYCAAAEVHlwZQkEAQAAB5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oAIAAAaqAgAAIERlc2NyaXB0aW9uIG9mIHRoZSBwb3N0aW5nIGdyb3VwAVX9//+F/v//CaMCAAAJEwEAAAFS/f//hf7//wmmAgAACRIBAAAHk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gAgAABrMCAAAkQWNjb3VudCBudW1iZXIgZm9yIHNhbGVzIHRheCBwYXlhYmxlAUz9//+F/v//CaMCAAAJIQEAAAFJ/f//hf7//wmmAgAACSABAAAHl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hf7//wmgAgAABrwCAAAnQWNjb3VudCBudW1iZXIgZm9yIHNhbGVzIHRheCByZWNlaXZhYmxlAUP9//+F/v//CaMCAAAJLwEAAAFA/f//hf7//wmmAgAACS4BAAAHl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f//hf7//wmgAgAABsUCAAAiTGVkZ2VyIGFjY291bnQgZm9yIHBvc3RpbmcgdXNlIHRheAE6/f//hf7//wmjAgAACT0BAAABN/3//4X+//8JpgIAAAk8AQ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4X+//8JoAIAAAbOAgAAJUxlZGdlciBhY2NvdW50IGZvciBvZmZzZXR0aW5nIHVzZSB0YXgBMf3//4X+//8JowIAAAlLAQAAAS79//+F/v//CaYCAAAJSgEAAAe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9//+F/v//CaACAAAG1wIAACBBY2NvdW50IGZvciBwYXltZW50IG9mIHNhbGVzIHRheAEo/f//hf7//wmjAgAACVkBAAABJf3//4X+//8JpgIAAAlYAQAAAZsCAAASAAAAB5w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9//81////Bt8CAAArVGFibGUuVGF4TGVkZ2VyQWNjb3VudEdyb3VwLlRheEFjY291bnRHcm91cAnNAAAAAR/9//81////BuICAAAgVGFibGUuVGF4TGVkZ2VyQWNjb3VudEdyb3VwLk5hbWUJ0AAAAAEc/f//Nf///wblAgAALlRhYmxlLlRheExlZGdlckFjY291bnRHcm91cC5UYXhBY2NvdW50T3V0Z29pbmcJ0wAAAAEZ/f//Nf///wboAgAALlRhYmxlLlRheExlZGdlckFjY291bnRHcm91cC5UYXhBY2NvdW50SW5jb21pbmcJ1gAAAAEW/f//Nf///wbrAgAALFRhYmxlLlRheExlZGdlckFjY291bnRHcm91cC5UYXhBY2NvdW50VXNlVGF4CdkAAAABE/3//zX///8G7gIAADJUYWJsZS5UYXhMZWRnZXJBY2NvdW50R3JvdXAuVGF4T2Zmc2V0QWNjb3VudFVzZVRheAncAAAAARD9//81////BvECAAAsVGFibGUuVGF4TGVkZ2VyQWNjb3VudEdyb3VwLlRheEFjY291bnRSZXBvcnQJ3wAAAAGeAgAAaAAAAAs=
    <Output>
      <OutputObject name="AtlasReport_10"/>
    </Output>
  </Query>
</Atlas>
</file>

<file path=customXml/item19.xml><?xml version="1.0" encoding="utf-8"?>
<Atlas>
  <Report name="AtlasReport_10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gAAAAkDAAAACQQAAAAGBQAAAA5BdGxhc1JlcG9ydF8xMA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kF0bGFzUmVwb3J0XzEwX1RhYmxlXzEJHQ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wAAAAgICR4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fAAAACSAAAAAJIQAAAAYiAAAAD1RheEFjY291bnRHcm91cAYjAAAAFExlZGdlciBwb3N0aW5nIGdyb3VwBiQAAAAGU3RyaW5nBiUAAAAABiYAAAAkNDFiNzZmN2MtNTU1Mi00MDY2LTg3MzUtODIyMThjMTJkZTBi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RlODllNDEwZS1lNjgzLTRjNTktODcwMS00ZTU0ZmRmNTU5NTAGLAAAACtUYWJsZS5UYXhMZWRnZXJBY2NvdW50R3JvdXAuVGF4QWNjb3VudEdyb3VwCgoKCgEVAAAAFAAAAAktAAAACS4AAAAJLwAAAAYwAAAABE5hbWUGMQAAAAtEZXNjcmlwdGlvbgYyAAAABlN0cmluZwklAAAABjQAAAAkNGRlMmI1YjgtZWNmZC00MmQ3LTgwZjMtMmFjMDYxYjY3M2Q2Acv////Z/////////wEAAAAByv///9j///8AAAAAAcn////X////AgAAAAAAAAAAAcj////W////AAAAAAoBAAAAAAAAAAABAAAAAAY5AAAAJDYyNzRiMDAwLTY3NGEtNDY4Zi04YzdjLWI4MGQ5NTFmYjZjMgY6AAAAIFRhYmxlLlRheExlZGdlckFjY291bnRHcm91cC5OYW1lCgoKCgEWAAAAFAAAAAk7AAAACTwAAAAJPQAAAAY+AAAAElRheEFjY291bnRPdXRnb2luZwY/AAAAEVNhbGVzIHRheCBwYXlhYmxlBkAAAAAGU3RyaW5nCSUAAAAGQgAAACRiYzQ5YWIyMi1iMmQ2LTQwODQtYTViOS0xYjU5YjFiYWZkNGYBvf///9n/////////AgAAAAG8////2P///wAAAAABu////9f///8CAAAAAAAAAAABuv///9b///8AAAAACgEAAAAAAAAAAAIAAAAABkcAAAAkZmIwOTI5MDgtNTE5YS00YjVlLWE5NDYtODUwYTNhNGFlZTViBkgAAAAuVGFibGUuVGF4TGVkZ2VyQWNjb3VudEdyb3VwLlRheEFjY291bnRPdXRnb2luZwoKCgoBFwAAABQAAAAJSQAAAAlKAAAACUsAAAAGTAAAABJUYXhBY2NvdW50SW5jb21pbmcGTQAAABRTYWxlcyB0YXggcmVjZWl2YWJsZQZOAAAABlN0cmluZwklAAAABlAAAAAkOThlZWM0NTMtMjgxYy00ZTY0LTljNDktNWQxNzk4NjA4NDUyAa/////Z/////////wMAAAABrv///9j///8AAAAAAa3////X////AgAAAAAAAAAAAaz////W////AAAAAAoBAAAAAAAAAAADAAAAAAZVAAAAJGFiYzA2ZmE4LWFhY2EtNDQ1Yy1hNWJmLTc4NjgyNDdkNWE5YQZWAAAALlRhYmxlLlRheExlZGdlckFjY291bnRHcm91cC5UYXhBY2NvdW50SW5jb21pbmcKCgoKARgAAAAUAAAACVcAAAAJWAAAAAlZAAAABloAAAAQVGF4QWNjb3VudFVzZVRheAZbAAAAD1VzZSB0YXggZXhwZW5zZQZcAAAABlN0cmluZwklAAAABl4AAAAkNDhmYWQxOWYtMzJhNS00MWZlLWE5MjgtNThjZTg1YmFlOTM1AaH////Z/////////wQAAAABoP///9j///8AAAAAAZ/////X////AgAAAAAAAAAAAZ7////W////AAAAAAoBAAAAAAAAAAAEAAAAAAZjAAAAJDQwMGFhMzM4LTU2NDYtNDY4OS05YWRiLTRiNzk5NTdkM2I2NgZkAAAALFRhYmxlLlRheExlZGdlckFjY291bnRHcm91cC5UYXhBY2NvdW50VXNlVGF4CgoKCgEZAAAAFAAAAAllAAAACWYAAAAJZwAAAAZoAAAAFlRheE9mZnNldEFjY291bnRVc2VUYXgGaQAAAA9Vc2UgdGF4IHBheWFibGUGagAAAAZTdHJpbmcJJQAAAAZsAAAAJDFmMmRlZmU0LWQwZjctNGM4OC04ZDgxLWEwYTU5NDY4ODE0NwGT////2f////////8FAAAAAZL////Y////AAAAAAGR////1////wIAAAAAAAAAAAGQ////1v///wAAAAAKAQAAAAAAAAAABQAAAAAGcQAAACQ5YjM5NGMzNi1mZWJkLTQxMmMtOWY5Ny1kMjhlMjY3NTk3NWUGcgAAADJUYWJsZS5UYXhMZWRnZXJBY2NvdW50R3JvdXAuVGF4T2Zmc2V0QWNjb3VudFVzZVRheAoKCgoBGgAAABQAAAAJcwAAAAl0AAAACXUAAAAGdgAAABBUYXhBY2NvdW50UmVwb3J0BncAAAASU2V0dGxlbWVudCBhY2NvdW50BngAAAAGU3RyaW5nCSUAAAAGegAAACQyMzE5ZDg1ZS02Y2I3LTQ1NjQtOTFhOS01OGVlYWExYjQ2MzYBhf///9n/////////BgAAAAGE////2P///wAAAAABg////9f///8CAAAAAAAAAAABgv///9b///8AAAAACgEAAAAAAAAAAAYAAAAABn8AAAAkZjhmNmJiZTctNzZlMy00NTJiLTk1ZjEtMWZkMDAwNmVmM2U3BoAAAAAsVGFibGUuVGF4TGVkZ2VyQWNjb3VudEdyb3VwLlRheEFjY291bnRSZXBvcn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u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YYAAAAHAAAACYcAAAABLQAAAB8AAAAJiAAAAAEAAAABAAAAAS4AAAAgAAAAbQAAAAmEAAAABwAAAAmKAAAAAS8AAAAhAAAAaQAAAAmGAAAABwAAAAmMAAAAATsAAAAfAAAACY0AAAABAAAAAQAAAAE8AAAAIAAAAG0AAAAJhAAAAAcAAAAJjwAAAAE9AAAAIQAAAGkAAAAJhgAAAAcAAAAJkQAAAAFJAAAAHwAAAAmSAAAAAQAAAAEAAAABSgAAACAAAABtAAAACYQAAAAHAAAACZQAAAABSwAAACEAAABpAAAACYYAAAAHAAAACZYAAAABVwAAAB8AAAAJlwAAAAEAAAABAAAAAVgAAAAgAAAAbQAAAAmEAAAABwAAAAmZAAAAAVkAAAAhAAAAaQAAAAmGAAAABwAAAAmbAAAAAWUAAAAfAAAACZwAAAABAAAAAQAAAAFmAAAAIAAAAG0AAAAJhAAAAAcAAAAJngAAAAFnAAAAIQAAAGkAAAAJhgAAAAcAAAAJoAAAAAFzAAAAHwAAAAmhAAAAAQAAAAEAAAABdAAAACAAAABtAAAACYQAAAAHAAAACaMAAAABdQAAACEAAABpAAAACYYAAAAHAAAACaUAAAAPgQAAAAEAAAAIAQAAAAWCAAAAPEdsb2JlU29mdHdhcmUuQXRsYXM0MC5BdGxhc0NvbW1vbkNsaWVudC5EYXRhU291cmNlRmllbGRWYWx1ZQQAAAASX2lzRHJpbGxEb3duRmlsdGVyBl9kc0tleQpfZmllbGRuYW1lC19maWVsZFZhbHVlAAEBAQEbAAAAAAamAAAAG1RhYmxlLlRheExlZGdlckFjY291bnRHcm91cAanAAAACkRhdGFBcmVhSWQJBgAAAAeDAAAAAAEAAAAEAAAABDdHbG9iZVNvZnR3YXJlLkF0bGFzNDAuQXRsYXNDb21tb24uVHlwZS5GaWVsZE91dHB1dEZpZWxkDgAAAAmpAAAADQMEh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f///zJHbG9iZVNvZnR3YXJlLkF0bGFzNDAuQXRsYXNDb21tb24uQ29sdW1uQXR0cmlidXRlcwEAAAAHdmFsdWVfXwAIDgAAAAYAAAAGrAAAAAVUb3RhbAFT////Vv///wFS////Vf///xAAAAAGrwAAAAROb25lAVD///9W////AU////9V////CQAAAAklAAAAAU3///9W////AUz///9V////CwAAAAa1AAAAATABSv///1b///8BSf///1X///8EAAAABrgAAAAHR2VuZXJhbAFH////Vv///wFG////Vf///wIAAAAGuwAAAAExAUT///9W////AUP///9V////AAAAAAa+AAAABTQ4LjcxAYYAAAAMAAAA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AAAAACEZvbnRCb2xkBsEAAAAFRmFsc2UBPv///0H///8GwwAAAApGb250SXRhbGljCcEAAAABO////0H///8GxgAAAA1Gb250VW5kZXJsaW5lBscAAAAFLTQxNDIBOP///0H///8GyQAAAAhGb250TmFtZQbKAAAAB0NhbGlicmkBNf///0H///8GzAAAAAlGb250Q29sb3IGzQAAAAEwATL///9B////Bs8AAAAIRm9udFNpemUG0AAAAAIxMQEv////Qf///wbSAAAACUZvbnRTdHlsZQbTAAAAB1JlZ3VsYXIHiAAAAAABAAAABAAAAAQ3R2xvYmVTb2Z0d2FyZS5BdGxhczQwLkF0bGFzQ29tbW9uLlR5cGUuRmllbGRPdXRwdXRGaWVsZA4AAAAJ1AAAAA0DB4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Vv///wEq////Vf///xAAAAAJrwAAAAEo////Vv///wEn////Vf///wkAAAAJJQAAAAEl////Vv///wEk////Vf///wsAAAAG3QAAAAExASL///9W////ASH///9V////BAAAAAbgAAAAB0dlbmVyYWwBH////1b///8BHv///1X///8CAAAABuMAAAABMQEc////Vv///wEb////Vf///wAAAAAG5gAAAAIzMA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///9B////CcAAAAAJwQAAAAEW////Qf///wnDAAAACcEAAAABE////0H///8JxgAAAAbvAAAABS00MTQyARD///9B////CckAAAAG8gAAAAdDYWxpYnJpAQ3///9B////CcwAAAAG9QAAAAEwAQr///9B////Cc8AAAAG+AAAAAIxMQEH////Qf///wnSAAAABvsAAAAHUmVndWxhcgeNAAAAAAEAAAAEAAAABDdHbG9iZVNvZnR3YXJlLkF0bGFzNDAuQXRsYXNDb21tb24uVHlwZS5GaWVsZE91dHB1dEZpZWxkDgAAAAn8AAAADQMHj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P///9W////AQL///9V////EAAAAAmvAAAAAQD///9W////Af/+//9V////CQAAAAklAAAAAf3+//9W////Afz+//9V////CwAAAAYFAQAAATIB+v7//1b///8B+f7//1X///8EAAAABggBAAAHR2VuZXJhbAH3/v//Vv///wH2/v//Vf///wIAAAAGCwEAAAExAfT+//9W////AfP+//9V////AAAAAAYOAQAABTE3Ljg2B5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7//0H///8JwAAAAAnBAAAAAe7+//9B////CcMAAAAJwQAAAAHr/v//Qf///wnGAAAABhcBAAAFLTQxNDIB6P7//0H///8JyQAAAAYaAQAAB0NhbGlicmkB5f7//0H///8JzAAAAAYdAQAAATAB4v7//0H///8JzwAAAAYgAQAAAjExAd/+//9B////CdIAAAAGIwEAAAdSZWd1bGFyB5IAAAAAAQAAAAQAAAAEN0dsb2JlU29mdHdhcmUuQXRsYXM0MC5BdGxhc0NvbW1vbi5UeXBlLkZpZWxkT3V0cHV0RmllbGQOAAAACSQBAAANAwe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7//1b///8B2v7//1X///8QAAAACa8AAAAB2P7//1b///8B1/7//1X///8JAAAACSUAAAAB1f7//1b///8B1P7//1X///8LAAAABi0BAAABMwHS/v//Vv///wHR/v//Vf///wQAAAAGMAEAAAdHZW5lcmFsAc/+//9W////Ac7+//9V////AgAAAAYzAQAAATEBzP7//1b///8By/7//1X///8AAAAABjYBAAAFMjAuMjkHl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Qf///wnAAAAACcEAAAABxv7//0H///8JwwAAAAnBAAAAAcP+//9B////CcYAAAAGPwEAAAUtNDE0MgHA/v//Qf///wnJAAAABkIBAAAHQ2FsaWJyaQG9/v//Qf///wnMAAAABkUBAAABMAG6/v//Qf///wnPAAAABkgBAAACMTEBt/7//0H///8J0gAAAAZLAQAAB1JlZ3VsYXIHlwAAAAABAAAABAAAAAQ3R2xvYmVTb2Z0d2FyZS5BdGxhczQwLkF0bGFzQ29tbW9uLlR5cGUuRmllbGRPdXRwdXRGaWVsZA4AAAAJTAEAAA0DB5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v//Vv///wGy/v//Vf///xAAAAAJrwAAAAGw/v//Vv///wGv/v//Vf///wkAAAAJJQAAAAGt/v//Vv///wGs/v//Vf///wsAAAAGVQEAAAE0Aar+//9W////Aan+//9V////BAAAAAZYAQAAB0dlbmVyYWwBp/7//1b///8Bpv7//1X///8CAAAABlsBAAABMQGk/v//Vv///wGj/v//Vf///wAAAAAGXgEAAAUxNy4yOQe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+//9B////CcAAAAAJwQAAAAGe/v//Qf///wnDAAAACcEAAAABm/7//0H///8JxgAAAAZnAQAABS00MTQyAZj+//9B////CckAAAAGagEAAAdDYWxpYnJpAZX+//9B////CcwAAAAGbQEAAAEwAZL+//9B////Cc8AAAAGcAEAAAIxMQGP/v//Qf///wnSAAAABnMBAAAHUmVndWxhcgecAAAAAAEAAAAEAAAABDdHbG9iZVNvZnR3YXJlLkF0bGFzNDAuQXRsYXNDb21tb24uVHlwZS5GaWVsZE91dHB1dEZpZWxkDgAAAAl0AQAADQMHn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v+//9W////AYr+//9V////EAAAAAmvAAAAAYj+//9W////AYf+//9V////CQAAAAklAAAAAYX+//9W////AYT+//9V////CwAAAAZ9AQAAATUBgv7//1b///8Bgf7//1X///8EAAAABoABAAAHR2VuZXJhbAF//v//Vv///wF+/v//Vf///wIAAAAGgwEAAAExAXz+//9W////AXv+//9V////AAAAAAaGAQAABTE2LjcxB6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0H///8JwAAAAAnBAAAAAXb+//9B////CcMAAAAJwQAAAAFz/v//Qf///wnGAAAABo8BAAAFLTQxNDIBcP7//0H///8JyQAAAAaSAQAAB0NhbGlicmkBbf7//0H///8JzAAAAAaVAQAAATABav7//0H///8JzwAAAAaYAQAAAjExAWf+//9B////CdIAAAAGmwEAAAdSZWd1bGFyB6EAAAAAAQAAAAQAAAAEN0dsb2JlU29mdHdhcmUuQXRsYXM0MC5BdGxhc0NvbW1vbi5UeXBlLkZpZWxkT3V0cHV0RmllbGQOAAAACZwBAAANAw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1b///8BYv7//1X///8QAAAACa8AAAABYP7//1b///8BX/7//1X///8JAAAACSUAAAABXf7//1b///8BXP7//1X///8LAAAABqUBAAABNgFa/v//Vv///wFZ/v//Vf///wQAAAAGqAEAAAdHZW5lcmFsAVf+//9W////AVb+//9V////AgAAAAarAQAAATEBVP7//1b///8BU/7//1X///8AAAAABq4BAAAFMjAuMTQ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v//Qf///wnAAAAACcEAAAABTv7//0H///8JwwAAAAnBAAAAAUv+//9B////CcYAAAAGtwEAAAUtNDE0MgFI/v//Qf///wnJAAAABroBAAAHQ2FsaWJyaQFF/v//Qf///wnMAAAABr0BAAADMjU1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UTGVkZ2VyIHBvc3RpbmcgZ3JvdXAJxwEAAAE4/v//1////wIAAAAFN/7//zlHbG9iZVNvZnR3YXJlLkF0bGFzNDAuQXRsYXNDb21tb24uTnVtYmVyU2VxdWVuY2VDb25kaXRpb24BAAAAB3ZhbHVlX18ACA4AAAABAAAAAAAGygEAABtUYWJsZS5UYXhMZWRnZXJBY2NvdW50R3JvdXAJIgAAAAklAAAACv////8JygEAAAoJIgAAAAoKCgklAAAACdABAAAJJQAAAAHUAAAAqQAAAAEu/v//2f////////8ABtMBAAAGU3RyaW5nBtQBAAALRGVzY3JpcHRpb24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WhQ5UnBjrEa6OqopDiTYyQklAAAACSUAAAAJLgIAAAnKAQAACgoKCgoBAAAABdD9//80R2xvYmVTb2Z0d2FyZS5BdGxhczQwLkF0bGFzQ29tbW9uLkRhdGFTb3VyY2VKb2luTW9kZQEAAAAHdmFsdWVfXwAIDgAAAAAAAAAFz/3//zVHbG9iZVNvZnR3YXJlLkF0bGFzNDAuQXRsYXNDb21tb24uRGF0YVNvdXJjZUZldGNoTW9kZQEAAAAHdmFsdWVfXwAIDgAAAAAAAAAACTICAAAB0AEAACEAAAAzAAAACYYAAAADAAAACTQCAAAB3gEAACEAAAAzAAAACYYAAAADAAAACTYCAAAB7AEAACEAAAAzAAAACYYAAAADAAAACTgCAAAB+gEAACEAAAAzAAAACYYAAAADAAAACToCAAABCAIAACEAAAAzAAAACYYAAAADAAAACTwCAAABFgIAACEAAAAzAAAACYYAAAADAAAACT4CAAABJAIAACEAAAAz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CtOYW1lIG9mIGxlZGdlciBwb3N0aW5nIGdyb3VwIGZvciBzYWxlcyB0YXguAbj9//9B////BkkCAAAFTGFiZWwJxgEAAAG1/f//Qf///wZMAgAABFR5cGUJxQEAAAc2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9B////CUYCAAAGUAIAACBEZXNjcmlwdGlvbiBvZiB0aGUgcG9zdGluZyBncm91cAGv/f//Qf///wlJAgAACdQBAAABrP3//0H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H///8JRgIAAAZZAgAAJEFjY291bnQgbnVtYmVyIGZvciBzYWxlcyB0YXggcGF5YWJsZQGm/f//Qf///wlJAgAACeIBAAABo/3//0H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H///8JRgIAAAZiAgAAJ0FjY291bnQgbnVtYmVyIGZvciBzYWxlcyB0YXggcmVjZWl2YWJsZQGd/f//Qf///wlJAgAACfABAAABmv3//0H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H///8JRgIAAAZrAgAAIkxlZGdlciBhY2NvdW50IGZvciBwb3N0aW5nIHVzZSB0YXgBlP3//0H///8JSQIAAAn+AQAAAZH9//9B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B////CUYCAAAGdAIAACVMZWRnZXIgYWNjb3VudCBmb3Igb2Zmc2V0dGluZyB1c2UgdGF4AYv9//9B////CUkCAAAJDAIAAAGI/f//Qf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Qf///wlGAgAABn0CAAAgQWNjb3VudCBmb3IgcGF5bWVudCBvZiBzYWxlcyB0YXgBgv3//0H///8JSQIAAAkaAgAAAX/9//9B////CUwCAAAJGQIAAAFBAgAADAAAAAdC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qQAAAAF5/f//fP3//waIAgAAIFRhYmxlLlRheExlZGdlckFjY291bnRHcm91cC5OYW1lCdQ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20.xml><?xml version="1.0" encoding="utf-8"?>
<Atlas>
  <Query type="ReportList" id="0492b060-0acc-4fa8-ab45-02d14194f22b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SVmVuZExlZGdlckFjY291bnRzBh4AAAAWVmVuZG9yIGxlZGdlciBhY2NvdW50cwkIAAAACQgAAAAJCAAAAAXg////MEdsb2JlU29mdHdhcmUuQXRsYXM0MC5BdGxhc0NvbW1vbi5EYXRhU291cmNlVHlwZQEAAAAHdmFsdWVfXwAIAgAAAAAAAAAJIQAAAAkiAAAABN3///8LU3lzdGVtLkd1aWQLAAAAAl9hAl9iAl9jAl9kAl9lAl9mAl9nAl9oAl9pAl9qAl9rAAAAAAAAAAAAAAAIBwcCAgICAgICAuLWseyvmchJiqE9RJQwHUIJCAAAAAkIAAAACSUAAAAGJgAAABhUYWJsZS5WZW5kTGVkZ2VyQWNjb3VudH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CTUAAAAJNgAAABEVAAAABAAAAAY3AAAADUF0bGFzUmVwb3J0Xzg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j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G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X///8+R2xvYmVTb2Z0d2FyZS5BdGxhczQwLkF0bGFzQ29tbW9uLlR5cGUuQXRsYXNRdWVyeUF0dHJpYnV0ZU5hbWUBAAAAB3ZhbHVlX18ACAIAAAACAAAABjwAAAAkMDQ5MmIwNjAtMGFjYy00ZmE4LWFiNDUtMDJkMTQxOTRmMjJiAcP////G////AcL////F////AAAAAAY/AAAABHRydWUBwP///8b///8Bv////8X///8LAAAABkIAAAAWVmVuZG9yIGxlZGdlciBhY2NvdW50cwG9////xv///wG8////xf///xsAAAAGRQAAAARUcnVlAbr////G////Abn////F////BgAAAAZIAAAABUZhbHNlAbf////G////Abb////F////HAAAAAlFAAAAAbT////G////AbP////F////HQAAAAlIAAAAAbH////G////AbD////F////KgAAAAlFAAAAAa7////G////Aa3////F////AQAAAAZUAAAAAzM3MQGr////xv///wGq////xf///ycAAAAGVwAAAAs9RGF0YUFyZWFJZAGo////xv///wGn////xf///xkAAAAGWgAAAA9DZWxsc1ZlcnRpY2FsbHkBpf///8b///8BpP///8X///8JAAAACgGj////xv///wGi////xf///ygAAAAGXwAAAAE4AaD////G////AZ/////F////KwAAAAZi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d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QAAAASVmVuZExlZGdlckFjY291bnRz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QAAAAllAAAABwAAAAlm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k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gAAAAlrAAAACWwAAAAGbQAAAA5Qb3N0aW5nUHJvZmlsZQZuAAAAD1Bvc3RpbmcgcHJvZmlsZQZvAAAABlN0cmluZwkIAAAABnEAAAAkM2RjNDY4NmEtMTllMy00Yjk2LTlhNjktNjVmODliYzdiYWQ5BY7///8tR2xvYmVTb2Z0d2FyZS5BdGxhczQwLkF0bGFzQ29tbW9uLkFnZ3JlZ2F0aW9uAQAAAAd2YWx1ZV9fAAgCAAAA/////wAAAAAFjf///yxHbG9iZVNvZnR3YXJlLkF0bGFzNDAuQXRsYXNDb21tb24uQ29sdW1uVHlwZQEAAAAHdmFsdWVfXwAIAgAAAAAAAAAFjP///ytHbG9iZVNvZnR3YXJlLkF0bGFzNDAuQXRsYXNDb21tb24uU29ydE9yZGVyAQAAAAd2YWx1ZV9fAAgCAAAAAAAAAAAAAAAABYv///9AR2xvYmVTb2Z0d2FyZS5BdGxhczQwLkF0bGFzQ29tbW9uLlR5cGUuQ29sdW1uK0Nyb3NzVGFiQ29sdW1uVHlwZQEAAAAHdmFsdWVfXwAIAgAAAAAAAAAKAQAAAAAAAAAAAAAAAAAGdgAAACQ1MjA5YWZlYy0xMGQzLTRlNTktOTc2Mi1iMDg3MjJmMzFlZDAGdwAAACdUYWJsZS5WZW5kTGVkZ2VyQWNjb3VudHMuUG9zdGluZ1Byb2ZpbGUKCgoKATAAAAAvAAAACXgAAAAJeQAAAAl6AAAABnsAAAALQWNjb3VudENvZGUGfAAAAAxBY2NvdW50IGNvZGUGfQAAAARFbnVtCQgAAAAGfwAAACRjZDllMjA0ZS04NzcyLTQ1ZTEtOWQxOC1mYWUxZTA4OTYwNWYBgP///47/////////AQAAAAF/////jf///wAAAAABfv///4z///8CAAAAAAAAAAABff///4v///8AAAAACgEAAAAAAAAAAAEAAAAABoQAAAAkYTljNWEyZGUtNjQ4NS00OWMzLWJmZGYtMDkzZDdhNzA1OTUwBoUAAAAkVGFibGUuVmVuZExlZGdlckFjY291bnRzLkFjY291bnRDb2RlCgoKCgExAAAALwAAAAmGAAAACYcAAAAJiAAAAAaJAAAAA051bQaKAAAAFEFjY291bnQvR3JvdXAgbnVtYmVyBosAAAAGU3RyaW5nCQgAAAAGjQAAACQ2NDNhNzhkYS0zMmRmLTRmNTMtODI4NS0wYTFhYzUxMmUxMTEBcv///47/////////AgAAAAFx////jf///wAAAAABcP///4z///8CAAAAAAAAAAABb////4v///8AAAAACgEAAAAAAAAAAAIAAAAABpIAAAAkZTc4MjljNWYtMGYxNS00ODllLTljM2UtODlhYjI5ZjFjZjQ1BpMAAAAcVGFibGUuVmVuZExlZGdlckFjY291bnRzLk51bQoKCgoBMgAAAC8AAAAJlAAAAAmVAAAACZYAAAAGlwAAADdBdGxhc01hbmFnZWRDb2x1bW5fYjAwOGU4ZGEtODljNi00YzEzLWIwODMtMWIyMDQ1ZDQxNzM5BpgAAAALVmVuZGVyIG5hbWUJCAAAAAkIAAAABpoAAAAkMDgyM2Q0NmYtZjQwMC00NWJkLTgxOTItM2M2ZDRiMGFiZTU2AWX///+O/////////wMAAAABZP///43///8CAAAAAWP///+M////AgAAAAAAAAAAAWL///+L////AAAAAAoBAAAAAAAAAAADAAAAAAafAAAAJDMwNTEwYzMxLTRiNTItNGFiMS04NTI2LTZlYzMzZDViNDJiYwkIAAAACgoKCgEzAAAALwAAAAmhAAAACaIAAAAJowAAAAakAAAAClN1bUFjY291bnQGpQAAAA9TdW1tYXJ5IGFjY291bnQGpgAAAAZTdHJpbmcJCAAAAAaoAAAAJDdhYmYwOGExLTQ1ZjUtNDhhYy1hNTkyLWU5NTI4NTgzYzE2NgFX////jv////////8EAAAAAVb///+N////AAAAAAFV////jP///wIAAAAAAAAAAAFU////i////wAAAAAKAQAAAAAAAAAABAAAAAAGrQAAACQ4ZWVkNTU5My0yMTU2LTQzNGMtOGU2MC03NDEwZGQxNzUzMTYGrgAAACNUYWJsZS5WZW5kTGVkZ2VyQWNjb3VudHMuU3VtQWNjb3VudAoKCgoBNAAAAC8AAAAJrwAAAAmwAAAACbEAAAAGsgAAADdBdGxhc01hbmFnZWRDb2x1bW5fMWFiZGU0ZjItZmEyMy00YWUxLWE1MzMtMjg2NjhjMmFmNWQ4BrMAAAARTG9ja2VkIGluIGpvdXJuYWwJCAAAAAkIAAAABrUAAAAkMTk0N2E4NGEtNTQ5ZC00MWY4LWExN2YtNDBkNDE3Mzk3ODhkAUr///+O/////////wUAAAABSf///43///8CAAAAAUj///+M////AgAAAAAAAAAAAUf///+L////AAAAAAoBAAAAAAAAAAAFAAAAAAa6AAAAJDJmMTc1MGMwLWU5NzAtNDU4My1iNGUyLTVlOWE5ODFmNzQ1YwkIAAAACgoKCgE1AAAALwAAAAm8AAAACb0AAAAJvgAAAAa/AAAAD0NsZWFyaW5nQWNjb3VudAbAAAAADlNldHRsZSBhY2NvdW50BsEAAAAGU3RyaW5nCQgAAAAGwwAAACRmOWExOWVkZC05YWYwLTQwYTMtYTRhNC1jMmJiZGU2ODNjMDEBPP///47/////////BgAAAAE7////jf///wAAAAABOv///4z///8CAAAAAAAAAAABOf///4v///8AAAAACgEAAAAAAAAAAAYAAAAABsgAAAAkZDI5MGQzYzAtNzM2Mi00MzBiLTgyZTctNTA1ZTIwZWEyYWE3BskAAAAoVGFibGUuVmVuZExlZGdlckFjY291bnRzLkNsZWFyaW5nQWNjb3VudAoKCgoBNgAAAC8AAAAJygAAAAnLAAAACcwAAAAGzQAAADdBdGxhc01hbmFnZWRDb2x1bW5fNzM2NjQ5OGMtNjM4OC00OWU4LWE5NDUtZmRmNjNlM2Q5YWIwBs4AAAARTG9ja2VkIGluIGpvdXJuYWwJCAAAAAkIAAAABtAAAAAkMDZiZTBkMTktZTUyYS00NzhkLTg3ODgtMzU4YWRiNzJhOTRhAS////+O/////////wcAAAABLv///43///8CAAAAAS3///+M////AgAAAAAAAAAAASz///+L////AAAAAAoBAAAAAAAAAAAHAAAAAAbVAAAAJDNhZmNmZTBmLTYxOTQtNDk1OC1hOTJhLTBjMWZjZDZmMWY0MQkIAAAACgoKCgFlAAAAEgAAAAdm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p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YAAAAJ1RhYmxlLlZlbmRMZWRnZXJBY2NvdW50cy5Qb3N0aW5nUHJvZmlsZQnZAAAAASb///8p////BtsAAAAkVGFibGUuVmVuZExlZGdlckFjY291bnRzLkFjY291bnRDb2RlCdwAAAABI////yn///8G3gAAABxUYWJsZS5WZW5kTGVkZ2VyQWNjb3VudHMuTnVtCd8AAAABIP///yn///8G4QAAACNUYWJsZS5WZW5kTGVkZ2VyQWNjb3VudHMuU3VtQWNjb3VudAniAAAAAR3///8p////BuQAAAAoVGFibGUuVmVuZExlZGdlckFjY291bnRzLkNsZWFyaW5nQWNjb3VudAnlAAAABG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q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mAAAAAQAAAAEAAAAEa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iAQAACecAAAAHAAAACegAAAAEb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QAACekAAAAHAAAACeoAAAABeAAAAGoAAAAJ6wAAAAEAAAABAAAAAXkAAABrAAAAoQEAAAnnAAAABwAAAAntAAAABH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EAAAnpAAAABwAAAAnvAAAAAYYAAABqAAAACfAAAAABAAAAAQAAAAGHAAAAawAAAKEBAAAJ5wAAAAcAAAAJ8gA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0BAAAJ6QAAAAcAAAAJ9AAAAAGUAAAAagAAAAn1AAAAAAAAAAAAAAABlQAAAGsAAABoAQAACfYAAAAHAAAACfcA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QAACfgAAAAHAAAACfkAAAABoQAAAGoAAAAJ+gAAAAEAAAABAAAAAaIAAABrAAAAoQEAAAnnAAAABwAAAAn8AAAABK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EAAAnpAAAABwAAAAn+AAAAAa8AAABqAAAACf8AAAAAAAAAAAAAAAGwAAAAawAAAH8BAAAJAAEAAAcAAAAJA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BAAAJAgEAAAcAAAAJAwEAAAG8AAAAagAAAAkEAQAAAQAAAAEAAAABvQAAAGsAAAChAQAACecAAAAHAAAACQY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QAACekAAAAHAAAACQgBAAABygAAAGoAAAAJCQEAAAAAAAAAAAAAAcsAAABrAAAAcAEAAAkKAQAABwAAAAkL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ZQEAAAkMAQAABwAAAAkNAQAABd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L+//+O/////////wAGDwEAAAZTdHJpbmcGEAEAAA9Qb3N0aW5nIHByb2ZpbGUJEQEAAAHu/v//jP///wAAAAAF7f7//zlHbG9iZVNvZnR3YXJlLkF0bGFzNDAuQXRsYXNDb21tb24uTnVtYmVyU2VxdWVuY2VDb25kaXRpb24BAAAAB3ZhbHVlX18ACAIAAAABAAAAAAAGFAEAABhUYWJsZS5WZW5kTGVkZ2VyQWNjb3VudHMJbQAAAAkIAAAACv////8JFAEAAAoJbQAAAAoKCgkIAAAACRoBAAAJCAAAAAHcAAAA2QAAAAHk/v//jv////////8ABh0BAAAERW51bQYeAQAADEFjY291bnQgY29kZQkRAQAAAeD+//+M////AgAAAAHf/v//7f7//wEAAAAAAAkUAQAACXsAAAAJCAAAAAr/////CRQBAAAKCXsAAAAKCgoJCAAAAAkoAQAACQgAAAAB3wAAANkAAAAB1v7//47/////////AAYrAQAABlN0cmluZwYsAQAAFEFjY291bnQvR3JvdXAgbnVtYmVyCREBAAAB0v7//4z///8CAAAAAdH+///t/v//AQAAAAAACRQBAAAJiQAAAAkIAAAACv////8JFAEAAAoJiQAAAAoKCgkIAAAACTYBAAAJCAAAAAHiAAAA2QAAAAHI/v//jv////////8ABjkBAAAGU3RyaW5nBjoBAAAPU3VtbWFyeSBhY2NvdW50CREBAAABxP7//4z///8CAAAAAcP+///t/v//AQAAAAAACRQBAAAJpAAAAAkIAAAACv////8JFAEAAAoJpAAAAAoKCgkIAAAACUQBAAAJCAAAAAHlAAAA2QAAAAG6/v//jv////////8ABkcBAAAGU3RyaW5nBkgBAAAOU2V0dGxlIGFjY291bnQJEQEAAAG2/v//jP///wIAAAABtf7//+3+//8BAAAAAAAJFAEAAAm/AAAACQgAAAAK/////wkUAQAACgm/AAAACgoKCQgAAAAJUgEAAAkIAAAAB+YAAAAAAQAAAAQAAAAEN0dsb2JlU29mdHdhcmUuQXRsYXM0MC5BdGxhc0NvbW1vbi5UeXBlLkZpZWxkT3V0cHV0RmllbGQCAAAACdkAAAANAwTn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o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q/v//Mkdsb2JlU29mdHdhcmUuQXRsYXM0MC5BdGxhc0NvbW1vbi5Db2x1bW5BdHRyaWJ1dGVzAQAAAAd2YWx1ZV9fAAgCAAAABgAAAAZXAQAABVRvdGFsAaj+//+r/v//Aaf+//+q/v//EAAAAAZaAQAABE5vbmUBpf7//6v+//8BpP7//6r+//8JAAAACQgAAAABov7//6v+//8Bof7//6r+//8LAAAABmABAAABMAGf/v//q/7//wGe/v//qv7//wQAAAAGYwEAAAdHZW5lcmFsAZz+//+r/v//AZv+//+q/v//AgAAAAZmAQAAATEBmf7//6v+//8BmP7//6r+//8AAAAABmkBAAAFMzguNzEB6QAAABIAAAA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sBAAAIRm9udEJvbGQGbAEAAAVGYWxzZQGT/v//lv7//wZuAQAACkZvbnRJdGFsaWMJbAEAAAGQ/v//lv7//wZxAQAADUZvbnRVbmRlcmxpbmUGcgEAAAUtNDE0MgGN/v//lv7//wZ0AQAACEZvbnROYW1lBnUBAAAHQ2FsaWJyaQGK/v//lv7//wZ3AQAACUZvbnRDb2xvcgZ4AQAAATABh/7//5b+//8GegEAAAhGb250U2l6ZQZ7AQAAAjExAYT+//+W/v//Bn0BAAAJRm9udFN0eWxlBn4BAAAHUmVndWxhcgfrAAAAAAEAAAAEAAAABDdHbG9iZVNvZnR3YXJlLkF0bGFzNDAuQXRsYXNDb21tb24uVHlwZS5GaWVsZE91dHB1dEZpZWxkAgAAAAncAAAADQMH7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+//+r/v//AX/+//+q/v//EAAAAAlaAQAAAX3+//+r/v//AXz+//+q/v//CQAAAAkIAAAAAXr+//+r/v//AXn+//+q/v//CwAAAAaIAQAAATEBd/7//6v+//8Bdv7//6r+//8EAAAABosBAAAHR2VuZXJhbAF0/v//q/7//wFz/v//qv7//wIAAAAGjgEAAAExAXH+//+r/v//AXD+//+q/v//AAAAAAaRAQAABTE0LjQzB+8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7//5b+//8JawEAAAlsAQAAAWv+//+W/v//CW4BAAAJbAEAAAFo/v//lv7//wlxAQAABpoBAAAFLTQxNDIBZf7//5b+//8JdAEAAAadAQAAB0NhbGlicmkBYv7//5b+//8JdwEAAAagAQAAATABX/7//5b+//8JegEAAAajAQAAAjExAVz+//+W/v//CX0BAAAGpgEAAAdSZWd1bGFyB/AAAAAAAQAAAAQAAAAEN0dsb2JlU29mdHdhcmUuQXRsYXM0MC5BdGxhc0NvbW1vbi5UeXBlLkZpZWxkT3V0cHV0RmllbGQCAAAACd8AAAANAw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P7//6v+//8BV/7//6r+//8QAAAACVoBAAABVf7//6v+//8BVP7//6r+//8JAAAACQgAAAABUv7//6v+//8BUf7//6r+//8LAAAABrABAAABMgFP/v//q/7//wFO/v//qv7//wQAAAAGswEAAAdHZW5lcmFsAUz+//+r/v//AUv+//+q/v//AgAAAAa2AQAAATEBSf7//6v+//8BSP7//6r+//8AAAAABrkBAAACMjQH9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v//lv7//wlrAQAACWwBAAABQ/7//5b+//8JbgEAAAlsAQAAAUD+//+W/v//CXEBAAAGwgEAAAUtNDE0MgE9/v//lv7//wl0AQAABsUBAAAHQ2FsaWJyaQE6/v//lv7//wl3AQAABsgBAAABMAE3/v//lv7//wl6AQAABssBAAACMTEBNP7//5b+//8JfQEAAAbOAQAAB1JlZ3VsYXIH9QAAAAABAAAAAAAAAAQ3R2xvYmVTb2Z0d2FyZS5BdGxhczQwLkF0bGFzQ29tbW9uLlR5cGUuRmllbGRPdXRwdXRGaWVsZAIAAAAB9gAAAOcAAAAH9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H+//+r/v//ATD+//+q/v//JAAAAAmYAAAAAS7+//+r/v//AS3+//+q/v//CwAAAAbUAQAAATMBK/7//6v+//8BKv7//6r+//8EAAAABtcBAAAHR2VuZXJhbAEo/v//q/7//wEn/v//qv7//wIAAAAG2gEAAAExASX+//+r/v//AST+//+q/v//AAAAAAbdAQAABTQxLjE0ASL+//+r/v//ASH+//+q/v//AwAAAAbgAQAAVj1BdGxhc1RhYmxlKCJVQVQiLERhdGFBcmVhSWQsIlQuVmVuZFRhYmxlIiwiJU5hbWUiLCIiLCIiLCIiLCIiLCIiLCIiLCJBY2NvdW50TnVtIiwkQzMpAfgAAAASAAAAB/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5b+//8G4gEAAAhGb250Qm9sZAlsAQAAARz+//+W/v//BuUBAAAKRm9udEl0YWxpYwlsAQAAARn+//+W/v//BugBAAANRm9udFVuZGVybGluZQbpAQAABS00MTQyARb+//+W/v//BusBAAAIRm9udE5hbWUG7AEAAAdDYWxpYnJpARP+//+W/v//Bu4BAAAJRm9udENvbG9yBu8BAAABMAEQ/v//lv7//wbxAQAACEZvbnRTaXplBvIBAAACMTEBDf7//5b+//8G9AEAAAlGb250U3R5bGUG9QEAAAdSZWd1bGFyB/oAAAAAAQAAAAQAAAAEN0dsb2JlU29mdHdhcmUuQXRsYXM0MC5BdGxhc0NvbW1vbi5UeXBlLkZpZWxkT3V0cHV0RmllbGQCAAAACeIAAAANAw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7//6v+//8BCP7//6r+//8QAAAACVoBAAABBv7//6v+//8BBf7//6r+//8JAAAACQgAAAABA/7//6v+//8BAv7//6r+//8LAAAABv8BAAABNAEA/v//q/7//wH//f//qv7//wQAAAAGAgIAAAdHZW5lcmFsAf39//+r/v//Afz9//+q/v//AgAAAAYFAgAAATEB+v3//6v+//8B+f3//6r+//8AAAAABggCAAAFMTguMjkH/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f//lv7//wlrAQAACWwBAAAB9P3//5b+//8JbgEAAAlsAQAAAfH9//+W/v//CXEBAAAGEQIAAAUtNDE0MgHu/f//lv7//wl0AQAABhQCAAAHQ2FsaWJyaQHr/f//lv7//wl3AQAABhcCAAABMAHo/f//lv7//wl6AQAABhoCAAACMTEB5f3//5b+//8JfQEAAAYdAgAAB1JlZ3VsYXIH/wAAAAABAAAAAAAAAAQ3R2xvYmVTb2Z0d2FyZS5BdGxhczQwLkF0bGFzQ29tbW9uLlR5cGUuRmllbGRPdXRwdXRGaWVsZAIAAAABAAEAAOcAAAA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L9//+r/v//AeH9//+q/v//JAAAAAmzAAAAAd/9//+r/v//Ad79//+q/v//CwAAAAYjAgAAATUB3P3//6v+//8B2/3//6r+//8EAAAABiYCAAAHR2VuZXJhbAHZ/f//q/7//wHY/f//qv7//wIAAAAGKQIAAAExAdb9//+r/v//AdX9//+q/v//AAAAAAYsAgAABTE3LjcxAdP9//+r/v//AdL9//+q/v//AwAAAAYvAgAAZD1BdGxhc1RhYmxlKCJVQVQiLERhdGFBcmVhSWQsIlQuTGVkZ2VyVGFibGUiLCIlQmxvY2tlZEluSm91cm5hbCIsIiIsIiIsIiIsIiIsIiIsIiIsIkFjY291bnROdW0iLCRFMykBAgEAABIAAAAHA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f//lv7//wYxAgAACEZvbnRCb2xkCWwBAAABzf3//5b+//8GNAIAAApGb250SXRhbGljCWwBAAAByv3//5b+//8GNwIAAA1Gb250VW5kZXJsaW5lBjgCAAAFLTQxNDIBx/3//5b+//8GOgIAAAhGb250TmFtZQY7AgAAB0NhbGlicmkBxP3//5b+//8GPQIAAAlGb250Q29sb3IGPgIAAAEwAcH9//+W/v//BkACAAAIRm9udFNpemUGQQIAAAIxMQG+/f//lv7//wZDAgAACUZvbnRTdHlsZQZEAgAAB1JlZ3VsYXIHBAEAAAABAAAABAAAAAQ3R2xvYmVTb2Z0d2FyZS5BdGxhczQwLkF0bGFzQ29tbW9uLlR5cGUuRmllbGRPdXRwdXRGaWVsZAIAAAAJ5QAAAA0DBw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6/f//q/7//wG5/f//qv7//xAAAAAJWgEAAAG3/f//q/7//wG2/f//qv7//wkAAAAJCAAAAAG0/f//q/7//wGz/f//qv7//wsAAAAGTgIAAAE2AbH9//+r/v//AbD9//+q/v//BAAAAAZRAgAAB0dlbmVyYWwBrv3//6v+//8Brf3//6r+//8CAAAABlQCAAABMQGr/f//q/7//wGq/f//qv7//wAAAAAGVwIAAAUxNS4yOQc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+W/v//CWsBAAAJbAEAAAGl/f//lv7//wluAQAACWwBAAABov3//5b+//8JcQEAAAZgAgAABS00MTQyAZ/9//+W/v//CXQBAAAGYwIAAAdDYWxpYnJpAZz9//+W/v//CXcBAAAGZgIAAAEwAZn9//+W/v//CXoBAAAGaQIAAAIxMQGW/f//lv7//wl9AQAABmwCAAAHUmVndWxhcgcJAQAAAAEAAAAAAAAABDdHbG9iZVNvZnR3YXJlLkF0bGFzNDAuQXRsYXNDb21tb24uVHlwZS5GaWVsZE91dHB1dEZpZWxkAgAAAAEKAQAA5wAAAAc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3//6v+//8Bkv3//6r+//8kAAAACc4AAAABkP3//6v+//8Bj/3//6r+//8LAAAABnICAAABNwGN/f//q/7//wGM/f//qv7//wQAAAAGdQIAAAdHZW5lcmFsAYr9//+r/v//AYn9//+q/v//AgAAAAZ4AgAAATEBh/3//6v+//8Bhv3//6r+//8AAAAABnsCAAAFMTguODYBhP3//6v+//8Bg/3//6r+//8DAAAACQgAAAABDAEAABIAAAAHD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f//lv7//waAAgAACEZvbnRCb2xkCWwBAAABfv3//5b+//8GgwIAAApGb250SXRhbGljCWwBAAABe/3//5b+//8GhgIAAA1Gb250VW5kZXJsaW5lBocCAAAFLTQxNDIBeP3//5b+//8GiQIAAAhGb250TmFtZQaKAgAAB0NhbGlicmkBdf3//5b+//8GjAIAAAlGb250Q29sb3IGjQIAAAEwAXL9//+W/v//Bo8CAAAIRm9udFNpemUGkAIAAAIxMQFv/f//lv7//waSAgAACUZvbnRTdHlsZQaTAgAAB1JlZ3VsYXIBEQEAAA4AAADuAQAABpQCAAASVmVuZExlZGdlckFjY291bnRzBpUCAAAWVmVuZG9yIGxlZGdlciBhY2NvdW50cwkIAAAACQgAAAAJCAAAAAFp/f//4P///wAAAAAJmAIAAAmZAgAAAWb9///d////wu6dYVC840yXguFclycZiQkIAAAACQgAAAAJnAIAAAkUAQAACgoKCgoBAAAAAWL9///Z////AAAAAAFh/f//2P///wAAAAAACaACAAAEG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123AAAACekAAAADAAAACaICAAAEK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123AAAACekAAAADAAAACaQCAAAEN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123AAAACekAAAADAAAACaYCAAAER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123AAAACekAAAADAAAACagCAAAEU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123AAAACekAAAADAAAACaoCAAABmAIAACEAAAAIAAAACasCAAARAAAACawCAAABmQIAACIAAAAAAAAACasCAAAAAAAABJw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rAgAAAAAAAAGgAgAAKQAAAAAAAAAJrgIAAAAA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f//lv7//wawAgAACEhlbHBUZXh0BrECAAAgUG9zdGluZyBwcm9maWxlIGJlaW5nIHByb2Nlc3NlZC4BTv3//5b+//8GswIAAAVMYWJlbAkQAQAAAUv9//+W/v//BrYCAAAEVHlwZQkPAQAAB6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3//5b+//8JsAIAAAa6AgAAMUFjY291bnQgY29kZSwgaS5lLiBhY2NvdW50LCBhY2NvdW50IGdyb3VwIG9yIGFsbC4BRf3//5b+//8JswIAAAkeAQAAAUL9//+W/v//CbYCAAAJHQEAAAem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9//+W/v//CbACAAAGwwIAADVTcGVjaWZ5IGFjY291bnQvZ3JvdXAgbnVtYmVyIGluY2x1ZGVkIGluIHRoZSBwb3N0aW5nLgE8/f//lv7//wmzAgAACSwBAAABOf3//5b+//8JtgIAAAkrAQAAB6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5b+//8JsAIAAAbMAgAAJUFjY291bnQgbnVtYmVyIGZvciBwb3N0aW5nIGluIGxlZGdlci4BM/3//5b+//8JswIAAAk6AQAAATD9//+W/v//CbYCAAAJOQEAAAeq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39//+W/v//CbACAAAG1QIAADNMZWRnZXIgYWNjb3VudCAobGlxdWlkaXR5KSBmb3IgcmVjZWlwdCBvZiBwYXltZW50cy4BKv3//5b+//8JswIAAAlIAQAAASf9//+W/v//CbYCAAAJRwEAAAGrAgAAEgAAAAesAg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k/f//Kf///wbdAgAAJ1RhYmxlLlZlbmRMZWRnZXJBY2NvdW50cy5Qb3N0aW5nUHJvZmlsZQnZAAAAASH9//8p////BuACAAAkVGFibGUuVmVuZExlZGdlckFjY291bnRzLkFjY291bnRDb2RlCdwAAAABHv3//yn///8G4wIAABxUYWJsZS5WZW5kTGVkZ2VyQWNjb3VudHMuTnVtCd8AAAABG/3//yn///8G5gIAACNUYWJsZS5WZW5kTGVkZ2VyQWNjb3VudHMuU3VtQWNjb3VudAniAAAAARj9//8p////BukCAAAoVGFibGUuVmVuZExlZGdlckFjY291bnRzLkNsZWFyaW5nQWNjb3VudAnlAAAAARX9//8p////BuwCAAArVGFibGUuVmVuZExlZGdlckFjY291bnRzLlB1cmNoTGVkZ2VyQWNjb3VudAntAgAAARL9//8p////Bu8CAAAxVGFibGUuVmVuZExlZGdlckFjY291bnRzLlB1cmNoTGVkZ2VyT2Zmc2V0QWNjb3VudAnwAgAAAQ/9//8p////BvICAAAuVGFibGUuVmVuZExlZGdlckFjY291bnRzLlZBVHByZXBheW1lbnRzQWNjb3VudAnzAgAAAa4CAABpAAAAAe0CAADZAAAAAQz9//+O/////////wAG9QIAAAZTdHJpbmcG9gIAAAdBcnJpdmFsCREBAAABCP3//4z///8CAAAAAQf9///t/v//AQAAAAAACRQBAAAG+wIAABJQdXJjaExlZGdlckFjY291bnQJCAAAAAr/////CRQBAAAKCfsCAAAKCgoJCAAAAAkAAwAACQgAAAAB8AIAANkAAAAB/vz//47/////////AAYDAwAABlN0cmluZwYEAwAADk9mZnNldCBhY2NvdW50CREBAAAB+vz//4z///8CAAAAAfn8///t/v//AQAAAAAACRQBAAAGCQMAABhQdXJjaExlZGdlck9mZnNldEFjY291bnQJCAAAAAr/////CRQBAAAKCQkDAAAKCgoJCAAAAAkOAwAACQgAAAAB8wIAANkAAAAB8Pz//47/////////AAYRAwAABlN0cmluZwYSAwAAFVNhbGVzIHRheCBwcmVwYXltZW50cwkRAQAAAez8//+M////AgAAAAHr/P//7f7//wEAAAAAAAkUAQAABhcDAAAVVkFUcHJlcGF5bWVudHNBY2NvdW50CQgAAAAK/////wkUAQAACgkXAwAACgoKCQgAAAAJHAMAAAkIAAAABA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fAwAABA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hAwAABB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jAwAABx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z//5b+//8JsAIAAAYmAwAAQEFjY291bnQgZm9yIHBvc3RpbmcgdmVuZG9yIGludm9pY2VzIHRoYXQgaGF2ZSBub3QgYmVlbiBhcHByb3ZlZC4B2fz//5b+//8JswIAAAn2AgAAAdb8//+W/v//CbYCAAAJ9QI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8//+W/v//CbACAAAGLwMAAENBY2NvdW50IGZvciBvZmZzZXR0aW5nIHZlbmRvciBpbnZvaWNlcyB0aGF0IGhhdmUgbm90IGJlZW4gYXBwcm92ZWQuAdD8//+W/v//CbMCAAAJBAMAAAHN/P//lv7//wm2AgAACQMD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P//lv7//wmwAgAABjgDAAA3T2Zmc2V0IGFjY291bnQgZm9yIGNhbGN1bGF0ZWQgc2FsZXMgdGF4IG9uIHByZXBheW1lbnRzLgHH/P//lv7//wmzAgAACRIDAAABxPz//5b+//8JtgIAAAkRAwAACw==
    <Output>
      <OutputObject name="AtlasReport_8"/>
    </Output>
  </Query>
</Atlas>
</file>

<file path=customXml/item21.xml><?xml version="1.0" encoding="utf-8"?>
<Atlas>
  <Report name="AtlasReport_8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AAAAAkDAAAACQQAAAAGBQAAAA1BdGxhc1JlcG9ydF84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h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OUG9zdGluZ1Byb2ZpbGUGJAAAAA9Qb3N0aW5nIHByb2ZpbGUGJQAAAAZTdHJpbmcGJgAAAAAGJwAAACQzZGM0Njg2YS0xOWUzLTRiOTYtOWE2OS02NWY4OWJjN2JhZDk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AAAAAAAAAAAAF1f///0BHbG9iZVNvZnR3YXJlLkF0bGFzNDAuQXRsYXNDb21tb24uVHlwZS5Db2x1bW4rQ3Jvc3NUYWJDb2x1bW5UeXBlAQAAAAd2YWx1ZV9fAAgOAAAAAAAAAAoBAAAAAAAAAAAAAAAAAAYsAAAAJDUyMDlhZmVjLTEwZDMtNGU1OS05NzYyLWIwODcyMmYzMWVkMAYtAAAAJ1RhYmxlLlZlbmRMZWRnZXJBY2NvdW50cy5Qb3N0aW5nUHJvZmlsZQoKCgoBFQAAABQAAAAJLgAAAAkvAAAACTAAAAAGMQAAAAtBY2NvdW50Q29kZQYyAAAADEFjY291bnQgY29kZQYzAAAABEVudW0JJgAAAAY1AAAAJGNkOWUyMDRlLTg3NzItNDVlMS05ZDE4LWZhZTFlMDg5NjA1ZgHK////2P////////8BAAAAAcn////X////AAAAAAHI////1v///wIAAAAAAAAAAAHH////1f///wAAAAAKAQAAAAAAAAAAAQAAAAAGOgAAACRhOWM1YTJkZS02NDg1LTQ5YzMtYmZkZi0wOTNkN2E3MDU5NTAGOwAAACRUYWJsZS5WZW5kTGVkZ2VyQWNjb3VudHMuQWNjb3VudENvZGUKCgoKARYAAAAUAAAACTwAAAAJPQAAAAk+AAAABj8AAAADTnVtBkAAAAAUQWNjb3VudC9Hcm91cCBudW1iZXIGQQAAAAZTdHJpbmcJJgAAAAZDAAAAJDY0M2E3OGRhLTMyZGYtNGY1My04Mjg1LTBhMWFjNTEyZTExMQG8////2P////////8CAAAAAbv////X////AAAAAAG6////1v///wIAAAAAAAAAAAG5////1f///wAAAAAKAQAAAAAAAAAAAgAAAAAGSAAAACRlNzgyOWM1Zi0wZjE1LTQ4OWUtOWMzZS04OWFiMjlmMWNmNDUGSQAAABxUYWJsZS5WZW5kTGVkZ2VyQWNjb3VudHMuTnVtCgoKCgEXAAAAFAAAAAlKAAAACUsAAAAJTAAAAAZNAAAAN0F0bGFzTWFuYWdlZENvbHVtbl9iMDA4ZThkYS04OWM2LTRjMTMtYjA4My0xYjIwNDVkNDE3MzkGTgAAAAtWZW5kZXIgbmFtZQkmAAAACSYAAAAGUAAAACQwODIzZDQ2Zi1mNDAwLTQ1YmQtODE5Mi0zYzZkNGIwYWJlNTYBr////9j/////////AwAAAAGu////1////wIAAAABrf///9b///8CAAAAAAAAAAABrP///9X///8AAAAACgEAAAAAAAAAAAMAAAAABlUAAAAkMzA1MTBjMzEtNGI1Mi00YWIxLTg1MjYtNmVjMzNkNWI0MmJjCSYAAAAKCgoKARgAAAAUAAAACVcAAAAJWAAAAAlZAAAABloAAAAKU3VtQWNjb3VudAZbAAAAD1N1bW1hcnkgYWNjb3VudAZcAAAABlN0cmluZwkmAAAABl4AAAAkN2FiZjA4YTEtNDVmNS00OGFjLWE1OTItZTk1Mjg1ODNjMTY2AaH////Y/////////wQAAAABoP///9f///8AAAAAAZ/////W////AgAAAAAAAAAAAZ7////V////AAAAAAoBAAAAAAAAAAAEAAAAAAZjAAAAJDhlZWQ1NTkzLTIxNTYtNDM0Yy04ZTYwLTc0MTBkZDE3NTMxNgZkAAAAI1RhYmxlLlZlbmRMZWRnZXJBY2NvdW50cy5TdW1BY2NvdW50CgoKCgEZAAAAFAAAAAllAAAACWYAAAAJZwAAAAZoAAAAN0F0bGFzTWFuYWdlZENvbHVtbl8xYWJkZTRmMi1mYTIzLTRhZTEtYTUzMy0yODY2OGMyYWY1ZDgGaQAAABFMb2NrZWQgaW4gam91cm5hbAkmAAAACSYAAAAGawAAACQxOTQ3YTg0YS01NDlkLTQxZjgtYTE3Zi00MGQ0MTczOTc4OGQBlP///9j/////////BQAAAAGT////1////wIAAAABkv///9b///8CAAAAAAAAAAABkf///9X///8AAAAACgEAAAAAAAAAAAUAAAAABnAAAAAkMmYxNzUwYzAtZTk3MC00NTgzLWI0ZTItNWU5YTk4MWY3NDVjCSYAAAAKCgoKARoAAAAUAAAACXIAAAAJcwAAAAl0AAAABnUAAAAPQ2xlYXJpbmdBY2NvdW50BnYAAAAOU2V0dGxlIGFjY291bnQGdwAAAAZTdHJpbmcJJgAAAAZ5AAAAJGY5YTE5ZWRkLTlhZjAtNDBhMy1hNGE0LWMyYmJkZTY4M2MwMQGG////2P////////8GAAAAAYX////X////AAAAAAGE////1v///wIAAAAAAAAAAAGD////1f///wAAAAAKAQAAAAAAAAAABgAAAAAGfgAAACRkMjkwZDNjMC03MzYyLTQzMGItODJlNy01MDVlMjBlYTJhYTcGfwAAAChUYWJsZS5WZW5kTGVkZ2VyQWNjb3VudHMuQ2xlYXJpbmdBY2NvdW50CgoKCgEbAAAAFAAAAAmAAAAACYEAAAAJggAAAAaDAAAAN0F0bGFzTWFuYWdlZENvbHVtbl83MzY2NDk4Yy02Mzg4LTQ5ZTgtYTk0NS1mZGY2M2UzZDlhYjAGhAAAABFMb2NrZWQgaW4gam91cm5hbAkmAAAACSYAAAAGhgAAACQwNmJlMGQxOS1lNTJhLTQ3OGQtODc4OC0zNThhZGI3MmE5NGEBef///9j/////////BwAAAAF4////1////wIAAAABd////9b///8CAAAAAAAAAAABdv///9X///8AAAAACgEAAAAAAAAAAAcAAAAABosAAAAkM2FmY2ZlMGYtNjE5NC00OTU4LWE5MmEtMGMxZmNkNmYxZjQxCSYAAAAKCgoKBR4AAAA4R2xvYmVTb2Z0d2FyZS5BdGxhczQwLkF0bGFzQ29tbW9uQ2xpZW50LlJlcG9ydC5SZWZlcmVuY2UBAAAACl9yZWZlcmVuY2UHCBwAAAAJjQAAAAcfAAAAAAEAAAAEAAAABDxHbG9iZVNvZnR3YXJlLkF0bGFzNDAuQXRsYXNDb21tb25DbGllbnQuRGF0YVNvdXJjZUZpZWxkVmFsdWUcAAAACY4AAAANAw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iAQ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QAACZIAAAAHAAAACZMAAAABLgAAACAAAAAJlAAAAAEAAAABAAAAAS8AAAAhAAAAoQEAAAmQAAAABwAAAAmWAAAAATAAAAAiAAAAnQEAAAmSAAAABwAAAAmYAAAAATwAAAAgAAAACZkAAAABAAAAAQAAAAE9AAAAIQAAAKEBAAAJkAAAAAcAAAAJmwAAAAE+AAAAIgAAAJ0BAAAJkgAAAAcAAAAJnQAAAAFKAAAAIAAAAAmeAAAAAAAAAAAAAAABSwAAACEAAABoAQAACZ8AAAAHAAAACaAAAAABTAAAACIAAABeAQAACaEAAAAHAAAACaIAAAABVwAAACAAAAAJowAAAAEAAAABAAAAAVgAAAAhAAAAoQEAAAmQAAAABwAAAAmlAAAAAVkAAAAiAAAAnQEAAAmSAAAABwAAAAmnAAAAAWUAAAAgAAAACagAAAAAAAAAAAAAAAFmAAAAIQAAAH8BAAAJqQAAAAcAAAAJqgAAAAFnAAAAIgAAAHMBAAAJqwAAAAcAAAAJrAAAAAFyAAAAIAAAAAmtAAAAAQAAAAEAAAABcwAAACEAAAChAQAACZAAAAAHAAAACa8AAAABdAAAACIAAACdAQAACZIAAAAHAAAACbEAAAABgAAAACAAAAAJsgAAAAAAAAAAAAAAAYEAAAAhAAAAcAEAAAmzAAAABwAAAAm0AAAAAYIAAAAiAAAAZQEAAAm1AAAABwAAAAm2AAAAD40AAAABAAAACAEAAAAFjgAAADxHbG9iZVNvZnR3YXJlLkF0bGFzNDAuQXRsYXNDb21tb25DbGllbnQuRGF0YVNvdXJjZUZpZWxkVmFsdWUEAAAAEl9pc0RyaWxsRG93bkZpbHRlcgZfZHNLZXkKX2ZpZWxkbmFtZQtfZmllbGRWYWx1ZQABAQEBHAAAAAAGtwAAABhUYWJsZS5WZW5kTGVkZ2VyQWNjb3VudHMGuAAAAApEYXRhQXJlYUlkCQYAAAAHjwAAAAABAAAABAAAAAQ3R2xvYmVTb2Z0d2FyZS5BdGxhczQwLkF0bGFzQ29tbW9uLlR5cGUuRmllbGRPdXRwdXRGaWVsZA4AAAAJugAAAA0DBJA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F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T///8yR2xvYmVTb2Z0d2FyZS5BdGxhczQwLkF0bGFzQ29tbW9uLkNvbHVtbkF0dHJpYnV0ZXMBAAAAB3ZhbHVlX18ACA4AAAAGAAAABr0AAAAFVG90YWwBQv///0X///8BQf///0T///8QAAAABsAAAAAETm9uZQE/////Rf///wE+////RP///wkAAAAJJgAAAAE8////Rf///wE7////RP///wsAAAAGxgAAAAEwATn///9F////ATj///9E////BAAAAAbJAAAAB0dlbmVyYWwBNv///0X///8BNf///0T///8CAAAABswAAAABMQEz////Rf///wEy////RP///wAAAAAGzwAAAAUzOC43MQGSAAAADAAAA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DD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0QAAAAhGb250Qm9sZAbSAAAABUZhbHNlAS3///8w////BtQAAAAKRm9udEl0YWxpYwnSAAAAASr///8w////BtcAAAANRm9udFVuZGVybGluZQbYAAAABS00MTQyASf///8w////BtoAAAAIRm9udE5hbWUG2wAAAAdDYWxpYnJpAST///8w////Bt0AAAAJRm9udENvbG9yBt4AAAABMAEh////MP///wbgAAAACEZvbnRTaXplBuEAAAACMTEBHv///zD///8G4wAAAAlGb250U3R5bGUG5AAAAAdSZWd1bGFyB5QAAAAAAQAAAAQAAAAEN0dsb2JlU29mdHdhcmUuQXRsYXM0MC5BdGxhc0NvbW1vbi5UeXBlLkZpZWxkT3V0cHV0RmllbGQOAAAACeUAAAANAw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v///0X///8BGf///0T///8QAAAACcAAAAABF////0X///8BFv///0T///8JAAAACSYAAAABFP///0X///8BE////0T///8LAAAABu4AAAABMQER////Rf///wEQ////RP///wQAAAAG8QAAAAdHZW5lcmFsAQ7///9F////AQ3///9E////AgAAAAb0AAAAATEBC////0X///8BCv///0T///8AAAAABvcAAAAFMTQuNDMHm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MP///wnRAAAACdIAAAABBf///zD///8J1AAAAAnSAAAAAQL///8w////CdcAAAAGAAEAAAUtNDE0MgH//v//MP///wnaAAAABgMBAAAHQ2FsaWJyaQH8/v//MP///wndAAAABgYBAAABMAH5/v//MP///wngAAAABgkBAAACMTEB9v7//zD///8J4wAAAAYMAQAAB1JlZ3VsYXIHmQAAAAABAAAABAAAAAQ3R2xvYmVTb2Z0d2FyZS5BdGxhczQwLkF0bGFzQ29tbW9uLlR5cGUuRmllbGRPdXRwdXRGaWVsZA4AAAAJDQEAAA0DB5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Rf///wHx/v//RP///xAAAAAJwAAAAAHv/v//Rf///wHu/v//RP///wkAAAAJJgAAAAHs/v//Rf///wHr/v//RP///wsAAAAGFgEAAAEyAen+//9F////Aej+//9E////BAAAAAYZAQAAB0dlbmVyYWwB5v7//0X///8B5f7//0T///8CAAAABhwBAAABMQHj/v//Rf///wHi/v//RP///wAAAAAGHwEAAAIyNAe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+//8w////CdEAAAAJ0gAAAAHd/v//MP///wnUAAAACdIAAAAB2v7//zD///8J1wAAAAYoAQAABS00MTQyAdf+//8w////CdoAAAAGKwEAAAdDYWxpYnJpAdT+//8w////Cd0AAAAGLgEAAAEwAdH+//8w////CeAAAAAGMQEAAAIxMQHO/v//MP///wnjAAAABjQBAAAHUmVndWxhcgeeAAAAAAEAAAAAAAAABDdHbG9iZVNvZnR3YXJlLkF0bGFzNDAuQXRsYXNDb21tb24uVHlwZS5GaWVsZE91dHB1dEZpZWxkDgAAAAGfAAAAkAAAAAe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0X///8Byv7//0T///8kAAAACU4AAAAByP7//0X///8Bx/7//0T///8LAAAABjoBAAABMwHF/v//Rf///wHE/v//RP///wQAAAAGPQEAAAdHZW5lcmFsAcL+//9F////AcH+//9E////AgAAAAZAAQAAATEBv/7//0X///8Bvv7//0T///8AAAAABkMBAAAFNDEuMTQBvP7//0X///8Bu/7//0T///8DAAAABkYBAABWPUF0bGFzVGFibGUoIlVBVCIsRGF0YUFyZWFJZCwiVC5WZW5kVGFibGUiLCIlTmFtZSIsIiIsIiIsIiIsIiIsIiIsIiIsIkFjY291bnROdW0iLCRDMykBoQAAAAwAAAA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5/v//MP///wZIAQAACEZvbnRCb2xkCdIAAAABtv7//zD///8GSwEAAApGb250SXRhbGljCdIAAAABs/7//zD///8GTgEAAA1Gb250VW5kZXJsaW5lBk8BAAAFLTQxNDIBsP7//zD///8GUQEAAAhGb250TmFtZQZSAQAAB0NhbGlicmkBrf7//zD///8GVAEAAAlGb250Q29sb3IGVQEAAAEwAar+//8w////BlcBAAAIRm9udFNpemUGWAEAAAIxMQGn/v//MP///wZaAQAACUZvbnRTdHlsZQZbAQAAB1JlZ3VsYXIHowAAAAABAAAABAAAAAQ3R2xvYmVTb2Z0d2FyZS5BdGxhczQwLkF0bGFzQ29tbW9uLlR5cGUuRmllbGRPdXRwdXRGaWVsZA4AAAAJXAEAAA0DB6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v//Rf///wGi/v//RP///xAAAAAJwAAAAAGg/v//Rf///wGf/v//RP///wkAAAAJJgAAAAGd/v//Rf///wGc/v//RP///wsAAAAGZQEAAAE0AZr+//9F////AZn+//9E////BAAAAAZoAQAAB0dlbmVyYWwBl/7//0X///8Blv7//0T///8CAAAABmsBAAABMQGU/v//Rf///wGT/v//RP///wAAAAAGbgEAAAUxOC4yO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+//8w////CdEAAAAJ0gAAAAGO/v//MP///wnUAAAACdIAAAABi/7//zD///8J1wAAAAZ3AQAABS00MTQyAYj+//8w////CdoAAAAGegEAAAdDYWxpYnJpAYX+//8w////Cd0AAAAGfQEAAAEwAYL+//8w////CeAAAAAGgAEAAAIxMQF//v//MP///wnjAAAABoMBAAAHUmVndWxhcgeoAAAAAAEAAAAAAAAABDdHbG9iZVNvZnR3YXJlLkF0bGFzNDAuQXRsYXNDb21tb24uVHlwZS5GaWVsZE91dHB1dEZpZWxkDgAAAAGpAAAAkAAAAA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0X///8Be/7//0T///8kAAAACWkAAAABef7//0X///8BeP7//0T///8LAAAABokBAAABNQF2/v//Rf///wF1/v//RP///wQAAAAGjAEAAAdHZW5lcmFsAXP+//9F////AXL+//9E////AgAAAAaPAQAAATEBcP7//0X///8Bb/7//0T///8AAAAABpIBAAAFMTcuNzEBbf7//0X///8BbP7//0T///8DAAAABpUBAABkPUF0bGFzVGFibGUoIlVBVCIsRGF0YUFyZWFJZCwiVC5MZWRnZXJUYWJsZSIsIiVCbG9ja2VkSW5Kb3VybmFsIiwiIiwiIiwiIiwiIiwiIiwiIiwiQWNjb3VudE51bSIsJEUzKQGrAAAADAAAAAe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+//8w////BpcBAAAIRm9udEJvbGQJ0gAAAAFn/v//MP///waaAQAACkZvbnRJdGFsaWMJ0gAAAAFk/v//MP///wadAQAADUZvbnRVbmRlcmxpbmUGngEAAAUtNDE0MgFh/v//MP///wagAQAACEZvbnROYW1lBqEBAAAHQ2FsaWJyaQFe/v//MP///wajAQAACUZvbnRDb2xvcgakAQAAATABW/7//zD///8GpgEAAAhGb250U2l6ZQanAQAAAjExAVj+//8w////BqkBAAAJRm9udFN0eWxlBqoBAAAHUmVndWxhcgetAAAAAAEAAAAEAAAABDdHbG9iZVNvZnR3YXJlLkF0bGFzNDAuQXRsYXNDb21tb24uVHlwZS5GaWVsZE91dHB1dEZpZWxkDgAAAAmrAQAADQMHr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T+//9F////AVP+//9E////EAAAAAnAAAAAAVH+//9F////AVD+//9E////CQAAAAkmAAAAAU7+//9F////AU3+//9E////CwAAAAa0AQAAATYBS/7//0X///8BSv7//0T///8EAAAABrcBAAAHR2VuZXJhbAFI/v//Rf///wFH/v//RP///wIAAAAGugEAAAExAUX+//9F////AUT+//9E////AAAAAAa9AQAABTE1LjI5B7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7//zD///8J0QAAAAnSAAAAAT/+//8w////CdQAAAAJ0gAAAAE8/v//MP///wnXAAAABsYBAAAFLTQxNDIBOf7//zD///8J2gAAAAbJAQAAB0NhbGlicmkBNv7//zD///8J3QAAAAbMAQAAATABM/7//zD///8J4AAAAAbPAQAAAjExATD+//8w////CeMAAAAG0gEAAAdSZWd1bGFyB7IAAAAAAQAAAAAAAAAEN0dsb2JlU29mdHdhcmUuQXRsYXM0MC5BdGxhc0NvbW1vbi5UeXBlLkZpZWxkT3V0cHV0RmllbGQOAAAAAbMAAACQAAAA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v//Rf///wEs/v//RP///yQAAAAJhAAAAAEq/v//Rf///wEp/v//RP///wsAAAAG2AEAAAE3ASf+//9F////ASb+//9E////BAAAAAbbAQAAB0dlbmVyYWwBJP7//0X///8BI/7//0T///8CAAAABt4BAAABMQEh/v//Rf///wEg/v//RP///wAAAAAG4QEAAAUxOC44NgEe/v//Rf///wEd/v//RP///wMAAAAJJgAAAAG1AAAADAAAAA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+//8w////BuYBAAAIRm9udEJvbGQJ0gAAAAEY/v//MP///wbpAQAACkZvbnRJdGFsaWMJ0gAAAAEV/v//MP///wbsAQAADUZvbnRVbmRlcmxpbmUG7QEAAAUtNDE0MgES/v//MP///wbvAQAACEZvbnROYW1lBvABAAAHQ2FsaWJyaQEP/v//MP///wbyAQAACUZvbnRDb2xvcgbzAQAAATABDP7//zD///8G9QEAAAhGb250U2l6ZQb2AQAAAjExAQn+//8w////BvgBAAAJRm9udFN0eWxlBvkBAAAHUmVndWxhcgW6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G/v//2P////////8ABvsBAAAGU3RyaW5nBvwBAAAPUG9zdGluZyBwcm9maWxlCf0BAAABAv7//9b///8AAAAABQH+//85R2xvYmVTb2Z0d2FyZS5BdGxhczQwLkF0bGFzQ29tbW9uLk51bWJlclNlcXVlbmNlQ29uZGl0aW9uAQAAAAd2YWx1ZV9fAAgOAAAAAQAAAAAABgACAAAYVGFibGUuVmVuZExlZGdlckFjY291bnRzCSMAAAAJJgAAAAr/////CQACAAAKCSMAAAAKCgoJJgAAAAkGAgAACSYAAAAB5QAAALoAAAAB+P3//9j/////////AAYJAgAABEVudW0GCgIAAAxBY2NvdW50IGNvZGUJ/QEAAAH0/f//1v///wIAAAAB8/3//wH+//8BAAAAAAAJAAIAAAkxAAAACSYAAAAK/////wkAAgAACgkxAAAACgoKCSYAAAAJFAIAAAkmAAAAAQ0BAAC6AAAAAer9///Y/////////wAGFwIAAAZTdHJpbmcGGAIAABRBY2NvdW50L0dyb3VwIG51bWJlcgn9AQAAAeb9///W////AgAAAAHl/f//Af7//wEAAAAAAAkAAgAACT8AAAAJJgAAAAr/////CQACAAAKCT8AAAAKCgoJJgAAAAkiAgAACSYAAAABXAEAALoAAAAB3P3//9j/////////AAYlAgAABlN0cmluZwYmAgAAD1N1bW1hcnkgYWNjb3VudAn9AQAAAdj9///W////AgAAAAHX/f//Af7//wEAAAAAAAkAAgAACVoAAAAJJgAAAAr/////CQACAAAKCVoAAAAKCgoJJgAAAAkwAgAACSYAAAABqwEAALoAAAABzv3//9j/////////AAYzAgAABlN0cmluZwY0AgAADlNldHRsZSBhY2NvdW50Cf0BAAAByv3//9b///8CAAAAAcn9//8B/v//AQAAAAAACQACAAAJdQAAAAkmAAAACv////8JAAIAAAoJdQAAAAoKCgkmAAAACT4CAAAJJgAAAAX9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uAQAABkACAAASVmVuZExlZGdlckFjY291bnRzBkECAAAWVmVuZG9yIGxlZGdlciBhY2NvdW50cwkmAAAACSYAAAAJJgAAAAW9/f//MEdsb2JlU29mdHdhcmUuQXRsYXM0MC5BdGxhc0NvbW1vbi5EYXRhU291cmNlVHlwZQEAAAAHdmFsdWVfXwAIDgAAAAAAAAAJRAIAAAlFAgAABLr9//8LU3lzdGVtLkd1aWQLAAAAAl9hAl9iAl9jAl9kAl9lAl9mAl9nAl9oAl9pAl9qAl9rAAAAAAAAAAAAAAAIBwcCAgICAgICAsLunWFQvONMl4LhXJcnGYkJJgAAAAkmAAAACUgCAAAJAAIAAAoKCgoKAQAAAAW2/f//NEdsb2JlU29mdHdhcmUuQXRsYXM0MC5BdGxhc0NvbW1vbi5EYXRhU291cmNlSm9pbk1vZGUBAAAAB3ZhbHVlX18ACA4AAAAAAAAABbX9//81R2xvYmVTb2Z0d2FyZS5BdGxhczQwLkF0bGFzQ29tbW9uLkRhdGFTb3VyY2VGZXRjaE1vZGUBAAAAB3ZhbHVlX18ACA4AAAAAAAAAAAlMAgAAAQYCAAAiAAAAtwAAAAmSAAAAAwAAAAlOAgAAARQCAAAiAAAAtwAAAAmSAAAAAwAAAAlQAgAAASICAAAiAAAAtwAAAAmSAAAAAwAAAAlSAgAAATACAAAiAAAAtwAAAAmSAAAAAwAAAAlUAgAAAT4CAAAiAAAAtwAAAAmSAAAAAwAAAAlWAgAABEQ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VcCAAARAAAACVgCAAAER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XAgAAAAA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VwIAAAAAAAAETA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IAAAAAAAAHT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f//MP///wZcAgAACEhlbHBUZXh0Bl0CAAAgUG9zdGluZyBwcm9maWxlIGJlaW5nIHByb2Nlc3NlZC4Bov3//zD///8GXwIAAAVMYWJlbAn8AQAAAZ/9//8w////BmICAAAEVHlwZQn7AQAAB1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zD///8JXAIAAAZmAgAAMUFjY291bnQgY29kZSwgaS5lLiBhY2NvdW50LCBhY2NvdW50IGdyb3VwIG9yIGFsbC4Bmf3//zD///8JXwIAAAkKAgAAAZb9//8w////CWICAAAJCQIAAAd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9//8w////CVwCAAAGbwIAADVTcGVjaWZ5IGFjY291bnQvZ3JvdXAgbnVtYmVyIGluY2x1ZGVkIGluIHRoZSBwb3N0aW5nLgGQ/f//MP///wlfAgAACRgCAAABjf3//zD///8JYgIAAAkXAgAAB1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3//zD///8JXAIAAAZ4AgAAJUFjY291bnQgbnVtYmVyIGZvciBwb3N0aW5nIGluIGxlZGdlci4Bh/3//zD///8JXwIAAAkmAgAAAYT9//8w////CWICAAAJJQIAAAd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9//8w////CVwCAAAGgQIAADNMZWRnZXIgYWNjb3VudCAobGlxdWlkaXR5KSBmb3IgcmVjZWlwdCBvZiBwYXltZW50cy4Bfv3//zD///8JXwIAAAk0AgAAAXv9//8w////CWICAAAJMwIAAAFXAgAADAAAAAdYAg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4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JAgAAJ1RhYmxlLlZlbmRMZWRnZXJBY2NvdW50cy5Qb3N0aW5nUHJvZmlsZQm6AAAAAXX9//94/f//BowCAAAkVGFibGUuVmVuZExlZGdlckFjY291bnRzLkFjY291bnRDb2RlCeUAAAABcv3//3j9//8GjwIAABxUYWJsZS5WZW5kTGVkZ2VyQWNjb3VudHMuTnVtCQ0BAAABb/3//3j9//8GkgIAACNUYWJsZS5WZW5kTGVkZ2VyQWNjb3VudHMuU3VtQWNjb3VudAlcAQAAAWz9//94/f//BpUCAAAoVGFibGUuVmVuZExlZGdlckFjY291bnRzLkNsZWFyaW5nQWNjb3VudAmrAQAAAWn9//94/f//BpgCAAArVGFibGUuVmVuZExlZGdlckFjY291bnRzLlB1cmNoTGVkZ2VyQWNjb3VudAmZAgAAAWb9//94/f//BpsCAAAxVGFibGUuVmVuZExlZGdlckFjY291bnRzLlB1cmNoTGVkZ2VyT2Zmc2V0QWNjb3VudAmcAgAAAWP9//94/f//Bp4CAAAuVGFibGUuVmVuZExlZGdlckFjY291bnRzLlZBVHByZXBheW1lbnRzQWNjb3VudAmfAgAABFo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ZAgAAugAAAAFg/f//2P////////8ABqECAAAGU3RyaW5nBqICAAAHQXJyaXZhbAn9AQAAAVz9///W////AgAAAAFb/f//Af7//wEAAAAAAAkAAgAABqcCAAASUHVyY2hMZWRnZXJBY2NvdW50CSYAAAAK/////wkAAgAACgmnAgAACgoKCSYAAAAJrAIAAAkmAAAAAZwCAAC6AAAAAVL9///Y/////////wAGrwIAAAZTdHJpbmcGsAIAAA5PZmZzZXQgYWNjb3VudAn9AQAAAU79///W////AgAAAAFN/f//Af7//wEAAAAAAAkAAgAABrUCAAAYUHVyY2hMZWRnZXJPZmZzZXRBY2NvdW50CSYAAAAK/////wkAAgAACgm1AgAACgoKCSYAAAAJugIAAAkmAAAAAZ8CAAC6AAAAAUT9///Y/////////wAGvQIAAAZTdHJpbmcGvgIAABVTYWxlcyB0YXggcHJlcGF5bWVudHMJ/QEAAAFA/f//1v///wIAAAABP/3//wH+//8BAAAAAAAJAAIAAAbDAgAAFVZBVHByZXBheW1lbnRzQWNjb3VudAkmAAAACv////8JAAIAAAoJwwIAAAoKCgkmAAAACcgCAAAJJgAAAAGsAgAAIgAAAAkAAAAJkgAAAAMAAAAJywIAAAG6AgAAIgAAAAkAAAAJkgAAAAMAAAAJzQIAAAHIAgAAIgAAAAkAAAAJkgAAAAMAAAAJzwIAAAf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9//8w////CVwCAAAG0gIAAEBBY2NvdW50IGZvciBwb3N0aW5nIHZlbmRvciBpbnZvaWNlcyB0aGF0IGhhdmUgbm90IGJlZW4gYXBwcm92ZWQuAS39//8w////CV8CAAAJogIAAAEq/f//MP///wliAgAACaECAAAHz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f//MP///wlcAgAABtsCAABDQWNjb3VudCBmb3Igb2Zmc2V0dGluZyB2ZW5kb3IgaW52b2ljZXMgdGhhdCBoYXZlIG5vdCBiZWVuIGFwcHJvdmVkLgEk/f//MP///wlfAgAACbACAAABIf3//zD///8JYgIAAAmvAgAAB88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zD///8JXAIAAAbkAgAAN09mZnNldCBhY2NvdW50IGZvciBjYWxjdWxhdGVkIHNhbGVzIHRheCBvbiBwcmVwYXltZW50cy4BG/3//zD///8JXwIAAAm+AgAAARj9//8w////CWICAAAJvQIAAAs=</Report>
</Atlas>
</file>

<file path=customXml/item22.xml><?xml version="1.0" encoding="utf-8"?>
<Atlas>
  <Query type="ReportList" id="ecb1cc24-f49b-420e-9aa6-48f197cc970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IQ2FzaERpc2MGHgAAAA1DYXNoIGRpc2NvdW50CQgAAAAJCAAAAAkIAAAABeD///8wR2xvYmVTb2Z0d2FyZS5BdGxhczQwLkF0bGFzQ29tbW9uLkRhdGFTb3VyY2VUeXBlAQAAAAd2YWx1ZV9fAAgCAAAAAAAAAAkhAAAACSIAAAAE3f///wtTeXN0ZW0uR3VpZAsAAAACX2ECX2ICX2MCX2QCX2UCX2YCX2cCX2gCX2kCX2oCX2sAAAAAAAAAAAAAAAgHBwICAgICAgICCIktTxmuvkSjTvK8AS+y4QkIAAAACQgAAAAJJQAAAAYmAAAADlRhYmxlLkNhc2hEaXNj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k4AAAADQYRFQAAAAQAAAAGOQAAAA1BdGxhc1JlcG9ydF82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G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x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D////Pkdsb2JlU29mdHdhcmUuQXRsYXM0MC5BdGxhc0NvbW1vbi5UeXBlLkF0bGFzUXVlcnlBdHRyaWJ1dGVOYW1lAQAAAAd2YWx1ZV9fAAgCAAAAAgAAAAY+AAAAJGVjYjFjYzI0LWY0OWItNDIwZS05YWE2LTQ4ZjE5N2NjOTcwNwHB////xP///wHA////w////wAAAAAGQQAAAARUcnVlAb7////E////Ab3////D////CwAAAAZEAAAADUNhc2ggZGlzY291bnQBu////8T///8Buv///8P///8bAAAACUEAAAABuP///8T///8Bt////8P///8GAAAABkoAAAAFRmFsc2UBtf///8T///8BtP///8P///8cAAAACUEAAAABsv///8T///8Bsf///8P///8dAAAACUoAAAABr////8T///8Brv///8P///8qAAAACUEAAAABrP///8T///8Bq////8P///8BAAAABlYAAAADMzcxAan////E////Aaj////D////JwAAAAZZAAAACz1EYXRhQXJlYUlkAab////E////AaX////D////GQAAAAZcAAAAD0NlbGxzVmVydGljYWxseQGj////xP///wGi////w////wkAAAAKAaH////E////AaD////D////KAAAAAZhAAAAAjEwAZ7////E////AZ3////D////KwAAAAZk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b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YAAAAIQ2FzaERpc2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cAAAARAAAACWg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sAAAACW0AAAAJbgAAAAZvAAAADENhc2hEaXNjQ29kZQZwAAAADUNhc2ggZGlzY291bnQGcQAAAAZTdHJpbmcJCAAAAAZzAAAAJDEyMzgyZDZiLTgxNTktNDgxNi05OGE2LTUxZTA4YTQ3MzJmYgWM////LUdsb2JlU29mdHdhcmUuQXRsYXM0MC5BdGxhc0NvbW1vbi5BZ2dyZWdhdGlvbgEAAAAHdmFsdWVfXwAIAgAAAP////8AAAAABYv///8sR2xvYmVTb2Z0d2FyZS5BdGxhczQwLkF0bGFzQ29tbW9uLkNvbHVtblR5cGUBAAAAB3ZhbHVlX18ACAIAAAAAAAAABYr///8rR2xvYmVTb2Z0d2FyZS5BdGxhczQwLkF0bGFzQ29tbW9uLlNvcnRPcmRlcgEAAAAHdmFsdWVfXwAIAgAAAAIAAAAAAAAAAAWJ////QEdsb2JlU29mdHdhcmUuQXRsYXM0MC5BdGxhc0NvbW1vbi5UeXBlLkNvbHVtbitDcm9zc1RhYkNvbHVtblR5cGUBAAAAB3ZhbHVlX18ACAIAAAAAAAAACgEAAAAAAAAAAAAAAAAABngAAAAkNTA2ZGNjOGYtYzY1Mi00MTkzLWI0ODgtMjgyMGYzZGQwNjkyBnkAAAAbVGFibGUuQ2FzaERpc2MuQ2FzaERpc2NDb2RlCgoKCgEwAAAALwAAAAl6AAAACXsAAAAJfAAAAAZ9AAAAC0Rlc2NyaXB0aW9uBn4AAAALRGVzY3JpcHRpb24GfwAAAAZTdHJpbmcJCAAAAAaBAAAAJDhmOGIwYTM0LTEyZGEtNGE1Zi05ZGU1LTAwNGYyNjc1MDI2MgF+////jP////////8BAAAAAX3///+L////AAAAAAF8////iv///wIAAAAAAAAAAAF7////if///wAAAAAKAQAAAAAAAAAAAQAAAAAGhgAAACRjZmY1ZWJiZC03OTRmLTQ5NmMtODg5My0xOWVkMzgxZjVkN2MGhwAAABpUYWJsZS5DYXNoRGlzYy5EZXNjcmlwdGlvbgoKCgoBMQAAAC8AAAAJiAAAAAmJAAAACYoAAAAGiwAAAApEaXNjTWV0aG9kBowAAAALTmV0L0N1cnJlbnQGjQAAAARFbnVtCQgAAAAGjwAAACQ4ZjRlNzA1Zi1iMWFlLTRlYjYtYTE2My0zYmY2NThlODg0MjUBcP///4z/////////AgAAAAFv////i////wAAAAABbv///4r///8CAAAAAAAAAAABbf///4n///8AAAAACgEAAAAAAAAAAAIAAAAABpQAAAAkNWJjNGYwNzctYmU5ZC00MTNmLTk2ZjMtODY4ZmY5NDgzM2RkBpUAAAAZVGFibGUuQ2FzaERpc2MuRGlzY01ldGhvZAoKCgoBMgAAAC8AAAAJlgAAAAmXAAAACZgAAAAGmQAAAAdQZXJjZW50BpoAAAANRGlzY291bnQgcGN0LgabAAAABFJlYWwJCAAAAAadAAAAJDdlZjU1ZDkzLWQ0Y2QtNDZmYi05YWEwLTU3OTJiN2YyM2M3MgFi////jP////////8DAAAAAWH///+L////AAAAAAFg////iv///wIAAAAAAAAAAAFf////if///wAAAAAKAQAAAAAAAAAAAwAAAAAGogAAACRmOTQwMGJjMi1iZGU1LTQxMDMtYmUyZC0zZDE3NDc3YTBhZDkGowAAABZUYWJsZS5DYXNoRGlzYy5QZXJjZW50CgoKCgEzAAAALwAAAAmkAAAACaUAAAAJpgAAAAanAAAAC051bU9mTW9udGhzBqgAAAAGTW9udGhzBqkAAAAHSW50ZWdlcgkIAAAABqsAAAAkNTQ3YmM1NjYtMDZmZC00Y2Y5LWJjZDUtNDU1Mzg4ZTUxNmMwAVT///+M/////////wQAAAABU////4v///8AAAAAAVL///+K////AgAAAAAAAAAAAVH///+J////AAAAAAoBAAAAAAAAAAAEAAAAAAawAAAAJGEzZTI4MDQ3LThjMDItNDdlNi1hYTI0LWJmODUzZTE4MWVlYQaxAAAAGlRhYmxlLkNhc2hEaXNjLk51bU9mTW9udGhzCgoKCgE0AAAALwAAAAmyAAAACbMAAAAJtAAAAAa1AAAACU51bU9mRGF5cwa2AAAABERheXMGtwAAAAdJbnRlZ2VyCQgAAAAGuQAAACQ4NmM5MTk2MS1lNmI4LTRiMmEtYWViNi1lYjliZmJlMzU4YjgBRv///4z/////////BQAAAAFF////i////wAAAAABRP///4r///8CAAAAAAAAAAABQ////4n///8AAAAACgEAAAAAAAAAAAUAAAAABr4AAAAkZWZiM2E1ZjEtYmU0NC00MmMxLTk2MTEtZTYxMTc1Mzc2MjJhBr8AAAAYVGFibGUuQ2FzaERpc2MuTnVtT2ZEYXlzCgoKCgE1AAAALwAAAAnAAAAACcEAAAAJwgAAAAbDAAAAD0FjY291bnRSZWNlaXZlZAbEAAAAEEFjY291bnQgcmVjZWl2ZWQGxQAAAAZTdHJpbmcJCAAAAAbHAAAAJDAyODUwODU4LWEyNTEtNDc0YS1hYmNmLWJiMjE2NGRmNTc3MQE4////jP////////8GAAAAATf///+L////AAAAAAE2////iv///wIAAAAAAAAAAAE1////if///wAAAAAKAQAAAAAAAAAABgAAAAAGzAAAACQ2NTU2ZmE1Zi0zODA3LTQxOGEtODM4MS1mOTEyOGQwM2M2MTcGzQAAAB5UYWJsZS5DYXNoRGlzYy5BY2NvdW50UmVjZWl2ZWQKCgoKATYAAAAvAAAACc4AAAAJzwAAAAnQAAAABtEAAAA3QXRsYXNNYW5hZ2VkQ29sdW1uXzFiMTI4MGE1LTUwNTUtNGMxNy1iNzcyLTI1NmQ2ZjA2NjQxNAbSAAAAEUxvY2tlZCBpbiBqb3VybmFsCQgAAAAJCAAAAAbUAAAAJGFmYzRjNzc1LWEwNGItNDk0MS1hYzFiLTNiNDMzZDE5NGM2NwEr////jP////////8HAAAAASr///+L////AgAAAAEp////iv///wIAAAAAAAAAAAEo////if///wAAAAAKAQAAAAAAAAAABwAAAAAG2QAAACQ2MTM5YTA3Ni1hOTE2LTRjMmYtYjhhNi03OTVlNDdjOTg0NWEJCAAAAAoKCgoBNwAAAC8AAAAJ2wAAAAncAAAACd0AAAAG3gAAAAtBY2NvdW50UGFpZAbfAAAAD0FjY291bnQgYWxsb3dlZAbgAAAABlN0cmluZwkIAAAABuIAAAAkODVkZGVjMjUtZjgwMS00OTg5LWJmMjEtZWU1ODZlNWNkYjQ1AR3///+M/////////wgAAAABHP///4v///8AAAAAARv///+K////AgAAAAAAAAAAARr///+J////AAAAAAoBAAAAAAAAAAAIAAAAAAbnAAAAJDY2ZWUyOWZlLThjOTItNDVmYi05M2U1LTc0YmZhOWFjMzRjMAboAAAAGlRhYmxlLkNhc2hEaXNjLkFjY291bnRQYWlkCgoKCgE4AAAALwAAAAnpAAAACeoAAAAJ6wAAAAbsAAAAN0F0bGFzTWFuYWdlZENvbHVtbl9lODdmODJkNC01OTEyLTQzNmEtYTJhNS02YmQ3N2MzNjgxMTUG7QAAABFMb2NrZWQgaW4gam91cm5hbAkIAAAACQgAAAAG7wAAACQ4YWI4NTUyZC03MzYyLTQ5YjgtYTcxNi1kZjNmNThmODVjZDgBEP///4z/////////CQAAAAEP////i////wIAAAABDv///4r///8CAAAAAAAAAAABDf///4n///8AAAAACgEAAAAAAAAAAAkAAAAABvQAAAAkNzlmZTI0NGMtNmVmYS00MGQxLWE4ODgtMDZiNWI0NTJiNWQ4CQgAAAAKCgoKAWcAAAASAAAAB2gA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r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vcAAAAbVGFibGUuQ2FzaERpc2MuQ2FzaERpc2NDb2RlCfgAAAABB////wr///8G+gAAABpUYWJsZS5DYXNoRGlzYy5EZXNjcmlwdGlvbgn7AAAAAQT///8K////Bv0AAAAZVGFibGUuQ2FzaERpc2MuRGlzY01ldGhvZAn+AAAAAQH///8K////BgABAAAWVGFibGUuQ2FzaERpc2MuUGVyY2VudAkBAQAAAf7+//8K////BgMBAAAaVGFibGUuQ2FzaERpc2MuTnVtT2ZNb250aHMJBAEAAAH7/v//Cv///wYGAQAAGFRhYmxlLkNhc2hEaXNjLk51bU9mRGF5cwkHAQAAAfj+//8K////BgkBAAAeVGFibGUuQ2FzaERpc2MuQWNjb3VudFJlY2VpdmVkCQoBAAAB9f7//wr///8GDAEAABpUYWJsZS5DYXNoRGlzYy5BY2NvdW50UGFpZAkNAQAABG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s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OAQAAAQAAAAEAAAAEb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UAQAACQ8BAAAHAAAACRABAAAEb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PAQAACREBAAAHAAAACRIBAAABegAAAGwAAAAJEwEAAAEAAAABAAAAAXsAAABtAAAAkwEAAAkPAQAABwAAAAkVAQAABH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EAAAkRAQAABwAAAAkXAQAAAYgAAABsAAAACRgBAAABAAAAAQAAAAGJAAAAbQAAAJMBAAAJDwEAAAcAAAAJGg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BAAAJEQEAAAcAAAAJHAEAAAGWAAAAbAAAAAkdAQAAAQAAAAEAAAABlwAAAG0AAACEAQAACR4BAAAHAAAACR8BAAAEm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BAQAACSABAAAHAAAACSEBAAABpAAAAGwAAAAJIgEAAAEAAAABAAAAAaUAAABtAAAAkwEAAAkPAQAABwAAAAkkAQAABK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wEAAAkRAQAABwAAAAkmAQAAAbIAAABsAAAACScBAAABAAAAAQAAAAGzAAAAbQAAAJMBAAAJDwEAAAcAAAAJKQEAAAS0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BAAAJEQEAAAcAAAAJKwEAAAHAAAAAbAAAAAksAQAAAQAAAAEAAAABwQAAAG0AAACTAQAACQ8BAAAHAAAACS4BAAAEw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PAQAACREBAAAHAAAACTABAAABzgAAAGwAAAAJMQEAAAAAAAAAAAAAAc8AAABtAAAAbgEAAAkyAQAABwAAAAkzAQAABN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ZQEAAAk0AQAABwAAAAk1AQAAAdsAAABsAAAACTYBAAABAAAAAQAAAAHcAAAAbQAAAJMBAAAJDwEAAAcAAAAJOA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8BAAAJEQEAAAcAAAAJOgEAAAHpAAAAbAAAAAkxAQAAAAAAAAAAAAAB6gAAAG0AAABuAQAACTIBAAAHAAAACT0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lAQAACTQBAAAHAAAACT8BAAAF+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P7//4z/////////AAZBAQAABlN0cmluZwkeAAAACUMBAAABvP7//4r///8CAAAABbv+//85R2xvYmVTb2Z0d2FyZS5BdGxhczQwLkF0bGFzQ29tbW9uLk51bWJlclNlcXVlbmNlQ29uZGl0aW9uAQAAAAd2YWx1ZV9fAAgCAAAAAQAAAAAABkYBAAAOVGFibGUuQ2FzaERpc2MJbwAAAAkIAAAACv////8JRgEAAAoJbwAAAAoKCgkIAAAACUwBAAAJCAAAAAH7AAAA+AAAAAGy/v//jP////////8ABk8BAAAGU3RyaW5nBlABAAALRGVzY3JpcHRpb24JQwEAAAGu/v//iv///wIAAAABrf7//7v+//8BAAAAAAAJRgEAAAl9AAAACQgAAAAK/////wlGAQAACgl9AAAACgoKCQgAAAAJWgEAAAkIAAAAAf4AAAD4AAAAAaT+//+M/////////wAGXQEAAARFbnVtBl4BAAALTmV0L0N1cnJlbnQJQwEAAAGg/v//iv///wIAAAABn/7//7v+//8BAAAAAAAJRgEAAAmLAAAACQgAAAAK/////wlGAQAACgmLAAAACgoKCQgAAAAJaAEAAAkIAAAAAQEBAAD4AAAAAZb+//+M/////////wAGawEAAARSZWFsBmwBAAANRGlzY291bnQgcGN0LgltAQAAAZL+//+K////AgAAAAGR/v//u/7//wEAAAAAAAZwAQAADlRhYmxlLkNhc2hEaXNjCZkAAAAJCAAAAAr/////CXABAAAKCZkAAAAKCgoJCAAAAAl2AQAACQgAAAABBAEAAPgAAAABiP7//4z/////////AAZ5AQAAB0ludGVnZXIGegEAAAZNb250aHMJQwEAAAGE/v//iv///wIAAAABg/7//7v+//8BAAAAAAAJRgEAAAmnAAAACQgAAAAK/////wlGAQAACgmnAAAACgoKCQgAAAAJhAEAAAkIAAAAAQcBAAD4AAAAAXr+//+M/////////wAGhwEAAAdJbnRlZ2VyBogBAAAERGF5cwlDAQAAAXb+//+K////AgAAAAF1/v//u/7//wEAAAAAAAlGAQAACbUAAAAJCAAAAAr/////CUYBAAAKCbUAAAAKCgoJCAAAAAmSAQAACQgAAAABCgEAAPgAAAABbP7//4z/////////AAaVAQAABlN0cmluZwaWAQAAEEFjY291bnQgcmVjZWl2ZWQJQwEAAAFo/v//iv///wIAAAABZ/7//7v+//8BAAAAAAAJRgEAAAnDAAAACQgAAAAK/////wlGAQAACgnDAAAACgoKCQgAAAAJoAEAAAkIAAAAAQ0BAAD4AAAAAV7+//+M/////////wAGowEAAAZTdHJpbmcGpAEAAA9BY2NvdW50IGFsbG93ZWQJQwEAAAFa/v//iv///wIAAAABWf7//7v+//8BAAAAAAAJRgEAAAneAAAACQgAAAAK/////wlGAQAACgneAAAACgoKCQgAAAAJrgEAAAkIAAAABw4BAAAAAQAAAAQAAAAEN0dsb2JlU29mdHdhcmUuQXRsYXM0MC5BdGxhc0NvbW1vbi5UeXBlLkZpZWxkT3V0cHV0RmllbGQCAAAACfgAAAANAwQP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Q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T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O/v//Mkdsb2JlU29mdHdhcmUuQXRsYXM0MC5BdGxhc0NvbW1vbi5Db2x1bW5BdHRyaWJ1dGVzAQAAAAd2YWx1ZV9fAAgCAAAABgAAAAazAQAABVRvdGFsAUz+//9P/v//AUv+//9O/v//EAAAAAa2AQAABE5vbmUBSf7//0/+//8BSP7//07+//8JAAAACQgAAAABRv7//0/+//8BRf7//07+//8LAAAABrwBAAABMAFD/v//T/7//wFC/v//Tv7//wQAAAAGvwEAAAdHZW5lcmFsAUD+//9P/v//AT/+//9O/v//AgAAAAbCAQAAATEBPf7//0/+//8BPP7//07+//8AAAAABsUBAAACMjMBEQEAABIAAAAHE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6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cBAAAIRm9udEJvbGQGyAEAAAVGYWxzZQE3/v//Ov7//wbKAQAACkZvbnRJdGFsaWMJyAEAAAE0/v//Ov7//wbNAQAADUZvbnRVbmRlcmxpbmUGzgEAAAUtNDE0MgEx/v//Ov7//wbQAQAACEZvbnROYW1lBtEBAAAHQ2FsaWJyaQEu/v//Ov7//wbTAQAACUZvbnRDb2xvcgbUAQAAATABK/7//zr+//8G1gEAAAhGb250U2l6ZQbXAQAAAjExASj+//86/v//BtkBAAAJRm9udFN0eWxlBtoBAAAHUmVndWxhcgcTAQAAAAEAAAAEAAAABDdHbG9iZVNvZnR3YXJlLkF0bGFzNDAuQXRsYXNDb21tb24uVHlwZS5GaWVsZE91dHB1dEZpZWxkAgAAAAn7AAAADQMHF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+//9P/v//ASP+//9O/v//EAAAAAm2AQAAASH+//9P/v//ASD+//9O/v//CQAAAAkIAAAAAR7+//9P/v//AR3+//9O/v//CwAAAAbkAQAAATEBG/7//0/+//8BGv7//07+//8EAAAABucBAAAHR2VuZXJhbAEY/v//T/7//wEX/v//Tv7//wIAAAAG6gEAAAExARX+//9P/v//ART+//9O/v//AAAAAAbtAQAABTI5LjQzBx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7//zr+//8JxwEAAAnIAQAAAQ/+//86/v//CcoBAAAJyAEAAAEM/v//Ov7//wnNAQAABvYBAAAFLTQxNDIBCf7//zr+//8J0AEAAAb5AQAAB0NhbGlicmkBBv7//zr+//8J0wEAAAb8AQAAATABA/7//zr+//8J1gEAAAb/AQAAAjExAQD+//86/v//CdkBAAAGAgIAAAdSZWd1bGFyBxgBAAAAAQAAAAQAAAAEN0dsb2JlU29mdHdhcmUuQXRsYXM0MC5BdGxhc0NvbW1vbi5UeXBlLkZpZWxkT3V0cHV0RmllbGQCAAAACf4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3//0/+//8B+/3//07+//8QAAAACbYBAAAB+f3//0/+//8B+P3//07+//8JAAAACQgAAAAB9v3//0/+//8B9f3//07+//8LAAAABgwCAAABMgHz/f//T/7//wHy/f//Tv7//wQAAAAGDwIAAAdHZW5lcmFsAfD9//9P/v//Ae/9//9O/v//AgAAAAYSAgAAATEB7f3//0/+//8B7P3//07+//8AAAAABhUCAAAENy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9//86/v//CccBAAAJyAEAAAHn/f//Ov7//wnKAQAACcgBAAAB5P3//zr+//8JzQEAAAYeAgAABS00MTQyAeH9//86/v//CdABAAAGIQIAAAdDYWxpYnJpAd79//86/v//CdMBAAAGJAIAAAEwAdv9//86/v//CdYBAAAGJwIAAAIxMQHY/f//Ov7//wnZAQAABioCAAAHUmVndWxhcgcdAQAAAAEAAAAEAAAABDdHbG9iZVNvZnR3YXJlLkF0bGFzNDAuQXRsYXNDb21tb24uVHlwZS5GaWVsZE91dHB1dEZpZWxkAgAAAAkBAQAADQMBHgEAAA8BAAAHH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T9//9P/v//AdP9//9O/v//CQAAAAkIAAAAAdH9//9P/v//AdD9//9O/v//CwAAAAYxAgAAATMBzv3//0/+//8Bzf3//07+//8EAAAABjQCAAAHR2VuZXJhbAHL/f//T/7//wHK/f//Tv7//wIAAAAGNwIAAAExAcj9//9P/v//Acf9//9O/v//AAAAAAY6AgAAAjE0ASABAAAS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zr+//8GPAIAAAhGb250Qm9sZAnIAQAAAcL9//86/v//Bj8CAAAKRm9udEl0YWxpYwnIAQAAAb/9//86/v//BkICAAANRm9udFVuZGVybGluZQZDAgAABS00MTQyAbz9//86/v//BkUCAAAIRm9udE5hbWUGRgIAAAdDYWxpYnJpAbn9//86/v//BkgCAAAJRm9udENvbG9yBkkCAAABMAG2/f//Ov7//wZLAgAACEZvbnRTaXplBkwCAAACMTEBs/3//zr+//8GTgIAAAlGb250U3R5bGUGTwIAAAdSZWd1bGFyByIBAAAAAQAAAAQAAAAEN0dsb2JlU29mdHdhcmUuQXRsYXM0MC5BdGxhc0NvbW1vbi5UeXBlLkZpZWxkT3V0cHV0RmllbGQCAAAACQQB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/3//0/+//8Brv3//07+//8QAAAACbYBAAABrP3//0/+//8Bq/3//07+//8JAAAACQgAAAABqf3//0/+//8BqP3//07+//8LAAAABlkCAAABNAGm/f//T/7//wGl/f//Tv7//wQAAAAGXAIAAAdHZW5lcmFsAaP9//9P/v//AaL9//9O/v//AgAAAAZfAgAAATEBoP3//0/+//8Bn/3//07+//8AAAAABmICAAAEOS40Mw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86/v//CccBAAAJyAEAAAGa/f//Ov7//wnKAQAACcgBAAABl/3//zr+//8JzQEAAAZrAgAABS00MTQyAZT9//86/v//CdABAAAGbgIAAAdDYWxpYnJpAZH9//86/v//CdMBAAAGcQIAAAEwAY79//86/v//CdYBAAAGdAIAAAIxMQGL/f//Ov7//wnZAQAABncCAAAHUmVndWxhcgcnAQAAAAEAAAAEAAAABDdHbG9iZVNvZnR3YXJlLkF0bGFzNDAuQXRsYXNDb21tb24uVHlwZS5GaWVsZE91dHB1dEZpZWxkAgAAAAkH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9//9P/v//AYb9//9O/v//EAAAAAm2AQAAAYT9//9P/v//AYP9//9O/v//CQAAAAkIAAAAAYH9//9P/v//AYD9//9O/v//CwAAAAaBAgAAATUBfv3//0/+//8Bff3//07+//8EAAAABoQCAAAHR2VuZXJhbAF7/f//T/7//wF6/f//Tv7//wIAAAAGhwIAAAExAXj9//9P/v//AXf9//9O/v//AAAAAAaKAgAABDYuNzE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/f//Ov7//wnHAQAACcgBAAABcv3//zr+//8JygEAAAnIAQAAAW/9//86/v//Cc0BAAAGkwIAAAUtNDE0MgFs/f//Ov7//wnQAQAABpYCAAAHQ2FsaWJyaQFp/f//Ov7//wnTAQAABpkCAAABMAFm/f//Ov7//wnWAQAABpwCAAACMTEBY/3//zr+//8J2QEAAAafAgAAB1JlZ3VsYXIHLAEAAAABAAAABAAAAAQ3R2xvYmVTb2Z0d2FyZS5BdGxhczQwLkF0bGFzQ29tbW9uLlR5cGUuRmllbGRPdXRwdXRGaWVsZAIAAAAJCgEAAA0DBy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f/f//T/7//wFe/f//Tv7//xAAAAAJtgEAAAFc/f//T/7//wFb/f//Tv7//wkAAAAJCAAAAAFZ/f//T/7//wFY/f//Tv7//wsAAAAGqQIAAAE2AVb9//9P/v//AVX9//9O/v//BAAAAAasAgAAB0dlbmVyYWwBU/3//0/+//8BUv3//07+//8CAAAABq8CAAABMQFQ/f//T/7//wFP/f//Tv7//wAAAAAGsgIAAAIxOA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39//86/v//CccBAAAJyAEAAAFK/f//Ov7//wnKAQAACcgBAAABR/3//zr+//8JzQEAAAa7AgAABS00MTQyAUT9//86/v//CdABAAAGvgIAAAdDYWxpYnJpAUH9//86/v//CdMBAAAGwQIAAAMyNTUBPv3//zr+//8J1gEAAAbEAgAAAjExATv9//86/v//CdkBAAAGxwIAAAdSZWd1bGFyBzEBAAAAAQAAAAAAAAAEN0dsb2JlU29mdHdhcmUuQXRsYXM0MC5BdGxhc0NvbW1vbi5UeXBlLkZpZWxkT3V0cHV0RmllbGQCAAAAATIBAAAPAQAABz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f//T/7//wE3/f//Tv7//yQAAAAJ0gAAAAE1/f//T/7//wE0/f//Tv7//wsAAAAGzQIAAAE3ATL9//9P/v//ATH9//9O/v//BAAAAAbQAgAAB0dlbmVyYWwBL/3//0/+//8BLv3//07+//8CAAAABtMCAAABMQEs/f//T/7//wEr/f//Tv7//wAAAAAG1gIAAAUxNy43MQEp/f//T/7//wEo/f//Tv7//wMAAAAG2QIAAGQ9QXRsYXNUYWJsZSgiVUFUIixEYXRhQXJlYUlkLCJULkxlZGdlclRhYmxlIiwiJUJsb2NrZWRJbkpvdXJuYWwiLCIiLCIiLCIiLCIiLCIiLCIiLCJBY2NvdW50TnVtIiwkRzMpATQBAAASAAAABz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zr+//8G2wIAAAhGb250Qm9sZAnIAQAAASP9//86/v//Bt4CAAAKRm9udEl0YWxpYwnIAQAAASD9//86/v//BuECAAANRm9udFVuZGVybGluZQbiAgAABS00MTQyAR39//86/v//BuQCAAAIRm9udE5hbWUG5QIAAAdDYWxpYnJpARr9//86/v//BucCAAAJRm9udENvbG9yBugCAAABMAEX/f//Ov7//wbqAgAACEZvbnRTaXplBusCAAACMTEBFP3//zr+//8G7QIAAAlGb250U3R5bGUG7gIAAAdSZWd1bGFyBzYBAAAAAQAAAAQAAAAEN0dsb2JlU29mdHdhcmUuQXRsYXM0MC5BdGxhc0NvbW1vbi5UeXBlLkZpZWxkT3V0cHV0RmllbGQCAAAACQ0BAAANAwc4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3//0/+//8BD/3//07+//8QAAAACbYBAAABDf3//0/+//8BDP3//07+//8JAAAACQgAAAABCv3//0/+//8BCf3//07+//8LAAAABvgCAAABOAEH/f//T/7//wEG/f//Tv7//wQAAAAG+wIAAAdHZW5lcmFsAQT9//9P/v//AQP9//9O/v//AgAAAAb+AgAAATEBAf3//0/+//8BAP3//07+//8AAAAABgEDAAAFMTcuNDM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+/P//Ov7//wnHAQAACcgBAAAB+/z//zr+//8JygEAAAnIAQAAAfj8//86/v//Cc0BAAAGCgMAAAUtNDE0MgH1/P//Ov7//wnQAQAABg0DAAAHQ2FsaWJyaQHy/P//Ov7//wnTAQAABhADAAADMjU1Ae/8//86/v//CdYBAAAGEwMAAAIxMQHs/P//Ov7//wnZAQAABhYDAAAHUmVndWxhcg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fz//0/+//8B6Pz//07+//8kAAAACe0AAAAB5vz//0/+//8B5fz//07+//8LAAAABhwDAAABOQHj/P//T/7//wHi/P//Tv7//wQAAAAGHwMAAAdHZW5lcmFsAeD8//9P/v//Ad/8//9O/v//AgAAAAYiAwAAATEB3fz//0/+//8B3Pz//07+//8AAAAABiUDAAAFMTguODYB2vz//0/+//8B2fz//07+//8DAAAABigDAABkPUF0bGFzVGFibGUoIlVBVCIsRGF0YUFyZWFJZCwiVC5MZWRnZXJUYWJsZSIsIiVCbG9ja2VkSW5Kb3VybmFsIiwiIiwiIiwiIiwiIiwiIiwiIiwiQWNjb3VudE51bSIsJEkzKQc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f8//86/v//CdsCAAAJyAEAAAHU/P//Ov7//wneAgAACcgBAAAB0fz//zr+//8J4QIAAAYxAwAABS00MTQyAc78//86/v//CeQCAAAGNAMAAAdDYWxpYnJpAcv8//86/v//CecCAAAGNwMAAAEwAcj8//86/v//CeoCAAAGOgMAAAIxMQHF/P//Ov7//wntAgAABj0DAAAHUmVndWxhcgFDAQAADgAAACIAAAAGPgMAAAhDYXNoRGlzYwY/AwAADUNhc2ggZGlzY291bnQJCAAAAAkIAAAACQgAAAABv/z//+D///8AAAAACUIDAAAJQwMAAAG8/P//3f///57FWYQNPvJOuFyFLdJyySUJCAAAAAkIAAAACUYDAAAJRgEAAAoKCgoKAQAAAAG4/P//2f///wAAAAABt/z//9j///8AAAAAAAlKAwAABE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wAAAAkRAQAAAwAAAAlMAwAABF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wAAAAkRAQAAAwAAAAlOAwAABG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wAAAAkRAQAAAwAAAAlQAwAAAW0BAAAOAAAA/////wZRAwAACENhc2hEaXNjBlIDAAANQ2FzaCBkaXNjb3VudAkIAAAACQgAAAAJCAAAAAGs/P//4P///wAAAAAJVQMAAAlWAwAAAan8///d////RQryEYdbCU2Kd6o7Ozi0MAkIAAAACQgAAAAJWQMAAAlwAQAACgoKCgoBAAAAAaX8///Z////AAAAAAGk/P//2P///wAAAAAACV0DAAAEd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UAAAACSABAAADAAAACV8DAAAEh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jAAAACREBAAADAAAACWEDAAAEk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jAAAACREBAAADAAAACWMDAAAEo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jAAAACREBAAADAAAACWUDAAAEr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jAAAACREBAAADAAAACWcDAAABQgMAACEAAAAIAAAACWgDAAARAAAACWkDAAABQwMAACIAAAAAAAAACWgDAAAAAAAABEY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oAwAAAAAAAAFKAwAAKQAAAAAAAAAJawMAAAAAAAAHT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P//Ov7//wZtAwAACEhlbHBUZXh0Bm4DAAArQ2FzaCBkaXNjb3VudCBjb2RlIGZvciBzdWJzZXF1ZW50IGFwcHJvdmFsLgGR/P//Ov7//wZwAwAABUxhYmVsCR4AAAABjvz//zr+//8GcwMAAARUeXBlCUEBAAAHT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Ov7//wltAwAABncDAAAeU3BlY2lmeSB0ZXJtcyBvZiBjYXNoIGRpc2NvdW50AYj8//86/v//CXADAAAJUAEAAAGF/P//Ov7//wlzAwAACU8BAAAHU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Ov7//wltAwAABoADAAA6RGlzY291bnQgbWV0aG9kIChuZXQsIGN1cnJlbnQgbW9udGgsIGN1cnJlbnQgcXVhcnRlciBldGMuKQF//P//Ov7//wlwAwAACV4BAAABfPz//zr+//8JcwMAAAldAQAAAVUDAAAhAAAACAAAAAmHAwAAEQAAAAmIAwAAAVYDAAAiAAAAAAAAAAmJAwAAAAAAAAFZAwAABAAAAAIAAAAJhwMAAAMAAAAJiwMAAAFdAwAAKQAAAAAAAAAJjAMAAAAAAAAHX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P//Ov7//waOAwAABUxhYmVsCWwBAAABcPz//zr+//8GkQMAAARUeXBlCWsBAAAHY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P//Ov7//wltAwAABpUDAAA1TnVtYmVyIG9mIG1vbnRocyBwYXN0IHRoZSBzcGVjaWZpZWQgbWV0aG9kIG9mIHBheW1lbnQBavz//zr+//8JcAMAAAl6AQAAAWf8//86/v//CXMDAAAJeQEAAAd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86/v//CW0DAAAGngMAADNOdW1iZXIgb2YgZGF5cyBvdmVyIHRoZSBzcGVjaWZpZWQgdGVybXMgb2YgZGlzY291bnQBYfz//zr+//8JcAMAAAmIAQAAAV78//86/v//CXMDAAAJhwEAAAd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86/v//CW0DAAAGpwMAACpMZWRnZXIgYWNjb3VudCBmb3IgY3JlZGl0aW5nIGNhc2ggZGlzY291bnQBWPz//zr+//8JcAMAAAmWAQAAAVX8//86/v//CXMDAAAJlQEAAAd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L8//86/v//CW0DAAAGsAMAAClMZWRnZXIgYWNjb3VudCBmb3IgZGViaXRpbmcgY2FzaCBkaXNjb3VudAFP/P//Ov7//wlwAwAACaQBAAABTPz//zr+//8JcwMAAAmjAQAAAWgDAAASAAAAB2k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n8//8K////BrgDAAAbVGFibGUuQ2FzaERpc2MuQ2FzaERpc2NDb2RlCfgAAAABRvz//wr///8GuwMAABpUYWJsZS5DYXNoRGlzYy5EZXNjcmlwdGlvbgn7AAAAAUP8//8K////Br4DAAAZVGFibGUuQ2FzaERpc2MuRGlzY01ldGhvZAn+AAAAAUD8//8K////BsEDAAAWVGFibGUuQ2FzaERpc2MuUGVyY2VudAnCAwAAAT38//8K////BsQDAAAaVGFibGUuQ2FzaERpc2MuTnVtT2ZNb250aHMJBAEAAAE6/P//Cv///wbHAwAAGFRhYmxlLkNhc2hEaXNjLk51bU9mRGF5cwkHAQAAATf8//8K////BsoDAAAeVGFibGUuQ2FzaERpc2MuQWNjb3VudFJlY2VpdmVkCQoBAAABNPz//wr///8GzQMAABpUYWJsZS5DYXNoRGlzYy5BY2NvdW50UGFpZAkNAQAAAWsDAABrAAAAAYcDAAASAAAAB4g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8//8K////BtADAAAbVGFibGUuQ2FzaERpc2MuQ2FzaERpc2NDb2RlCfgAAAABLvz//wr///8G0wMAABpUYWJsZS5DYXNoRGlzYy5EZXNjcmlwdGlvbgn7AAAAASv8//8K////BtYDAAAZVGFibGUuQ2FzaERpc2MuRGlzY01ldGhvZAn+AAAAASj8//8K////BtkDAAAaVGFibGUuQ2FzaERpc2MuTnVtT2ZNb250aHMJBAEAAAEl/P//Cv///wbcAwAAGFRhYmxlLkNhc2hEaXNjLk51bU9mRGF5cwkHAQAAASL8//8K////Bt8DAAAeVGFibGUuQ2FzaERpc2MuQWNjb3VudFJlY2VpdmVkCQoBAAABH/z//wr///8G4gMAABpUYWJsZS5DYXNoRGlzYy5BY2NvdW50UGFpZAkNAQAAARz8//8K////BuUDAAAWVGFibGUuQ2FzaERpc2MuUGVyY2VudAkBAQAAAYkDAAASAAAAB4sD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n8///U////BugDAAAwVGFibGUuQ2FzaERpc2MuQWNjb3VudFJlY2VpdmVkflRhYmxlLkxlZGdlclRhYmxlCekDAAABFvz//9T///8G6wMAACxUYWJsZS5DYXNoRGlzYy5BY2NvdW50UGFpZH5UYWJsZS5MZWRnZXJUYWJsZQnsAwAAAYwDAABrAAAAAcIDAAD4AAAAARP8//+M/////////wAG7gMAAARSZWFsBu8DAAANRGlzY291bnQgcGN0LglDAQAAAQ/8//+K////AgAAAAEO/P//u/7//wEAAAAAAAlGAQAABvQDAAAHUGVyY2VudAkIAAAACv////8JRgEAAAoJ9AMAAAoKCgkIAAAACfkDAAAJCAAAAAHpAwAADgAAAP////8G+wMAAAtMZWRnZXJUYWJsZQb8AwAAGExlZGdlciBjaGFydCBvZiBhY2NvdW50cwkIAAAACQgAAAAJCAAAAAEC/P//4P///wAAAAAJ/wMAAAkABAAAAf/7///d////zHHktTXR4EeypZePUrRg0QkIAAAACQgAAAAJAwQAAAnoAwAABgUEAAAIQ2FzaERpc2MGBgQAAA5UYWJsZS5DYXNoRGlzYwYHBAAAHlRhYmxlLkNhc2hEaXNjLkFjY291bnRSZWNlaXZlZAYIBAAAD0FjY291bnRSZWNlaXZlZAYJBAAACkFjY291bnROdW0BAAAAAfb7///Z////AAAAAAH1+///2P///wAAAAAACQwEAAAB7AMAAA4AAAD/////Bg0EAAALTGVkZ2VyVGFibGUGDgQAABhMZWRnZXIgY2hhcnQgb2YgYWNjb3VudHMJCAAAAAkIAAAACQgAAAAB8Pv//+D///8AAAAACREEAAAJEgQAAAHt+///3f///5z5abhHAhBFu/7/TmovoxcJCAAAAAkIAAAACRUEAAAJ6wMAAAYXBAAACENhc2hEaXNjBhgEAAAOVGFibGUuQ2FzaERpc2MGGQQAABpUYWJsZS5DYXNoRGlzYy5BY2NvdW50UGFpZAYaBAAAC0FjY291bnRQYWlkBhsEAAAKQWNjb3VudE51bQIAAAAB5Pv//9n///8AAAAAAeP7///Y////AAAAAAAJHgQAAAT5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QEAAAMAAAAJIAQAAAH/AwAAIQAAAAIAAAAJiQMAAAMAAAAJIgQAAAEABAAAIgAAAAAAAAAJIwQAAAAAAAAEA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kDAAAAAAAAAQwEAAApAAAAAAAAAAklBAAAAAAAAAERBAAAIQAAAAIAAAAJiQMAAAMAAAAJJwQAAAESBAAAIgAAAAAAAAAJIwQAAAAAAAAEFQ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kDAAAAAAAAAR4EAAApAAAAAAAAAAklBAAAAAAAAAc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7//86/v//CW0DAAAGLQQAACZDYXNoIGRpc2NvdW50IGluIHBlcmNlbnRhZ2Ugb2YgYW1vdW50LgHS+///Ov7//wlwAwAACe8DAAABz/v//zr+//8JcwMAAAnuAwAAByIEAAAAAQAAAAA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MEAAASAAAAASUEAABrAAAABycEAAAAAQAAAAA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Cw==
    <Output>
      <OutputObject name="AtlasReport_6"/>
    </Output>
  </Query>
</Atlas>
</file>

<file path=customXml/item23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Z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MQ2FzaERpc2NDb2RlBiYAAAANQ2FzaCBkaXNjb3VudAYnAAAABlN0cmluZwYoAAAAAAYpAAAAJDEyMzgyZDZiLTgxNTktNDgxNi05OGE2LTUxZTA4YTQ3MzJmYgXW////LUdsb2JlU29mdHdhcmUuQXRsYXM0MC5BdGxhc0NvbW1vbi5BZ2dyZWdhdGlvbgEAAAAHdmFsdWVfXwAIDgAAAP////8AAAAABdX///8sR2xvYmVTb2Z0d2FyZS5BdGxhczQwLkF0bGFzQ29tbW9uLkNvbHVtblR5cGUBAAAAB3ZhbHVlX18ACA4AAAAAAAAABdT///8rR2xvYmVTb2Z0d2FyZS5BdGxhczQwLkF0bGFzQ29tbW9uLlNvcnRPcmRlcgEAAAAHdmFsdWVfXwAIDgAAAAIAAAAAAAAAAAXT////QEdsb2JlU29mdHdhcmUuQXRsYXM0MC5BdGxhc0NvbW1vbi5UeXBlLkNvbHVtbitDcm9zc1RhYkNvbHVtblR5cGUBAAAAB3ZhbHVlX18ACA4AAAAAAAAACgEAAAAAAAAAAAAAAAAABi4AAAAkNTA2ZGNjOGYtYzY1Mi00MTkzLWI0ODgtMjgyMGYzZGQwNjkyBi8AAAAbVGFibGUuQ2FzaERpc2MuQ2FzaERpc2NDb2RlCgoKCgEVAAAAFAAAAAkwAAAACTEAAAAJMgAAAAYzAAAAC0Rlc2NyaXB0aW9uBjQAAAALRGVzY3JpcHRpb24GNQAAAAZTdHJpbmcJKAAAAAY3AAAAJDhmOGIwYTM0LTEyZGEtNGE1Zi05ZGU1LTAwNGYyNjc1MDI2MgHI////1v////////8BAAAAAcf////V////AAAAAAHG////1P///wIAAAAAAAAAAAHF////0////wAAAAAKAQAAAAAAAAAAAQAAAAAGPAAAACRjZmY1ZWJiZC03OTRmLTQ5NmMtODg5My0xOWVkMzgxZjVkN2MGPQAAABpUYWJsZS5DYXNoRGlzYy5EZXNjcmlwdGlvbgoKCgoBFgAAABQAAAAJPgAAAAk/AAAACUAAAAAGQQAAAApEaXNjTWV0aG9kBkIAAAALTmV0L0N1cnJlbnQGQwAAAARFbnVtCSgAAAAGRQAAACQ4ZjRlNzA1Zi1iMWFlLTRlYjYtYTE2My0zYmY2NThlODg0MjUBuv///9b/////////AgAAAAG5////1f///wAAAAABuP///9T///8CAAAAAAAAAAABt////9P///8AAAAACgEAAAAAAAAAAAIAAAAABkoAAAAkNWJjNGYwNzctYmU5ZC00MTNmLTk2ZjMtODY4ZmY5NDgzM2RkBksAAAAZVGFibGUuQ2FzaERpc2MuRGlzY01ldGhvZAoKCgoBFwAAABQAAAAJTAAAAAlNAAAACU4AAAAGTwAAAAdQZXJjZW50BlAAAAANRGlzY291bnQgcGN0LgZRAAAABFJlYWwJKAAAAAZTAAAAJDdlZjU1ZDkzLWQ0Y2QtNDZmYi05YWEwLTU3OTJiN2YyM2M3MgGs////1v////////8DAAAAAav////V////AAAAAAGq////1P///wIAAAAAAAAAAAGp////0////wAAAAAKAQAAAAAAAAAAAwAAAAAGWAAAACRmOTQwMGJjMi1iZGU1LTQxMDMtYmUyZC0zZDE3NDc3YTBhZDkGWQAAABZUYWJsZS5DYXNoRGlzYy5QZXJjZW50CgoKCgEYAAAAFAAAAAlaAAAACVsAAAAJXAAAAAZdAAAAC051bU9mTW9udGhzBl4AAAAGTW9udGhzBl8AAAAHSW50ZWdlcgkoAAAABmEAAAAkNTQ3YmM1NjYtMDZmZC00Y2Y5LWJjZDUtNDU1Mzg4ZTUxNmMwAZ7////W/////////wQAAAABnf///9X///8AAAAAAZz////U////AgAAAAAAAAAAAZv////T////AAAAAAoBAAAAAAAAAAAEAAAAAAZmAAAAJGEzZTI4MDQ3LThjMDItNDdlNi1hYTI0LWJmODUzZTE4MWVlYQZnAAAAGlRhYmxlLkNhc2hEaXNjLk51bU9mTW9udGhzCgoKCgEZAAAAFAAAAAloAAAACWkAAAAJagAAAAZrAAAACU51bU9mRGF5cwZsAAAABERheXMGbQAAAAdJbnRlZ2VyCSgAAAAGbwAAACQ4NmM5MTk2MS1lNmI4LTRiMmEtYWViNi1lYjliZmJlMzU4YjgBkP///9b/////////BQAAAAGP////1f///wAAAAABjv///9T///8CAAAAAAAAAAABjf///9P///8AAAAACgEAAAAAAAAAAAUAAAAABnQAAAAkZWZiM2E1ZjEtYmU0NC00MmMxLTk2MTEtZTYxMTc1Mzc2MjJhBnUAAAAYVGFibGUuQ2FzaERpc2MuTnVtT2ZEYXlzCgoKCgEaAAAAFAAAAAl2AAAACXcAAAAJeAAAAAZ5AAAAD0FjY291bnRSZWNlaXZlZAZ6AAAAEEFjY291bnQgcmVjZWl2ZWQGewAAAAZTdHJpbmcJKAAAAAZ9AAAAJDAyODUwODU4LWEyNTEtNDc0YS1hYmNmLWJiMjE2NGRmNTc3MQGC////1v////////8GAAAAAYH////V////AAAAAAGA////1P///wIAAAAAAAAAAAF/////0////wAAAAAKAQAAAAAAAAAABgAAAAAGggAAACQ2NTU2ZmE1Zi0zODA3LTQxOGEtODM4MS1mOTEyOGQwM2M2MTcGgwAAAB5UYWJsZS5DYXNoRGlzYy5BY2NvdW50UmVjZWl2ZWQKCgoKARsAAAAUAAAACYQAAAAJhQAAAAmGAAAABocAAAA3QXRsYXNNYW5hZ2VkQ29sdW1uXzFiMTI4MGE1LTUwNTUtNGMxNy1iNzcyLTI1NmQ2ZjA2NjQxNAaIAAAAEUxvY2tlZCBpbiBqb3VybmFsCSgAAAAJKAAAAAaKAAAAJGFmYzRjNzc1LWEwNGItNDk0MS1hYzFiLTNiNDMzZDE5NGM2NwF1////1v////////8HAAAAAXT////V////AgAAAAFz////1P///wIAAAAAAAAAAAFy////0////wAAAAAKAQAAAAAAAAAABwAAAAAGjwAAACQ2MTM5YTA3Ni1hOTE2LTRjMmYtYjhhNi03OTVlNDdjOTg0NWEJKAAAAAoKCgoBHAAAABQAAAAJkQAAAAmSAAAACZMAAAAGlAAAAAtBY2NvdW50UGFpZAaVAAAAD0FjY291bnQgYWxsb3dlZAaWAAAABlN0cmluZwkoAAAABpgAAAAkODVkZGVjMjUtZjgwMS00OTg5LWJmMjEtZWU1ODZlNWNkYjQ1AWf////W/////////wgAAAABZv///9X///8AAAAAAWX////U////AgAAAAAAAAAAAWT////T////AAAAAAoBAAAAAAAAAAAIAAAAAAadAAAAJDY2ZWUyOWZlLThjOTItNDVmYi05M2U1LTc0YmZhOWFjMzRjMAaeAAAAGlRhYmxlLkNhc2hEaXNjLkFjY291bnRQYWlkCgoKCgEdAAAAFAAAAAmfAAAACaAAAAAJoQAAAAaiAAAAN0F0bGFzTWFuYWdlZENvbHVtbl9lODdmODJkNC01OTEyLTQzNmEtYTJhNS02YmQ3N2MzNjgxMTUGowAAABFMb2NrZWQgaW4gam91cm5hbAkoAAAACSgAAAAGpQAAACQ4YWI4NTUyZC03MzYyLTQ5YjgtYTcxNi1kZjNmNThmODVjZDgBWv///9b/////////CQAAAAFZ////1f///wIAAAABWP///9T///8CAAAAAAAAAAABV////9P///8AAAAACgEAAAAAAAAAAAkAAAAABqoAAAAkNzlmZTI0NGMtNmVmYS00MGQxLWE4ODgtMDZiNWI0NTJiNWQ4CSgAAAAKCgoKBSAAAAA4R2xvYmVTb2Z0d2FyZS5BdGxhczQwLkF0bGFzQ29tbW9uQ2xpZW50LlJlcG9ydC5SZWZlcmVuY2UBAAAACl9yZWZlcmVuY2UHCB4AAAAJrAAAAAchAAAAAAEAAAAEAAAABDxHbG9iZVNvZnR3YXJlLkF0bGFzNDAuQXRsYXNDb21tb25DbGllbnQuRGF0YVNvdXJjZUZpZWxkVmFsdWUeAAAACa0AAAANAwQi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uAA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UAQAACa8AAAAHAAAACbAA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PAQAACbEAAAAHAAAACbIAAAABMAAAACIAAAAJswAAAAEAAAABAAAAATEAAAAjAAAAkwEAAAmvAAAABwAAAAm1AAAAATIAAAAkAAAAjwEAAAmxAAAABwAAAAm3AAAAAT4AAAAiAAAACbgAAAABAAAAAQAAAAE/AAAAIwAAAJMBAAAJrwAAAAcAAAAJugAAAAFAAAAAJAAAAI8BAAAJsQAAAAcAAAAJvAAAAAFMAAAAIgAAAAm9AAAAAQAAAAEAAAABTQAAACMAAACEAQAACb4AAAAHAAAACb8AAAABTgAAACQAAACBAQAACcAAAAAHAAAACcEAAAABWgAAACIAAAAJwgAAAAEAAAABAAAAAVsAAAAjAAAAkwEAAAmvAAAABwAAAAnEAAAAAVwAAAAkAAAAjwEAAAmxAAAABwAAAAnGAAAAAWgAAAAiAAAACccAAAABAAAAAQAAAAFpAAAAIwAAAJMBAAAJrwAAAAcAAAAJyQAAAAFqAAAAJAAAAI8BAAAJsQAAAAcAAAAJywAAAAF2AAAAIgAAAAnMAAAAAQAAAAEAAAABdwAAACMAAACTAQAACa8AAAAHAAAACc4AAAABeAAAACQAAACPAQAACbEAAAAHAAAACdAAAAABhAAAACIAAAAJ0QAAAAAAAAAAAAAAAYUAAAAjAAAAbgEAAAnSAAAABwAAAAnTAAAAAYYAAAAkAAAAZQEAAAnUAAAABwAAAAnVAAAAAZEAAAAiAAAACdYAAAABAAAAAQAAAAGSAAAAIwAAAJMBAAAJrwAAAAcAAAAJ2AAAAAGTAAAAJAAAAI8BAAAJsQAAAAcAAAAJ2gAAAAGfAAAAIgAAAAnRAAAAAAAAAAAAAAABoAAAACMAAABuAQAACdIAAAAHAAAACd0AAAABoQAAACQAAABlAQAACdQAAAAHAAAACd8AAAAPrAAAAAEAAAAIAQAAAAWtAAAAPEdsb2JlU29mdHdhcmUuQXRsYXM0MC5BdGxhc0NvbW1vbkNsaWVudC5EYXRhU291cmNlRmllbGRWYWx1ZQQAAAASX2lzRHJpbGxEb3duRmlsdGVyBl9kc0tleQpfZmllbGRuYW1lC19maWVsZFZhbHVlAAEBAQEeAAAAAAbgAAAADlRhYmxlLkNhc2hEaXNjBuEAAAAKRGF0YUFyZWFJZAkGAAAAB64AAAAAAQAAAAQAAAAEN0dsb2JlU29mdHdhcmUuQXRsYXM0MC5BdGxhc0NvbW1vbi5UeXBlLkZpZWxkT3V0cHV0RmllbGQOAAAACeMAAAANAwSv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w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P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b////Mkdsb2JlU29mdHdhcmUuQXRsYXM0MC5BdGxhc0NvbW1vbi5Db2x1bW5BdHRyaWJ1dGVzAQAAAAd2YWx1ZV9fAAgOAAAABgAAAAbmAAAABVRvdGFsARn///8c////ARj///8b////EAAAAAbpAAAABE5vbmUBFv///xz///8BFf///xv///8JAAAACSgAAAABE////xz///8BEv///xv///8LAAAABu8AAAABMAEQ////HP///wEP////G////wQAAAAG8gAAAAdHZW5lcmFsAQ3///8c////AQz///8b////AgAAAAb1AAAAATEBCv///xz///8BCf///xv///8AAAAABvgAAAACMjMBsQAAAAwAAAAHs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oAAAAIRm9udEJvbGQG+wAAAAVGYWxzZQEE////B////wb9AAAACkZvbnRJdGFsaWMJ+wAAAAEB////B////wYAAQAADUZvbnRVbmRlcmxpbmUGAQEAAAUtNDE0MgH+/v//B////wYDAQAACEZvbnROYW1lBgQBAAAHQ2FsaWJyaQH7/v//B////wYGAQAACUZvbnRDb2xvcgYHAQAAATAB+P7//wf///8GCQEAAAhGb250U2l6ZQYKAQAAAjExAfX+//8H////BgwBAAAJRm9udFN0eWxlBg0BAAAHUmVndWxhcgezAAAAAAEAAAAEAAAABDdHbG9iZVNvZnR3YXJlLkF0bGFzNDAuQXRsYXNDb21tb24uVHlwZS5GaWVsZE91dHB1dEZpZWxkDgAAAAkOAQAADQMHt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H+//8c////AfD+//8b////EAAAAAnpAAAAAe7+//8c////Ae3+//8b////CQAAAAkoAAAAAev+//8c////Aer+//8b////CwAAAAYXAQAAATEB6P7//xz///8B5/7//xv///8EAAAABhoBAAAHR2VuZXJhbAHl/v//HP///wHk/v//G////wIAAAAGHQEAAAExAeL+//8c////AeH+//8b////AAAAAAYgAQAABTI5LjQzB7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7//wf///8J+gAAAAn7AAAAAdz+//8H////Cf0AAAAJ+wAAAAHZ/v//B////wkAAQAABikBAAAFLTQxNDIB1v7//wf///8JAwEAAAYsAQAAB0NhbGlicmkB0/7//wf///8JBgEAAAYvAQAAATAB0P7//wf///8JCQEAAAYyAQAAAjExAc3+//8H////CQwBAAAGNQEAAAdSZWd1bGFyB7gAAAAAAQAAAAQAAAAEN0dsb2JlU29mdHdhcmUuQXRsYXM0MC5BdGxhc0NvbW1vbi5UeXBlLkZpZWxkT3V0cHV0RmllbGQOAAAACTYBAAANAwe6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7//xz///8ByP7//xv///8QAAAACekAAAABxv7//xz///8Bxf7//xv///8JAAAACSgAAAABw/7//xz///8Bwv7//xv///8LAAAABj8BAAABMgHA/v//HP///wG//v//G////wQAAAAGQgEAAAdHZW5lcmFsAb3+//8c////Abz+//8b////AgAAAAZFAQAAATEBuv7//xz///8Buf7//xv///8AAAAABkgBAAAENy4yOQ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+//8H////CfoAAAAJ+wAAAAG0/v//B////wn9AAAACfsAAAABsf7//wf///8JAAEAAAZRAQAABS00MTQyAa7+//8H////CQMBAAAGVAEAAAdDYWxpYnJpAav+//8H////CQYBAAAGVwEAAAEwAaj+//8H////CQkBAAAGWgEAAAIxMQGl/v//B////wkMAQAABl0BAAAHUmVndWxhcge9AAAAAAEAAAAEAAAABDdHbG9iZVNvZnR3YXJlLkF0bGFzNDAuQXRsYXNDb21tb24uVHlwZS5GaWVsZE91dHB1dEZpZWxkDgAAAAleAQAADQMBvgAAAK8AAAAHv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H+//8c////AaD+//8b////CQAAAAkoAAAAAZ7+//8c////AZ3+//8b////CwAAAAZkAQAAATMBm/7//xz///8Bmv7//xv///8EAAAABmcBAAAHR2VuZXJhbAGY/v//HP///wGX/v//G////wIAAAAGagEAAAExAZX+//8c////AZT+//8b////AAAAAAZtAQAAAjE0AcAAAAAMAAAAB8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7//wf///8GbwEAAAhGb250Qm9sZAn7AAAAAY/+//8H////BnIBAAAKRm9udEl0YWxpYwn7AAAAAYz+//8H////BnUBAAANRm9udFVuZGVybGluZQZ2AQAABS00MTQyAYn+//8H////BngBAAAIRm9udE5hbWUGeQEAAAdDYWxpYnJpAYb+//8H////BnsBAAAJRm9udENvbG9yBnwBAAABMAGD/v//B////wZ+AQAACEZvbnRTaXplBn8BAAACMTEBgP7//wf///8GgQEAAAlGb250U3R5bGUGggEAAAdSZWd1bGFyB8IAAAAAAQAAAAQAAAAEN0dsb2JlU29mdHdhcmUuQXRsYXM0MC5BdGxhc0NvbW1vbi5UeXBlLkZpZWxkT3V0cHV0RmllbGQOAAAACYMBAAANAwf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xz///8Be/7//xv///8QAAAACekAAAABef7//xz///8BeP7//xv///8JAAAACSgAAAABdv7//xz///8Bdf7//xv///8LAAAABowBAAABNAFz/v//HP///wFy/v//G////wQAAAAGjwEAAAdHZW5lcmFsAXD+//8c////AW/+//8b////AgAAAAaSAQAAATEBbf7//xz///8BbP7//xv///8AAAAABpUBAAAEOS40Mw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+//8H////CfoAAAAJ+wAAAAFn/v//B////wn9AAAACfsAAAABZP7//wf///8JAAEAAAaeAQAABS00MTQyAWH+//8H////CQMBAAAGoQEAAAdDYWxpYnJpAV7+//8H////CQYBAAAGpAEAAAEwAVv+//8H////CQkBAAAGpwEAAAIxMQFY/v//B////wkMAQAABqoBAAAHUmVndWxhcgfHAAAAAAEAAAAEAAAABDdHbG9iZVNvZnR3YXJlLkF0bGFzNDAuQXRsYXNDb21tb24uVHlwZS5GaWVsZE91dHB1dEZpZWxkDgAAAAmrAQAADQMHy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T+//8c////AVP+//8b////EAAAAAnpAAAAAVH+//8c////AVD+//8b////CQAAAAkoAAAAAU7+//8c////AU3+//8b////CwAAAAa0AQAAATUBS/7//xz///8BSv7//xv///8EAAAABrcBAAAHR2VuZXJhbAFI/v//HP///wFH/v//G////wIAAAAGugEAAAExAUX+//8c////AUT+//8b////AAAAAAa9AQAABDYuNzEHy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v//B////wn6AAAACfsAAAABP/7//wf///8J/QAAAAn7AAAAATz+//8H////CQABAAAGxgEAAAUtNDE0MgE5/v//B////wkDAQAABskBAAAHQ2FsaWJyaQE2/v//B////wkGAQAABswBAAABMAEz/v//B////wkJAQAABs8BAAACMTEBMP7//wf///8JDAEAAAbSAQAAB1JlZ3VsYXIHzAAAAAABAAAABAAAAAQ3R2xvYmVTb2Z0d2FyZS5BdGxhczQwLkF0bGFzQ29tbW9uLlR5cGUuRmllbGRPdXRwdXRGaWVsZA4AAAAJ0wEAAA0DB84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s/v//HP///wEr/v//G////xAAAAAJ6QAAAAEp/v//HP///wEo/v//G////wkAAAAJKAAAAAEm/v//HP///wEl/v//G////wsAAAAG3AEAAAE2ASP+//8c////ASL+//8b////BAAAAAbfAQAAB0dlbmVyYWwBIP7//xz///8BH/7//xv///8CAAAABuIBAAABMQEd/v//HP///wEc/v//G////wAAAAAG5QEAAAIxOAf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H////CfoAAAAJ+wAAAAEX/v//B////wn9AAAACfsAAAABFP7//wf///8JAAEAAAbuAQAABS00MTQyARH+//8H////CQMBAAAG8QEAAAdDYWxpYnJpAQ7+//8H////CQYBAAAG9AEAAAMyNTUBC/7//wf///8JCQEAAAb3AQAAAjExAQj+//8H////CQwBAAAG+gEAAAdSZWd1bGFyB9EAAAAAAQAAAAAAAAAEN0dsb2JlU29mdHdhcmUuQXRsYXM0MC5BdGxhc0NvbW1vbi5UeXBlLkZpZWxkT3V0cHV0RmllbGQOAAAAAdIAAACvAAAAB9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HP///wEE/v//G////yQAAAAJiAAAAAEC/v//HP///wEB/v//G////wsAAAAGAAIAAAE3Af/9//8c////Af79//8b////BAAAAAYDAgAAB0dlbmVyYWwB/P3//xz///8B+/3//xv///8CAAAABgYCAAABMQH5/f//HP///wH4/f//G////wAAAAAGCQIAAAUxNy43MQH2/f//HP///wH1/f//G////wMAAAAGDAIAAGQ9QXRsYXNUYWJsZSgiVUFUIixEYXRhQXJlYUlkLCJULkxlZGdlclRhYmxlIiwiJUJsb2NrZWRJbkpvdXJuYWwiLCIiLCIiLCIiLCIiLCIiLCIiLCJBY2NvdW50TnVtIiwkRzMpAdQAAAAMAAAAB9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/3//wf///8GDgIAAAhGb250Qm9sZAn7AAAAAfD9//8H////BhECAAAKRm9udEl0YWxpYwn7AAAAAe39//8H////BhQCAAANRm9udFVuZGVybGluZQYVAgAABS00MTQyAer9//8H////BhcCAAAIRm9udE5hbWUGGAIAAAdDYWxpYnJpAef9//8H////BhoCAAAJRm9udENvbG9yBhsCAAABMAHk/f//B////wYdAgAACEZvbnRTaXplBh4CAAACMTEB4f3//wf///8GIAIAAAlGb250U3R5bGUGIQIAAAdSZWd1bGFyB9YAAAAAAQAAAAQAAAAEN0dsb2JlU29mdHdhcmUuQXRsYXM0MC5BdGxhc0NvbW1vbi5UeXBlLkZpZWxkT3V0cHV0RmllbGQOAAAACSICAAANAw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f3//xz///8B3P3//xv///8QAAAACekAAAAB2v3//xz///8B2f3//xv///8JAAAACSgAAAAB1/3//xz///8B1v3//xv///8LAAAABisCAAABOAHU/f//HP///wHT/f//G////wQAAAAGLgIAAAdHZW5lcmFsAdH9//8c////AdD9//8b////AgAAAAYxAgAAATEBzv3//xz///8Bzf3//xv///8AAAAABjQCAAAFMTcuNDMH2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B////wn6AAAACfsAAAAByP3//wf///8J/QAAAAn7AAAAAcX9//8H////CQABAAAGPQIAAAUtNDE0MgHC/f//B////wkDAQAABkACAAAHQ2FsaWJyaQG//f//B////wkGAQAABkMCAAADMjU1Abz9//8H////CQkBAAAGRgIAAAIxMQG5/f//B////wkMAQAABkkCAAAHUmVndWxhcgf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3//xz///8Btf3//xv///8kAAAACaMAAAABs/3//xz///8Bsv3//xv///8LAAAABk8CAAABOQGw/f//HP///wGv/f//G////wQAAAAGUgIAAAdHZW5lcmFsAa39//8c////Aaz9//8b////AgAAAAZVAgAAATEBqv3//xz///8Bqf3//xv///8AAAAABlgCAAAFMTguODYBp/3//xz///8Bpv3//xv///8DAAAABlsCAABkPUF0bGFzVGFibGUoIlVBVCIsRGF0YUFyZWFJZCwiVC5MZWRnZXJUYWJsZSIsIiVCbG9ja2VkSW5Kb3VybmFsIiwiIiwiIiwiIiwiIiwiIiwiIiwiQWNjb3VudE51bSIsJEkzKQ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9//8H////CQ4CAAAJ+wAAAAGh/f//B////wkRAgAACfsAAAABnv3//wf///8JFAIAAAZkAgAABS00MTQyAZv9//8H////CRcCAAAGZwIAAAdDYWxpYnJpAZj9//8H////CRoCAAAGagIAAAEwAZX9//8H////CR0CAAAGbQIAAAIxMQGS/f//B////wkgAgAABnA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P/f//1v////////8ABnICAAAGU3RyaW5nBnMCAAANQ2FzaCBkaXNjb3VudAl0AgAAAYv9///U////AgAAAAWK/f//OUdsb2JlU29mdHdhcmUuQXRsYXM0MC5BdGxhc0NvbW1vbi5OdW1iZXJTZXF1ZW5jZUNvbmRpdGlvbgEAAAAHdmFsdWVfXwAIDgAAAAEAAAAAAAZ3AgAADlRhYmxlLkNhc2hEaXNjCSUAAAAJKAAAAAr/////CXcCAAAKCSUAAAAKCgoJKAAAAAl9AgAACSgAAAABDgEAAOMAAAABgf3//9b/////////AAaAAgAABlN0cmluZwaBAgAAC0Rlc2NyaXB0aW9uCXQCAAABff3//9T///8CAAAAAXz9//+K/f//AQAAAAAACXcCAAAJMwAAAAkoAAAACv////8JdwIAAAoJMwAAAAoKCgkoAAAACYsCAAAJKAAAAAE2AQAA4wAAAAFz/f//1v////////8ABo4CAAAERW51bQaPAgAAC05ldC9DdXJyZW50CXQCAAABb/3//9T///8CAAAAAW79//+K/f//AQAAAAAACXcCAAAJQQAAAAkoAAAACv////8JdwIAAAoJQQAAAAoKCgkoAAAACZkCAAAJKAAAAAFeAQAA4wAAAAFl/f//1v////////8ABpwCAAAEUmVhbAadAgAADURpc2NvdW50IHBjdC4JngIAAAFh/f//1P///wIAAAABYP3//4r9//8BAAAAAAAGoQIAAA5UYWJsZS5DYXNoRGlzYwlPAAAACSgAAAAK/////wmhAgAACglPAAAACgoKCSgAAAAJpwIAAAkoAAAAAYMBAADjAAAAAVf9///W/////////wAGqgIAAAdJbnRlZ2VyBqsCAAAGTW9udGhzCXQCAAABU/3//9T///8CAAAAAVL9//+K/f//AQAAAAAACXcCAAAJXQAAAAkoAAAACv////8JdwIAAAoJXQAAAAoKCgkoAAAACbUCAAAJKAAAAAGrAQAA4wAAAAFJ/f//1v////////8ABrgCAAAHSW50ZWdlcga5AgAABERheXMJdAIAAAFF/f//1P///wIAAAABRP3//4r9//8BAAAAAAAJdwIAAAlrAAAACSgAAAAK/////wl3AgAACglrAAAACgoKCSgAAAAJwwIAAAkoAAAAAdMBAADjAAAAATv9///W/////////wAGxgIAAAZTdHJpbmcGxwIAABBBY2NvdW50IHJlY2VpdmVkCXQCAAABN/3//9T///8CAAAAATb9//+K/f//AQAAAAAACXcCAAAJeQAAAAkoAAAACv////8JdwIAAAoJeQAAAAoKCgkoAAAACdECAAAJKAAAAAEiAgAA4wAAAAEt/f//1v////////8ABtQCAAAGU3RyaW5nBtUCAAAPQWNjb3VudCBhbGxvd2VkCXQCAAABKf3//9T///8CAAAAASj9//+K/f//AQAAAAAACXcCAAAJlAAAAAkoAAAACv////8JdwIAAAoJlAAAAAoKCgkoAAAACd8CAAAJKAAAAAV0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AAAABuECAAAIQ2FzaERpc2MG4gIAAA1DYXNoIGRpc2NvdW50CSgAAAAJKAAAAAkoAAAABRz9//8wR2xvYmVTb2Z0d2FyZS5BdGxhczQwLkF0bGFzQ29tbW9uLkRhdGFTb3VyY2VUeXBlAQAAAAd2YWx1ZV9fAAgOAAAAAAAAAAnlAgAACeYCAAAEGf3//wtTeXN0ZW0uR3VpZAsAAAACX2ECX2ICX2MCX2QCX2UCX2YCX2cCX2gCX2kCX2oCX2sAAAAAAAAAAAAAAAgHBwICAgICAgICnsVZhA0+8k64XIUt0nLJJQkoAAAACSgAAAAJ6QIAAAl3AgAACgoKCgoBAAAABRX9//80R2xvYmVTb2Z0d2FyZS5BdGxhczQwLkF0bGFzQ29tbW9uLkRhdGFTb3VyY2VKb2luTW9kZQEAAAAHdmFsdWVfXwAIDgAAAAAAAAAFFP3//zVHbG9iZVNvZnR3YXJlLkF0bGFzNDAuQXRsYXNDb21tb24uRGF0YVNvdXJjZUZldGNoTW9kZQEAAAAHdmFsdWVfXwAIDgAAAAAAAAAACe0CAAABfQIAACQAAACjAAAACbEAAAADAAAACe8CAAABiwIAACQAAACjAAAACbEAAAADAAAACfECAAABmQIAACQAAACjAAAACbEAAAADAAAACfMCAAABngIAAHQCAAD/////BvQCAAAIQ2FzaERpc2MG9QIAAA1DYXNoIGRpc2NvdW50CSgAAAAJKAAAAAkoAAAAAQn9//8c/f//AAAAAAn4AgAACfkCAAABBv3//xn9//9FCvIRh1sJTYp3qjs7OLQwCSgAAAAJKAAAAAn8AgAACaECAAAKCgoKCgEAAAABAv3//xX9//8AAAAAAQH9//8U/f//AAAAAAAJAAMAAAGnAgAAJAAAAJQAAAAJwAAAAAMAAAAJAgMAAAG1AgAAJAAAAKMAAAAJsQAAAAMAAAAJBAMAAAHDAgAAJAAAAKMAAAAJsQAAAAMAAAAJBgMAAAHRAgAAJAAAAKMAAAAJsQAAAAMAAAAJCAMAAAHfAgAAJAAAAKMAAAAJsQAAAAMAAAAJCgMAAATl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kLAwAAEQAAAAkMAwAABOY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wMAAAAAAAAE6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DAAAAAAAABO0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Q4DAAAAAAAAB+8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z//wf///8GEAMAAAhIZWxwVGV4dAYRAwAAK0Nhc2ggZGlzY291bnQgY29kZSBmb3Igc3Vic2VxdWVudCBhcHByb3ZhbC4B7vz//wf///8GEwMAAAVMYWJlbAlzAgAAAev8//8H////BhYDAAAEVHlwZQlyAgAAB/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wf///8JEAMAAAYaAwAAHlNwZWNpZnkgdGVybXMgb2YgY2FzaCBkaXNjb3VudAHl/P//B////wkTAwAACYECAAAB4vz//wf///8JFgMAAAmAAgAAB/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z//wf///8JEAMAAAYjAwAAOkRpc2NvdW50IG1ldGhvZCAobmV0LCBjdXJyZW50IG1vbnRoLCBjdXJyZW50IHF1YXJ0ZXIgZXRjLikB3Pz//wf///8JEwMAAAmPAgAAAdn8//8H////CRYDAAAJjgIAAAH4AgAA5QIAAAgAAAAJKgMAABEAAAAJKwMAAAH5AgAA5gIAAAAAAAAJLAMAAAAAAAAE/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KgMAAAMAAAAJLgMAAAEAAwAA7QIAAAAAAAAJLwMAAAAAAAAHA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B////wYxAwAABUxhYmVsCZ0CAAABzfz//wf///8GNAMAAARUeXBlCZwCAAAHB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P//B////wkQAwAABjgDAAA1TnVtYmVyIG9mIG1vbnRocyBwYXN0IHRoZSBzcGVjaWZpZWQgbWV0aG9kIG9mIHBheW1lbnQBx/z//wf///8JEwMAAAmrAgAAAcT8//8H////CRYDAAAJqgI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8H////CRADAAAGQQMAADNOdW1iZXIgb2YgZGF5cyBvdmVyIHRoZSBzcGVjaWZpZWQgdGVybXMgb2YgZGlzY291bnQBvvz//wf///8JEwMAAAm5AgAAAbv8//8H////CRYDAAAJuAI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8//8H////CRADAAAGSgMAACpMZWRnZXIgYWNjb3VudCBmb3IgY3JlZGl0aW5nIGNhc2ggZGlzY291bnQBtfz//wf///8JEwMAAAnHAgAAAbL8//8H////CRYDAAAJxgIAAAc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/8//8H////CRADAAAGUwMAAClMZWRnZXIgYWNjb3VudCBmb3IgZGViaXRpbmcgY2FzaCBkaXNjb3VudAGs/P//B////wkTAwAACdUCAAABqfz//wf///8JFgMAAAnUAgAAAQsDAAAMAAAABww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b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lsDAAAbVGFibGUuQ2FzaERpc2MuQ2FzaERpc2NDb2RlCeMAAAABo/z//6b8//8GXgMAABpUYWJsZS5DYXNoRGlzYy5EZXNjcmlwdGlvbgkOAQAAAaD8//+m/P//BmEDAAAZVGFibGUuQ2FzaERpc2MuRGlzY01ldGhvZAk2AQAAAZ38//+m/P//BmQDAAAWVGFibGUuQ2FzaERpc2MuUGVyY2VudAllAwAAAZr8//+m/P//BmcDAAAaVGFibGUuQ2FzaERpc2MuTnVtT2ZNb250aHMJgwEAAAGX/P//pvz//wZqAwAAGFRhYmxlLkNhc2hEaXNjLk51bU9mRGF5cwmrAQAAAZT8//+m/P//Bm0DAAAeVGFibGUuQ2FzaERpc2MuQWNjb3VudFJlY2VpdmVkCdMBAAABkfz//6b8//8GcAMAABpUYWJsZS5DYXNoRGlzYy5BY2NvdW50UGFpZAkiAgAABA4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EqAwAADAAAAAcr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O/P//pvz//wZzAwAAG1RhYmxlLkNhc2hEaXNjLkNhc2hEaXNjQ29kZQnjAAAAAYv8//+m/P//BnYDAAAaVGFibGUuQ2FzaERpc2MuRGVzY3JpcHRpb24JDgEAAAGI/P//pvz//wZ5AwAAGVRhYmxlLkNhc2hEaXNjLkRpc2NNZXRob2QJNgEAAAGF/P//pvz//wZ8AwAAGlRhYmxlLkNhc2hEaXNjLk51bU9mTW9udGhzCYMBAAABgvz//6b8//8GfwMAABhUYWJsZS5DYXNoRGlzYy5OdW1PZkRheXMJqwEAAAF//P//pvz//waCAwAAHlRhYmxlLkNhc2hEaXNjLkFjY291bnRSZWNlaXZlZAnTAQAAAXz8//+m/P//BoUDAAAaVGFibGUuQ2FzaERpc2MuQWNjb3VudFBhaWQJIgIAAAF5/P//pvz//waIAwAAFlRhYmxlLkNhc2hEaXNjLlBlcmNlbnQJXgEAAAEsAwAADAAAAAcuAw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R2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aLAwAAMFRhYmxlLkNhc2hEaXNjLkFjY291bnRSZWNlaXZlZH5UYWJsZS5MZWRnZXJUYWJsZQmMAwAAAXP8//92/P//Bo4DAAAsVGFibGUuQ2FzaERpc2MuQWNjb3VudFBhaWR+VGFibGUuTGVkZ2VyVGFibGUJjwMAAAEvAwAADgMAAAFlAwAA4wAAAAFw/P//1v////////8ABpEDAAAEUmVhbAaSAwAADURpc2NvdW50IHBjdC4JdAIAAAFs/P//1P///wIAAAABa/z//4r9//8BAAAAAAAJdwIAAAaXAwAAB1BlcmNlbnQJKAAAAAr/////CXcCAAAKCZcDAAAKCgoJKAAAAAmcAwAACSgAAAABjAMAAHQCAAD/////Bp4DAAALTGVkZ2VyVGFibGUGnwMAABhMZWRnZXIgY2hhcnQgb2YgYWNjb3VudHMJKAAAAAkoAAAACSgAAAABX/z//xz9//8AAAAACaIDAAAJowMAAAFc/P//Gf3//8xx5LU10eBHsqWXj1K0YNEJKAAAAAkoAAAACaYDAAAJiwMAAAaoAwAACENhc2hEaXNjBqkDAAAOVGFibGUuQ2FzaERpc2MGqgMAAB5UYWJsZS5DYXNoRGlzYy5BY2NvdW50UmVjZWl2ZWQGqwMAAA9BY2NvdW50UmVjZWl2ZWQGrAMAAApBY2NvdW50TnVtAQAAAAFT/P//Ff3//wAAAAABUvz//xT9//8AAAAAAAmvAwAAAY8DAAB0AgAA/////wawAwAAC0xlZGdlclRhYmxlBrEDAAAYTGVkZ2VyIGNoYXJ0IG9mIGFjY291bnRzCSgAAAAJKAAAAAkoAAAAAU38//8c/f//AAAAAAm0AwAACbUDAAABSvz//xn9//+c+Wm4RwIQRbv+/05qL6MXCSgAAAAJKAAAAAm4AwAACY4DAAAGugMAAAhDYXNoRGlzYwa7AwAADlRhYmxlLkNhc2hEaXNjBrwDAAAaVGFibGUuQ2FzaERpc2MuQWNjb3VudFBhaWQGvQMAAAtBY2NvdW50UGFpZAa+AwAACkFjY291bnROdW0CAAAAAUH8//8V/f//AAAAAAFA/P//FP3//wAAAAAACcEDAAABnAMAACQAAAAJAAAACbEAAAADAAAACcMDAAABogMAAOUCAAACAAAACSwDAAADAAAACcUDAAABowMAAOYCAAAAAAAACcYDAAAAAAAAAaYDAADpAgAAAAAAAAksAwAAAAAAAAGvAwAA7QIAAAAAAAAJyAMAAAAAAAABtAMAAOUCAAACAAAACSwDAAADAAAACcoDAAABtQMAAOYCAAAAAAAACcYDAAAAAAAAAbgDAADpAgAAAAAAAAksAwAAAAAAAAHBAwAA7QIAAAAAAAAJyAMAAAAAAAAHw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B////wkQAwAABtADAAAmQ2FzaCBkaXNjb3VudCBpbiBwZXJjZW50YWdlIG9mIGFtb3VudC4BL/z//wf///8JEwMAAAmSAwAAASz8//8H////CRYDAAAJkQMAAAfFAw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GAwAADAAAAAHIAwAADgMAAAfKAw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=</Report>
</Atlas>
</file>

<file path=customXml/item24.xml><?xml version="1.0" encoding="utf-8"?>
<Atlas>
  <Query type="ReportList" id="7449d1e8-3b66-41e5-b0e8-59989f5f600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TQXNzZXRMZWRnZXJBY2NvdW50cwYeAAAAG0ZpeGVkIGFzc2V0IGxlZGdlciBhY2NvdW50cwkIAAAACQgAAAAJCAAAAAXg////MEdsb2JlU29mdHdhcmUuQXRsYXM0MC5BdGxhc0NvbW1vbi5EYXRhU291cmNlVHlwZQEAAAAHdmFsdWVfXwAIAgAAAAAAAAAJIQAAAAkiAAAABN3///8LU3lzdGVtLkd1aWQLAAAAAl9hAl9iAl9jAl9kAl9lAl9mAl9nAl9oAl9pAl9qAl9rAAAAAAAAAAAAAAAIBwcCAgICAgICAh2Bfq1jTx5Fv9qBSua5OZoJCAAAAAkIAAAACSUAAAAGJgAAABlUYWJsZS5Bc3NldExlZGdlckFjY291bnR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0CERUAAAAEAAAABjUAAAAOQXRsYXNSZXBvcnRfMT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r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I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f///8+R2xvYmVTb2Z0d2FyZS5BdGxhczQwLkF0bGFzQ29tbW9uLlR5cGUuQXRsYXNRdWVyeUF0dHJpYnV0ZU5hbWUBAAAAB3ZhbHVlX18ACAIAAAACAAAABjoAAAAkNzQ0OWQxZTgtM2I2Ni00MWU1LWIwZTgtNTk5ODlmNWY2MDAxAcX////I////AcT////H////AAAAAAY9AAAABHRydWUBwv///8j///8Bwf///8f///8LAAAABkAAAAAbRml4ZWQgYXNzZXQgbGVkZ2VyIGFjY291bnRzAb/////I////Ab7////H////GwAAAAZDAAAABFRydWUBvP///8j///8Bu////8f///8GAAAABkYAAAAFRmFsc2UBuf///8j///8BuP///8f///8cAAAACUMAAAABtv///8j///8Btf///8f///8dAAAACUYAAAABs////8j///8Bsv///8f///8qAAAACUMAAAABsP///8j///8Br////8f///8BAAAABlIAAAADMzcxAa3////I////Aaz////H////JwAAAAZVAAAACz1EYXRhQXJlYUlkAar////I////Aan////H////GQAAAAZYAAAAD0NlbGxzVmVydGljYWxseQGn////yP///wGm////x////wkAAAAKAaX////I////AaT////H////KAAAAAZdAAAAATYBov///8j///8Bof///8f///8rAAAABmA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/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gAAABNBc3NldExlZGdlckFjY291bnRz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jAAAABwAAAAlk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M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c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AAAAAlpAAAACWoAAAAGawAAAA5Qb3N0aW5nUHJvZmlsZQZsAAAAD1Bvc3RpbmcgcHJvZmlsZQZtAAAABlN0cmluZwkIAAAABm8AAAAkNjY5OTdkZmYtYWI1NC00ZGMxLWI3YjgtMDZkOTViMzMwOWUyBZD///8tR2xvYmVTb2Z0d2FyZS5BdGxhczQwLkF0bGFzQ29tbW9uLkFnZ3JlZ2F0aW9uAQAAAAd2YWx1ZV9fAAgCAAAA/////wAAAAAFj////yxHbG9iZVNvZnR3YXJlLkF0bGFzNDAuQXRsYXNDb21tb24uQ29sdW1uVHlwZQEAAAAHdmFsdWVfXwAIAgAAAAAAAAAFjv///ytHbG9iZVNvZnR3YXJlLkF0bGFzNDAuQXRsYXNDb21tb24uU29ydE9yZGVyAQAAAAd2YWx1ZV9fAAgCAAAAAgAAAAAAAAAABY3///9AR2xvYmVTb2Z0d2FyZS5BdGxhczQwLkF0bGFzQ29tbW9uLlR5cGUuQ29sdW1uK0Nyb3NzVGFiQ29sdW1uVHlwZQEAAAAHdmFsdWVfXwAIAgAAAAAAAAAKAQAAAAAAAAAAAAAAAAAGdAAAACQ4NzUyOTJjYi0wODE5LTQ1NzUtYWJjMS0yMDRiNzAwMWZmOTEGdQAAAChUYWJsZS5Bc3NldExlZGdlckFjY291bnRzLlBvc3RpbmdQcm9maWxlCgoKCgEwAAAALwAAAAl2AAAACXcAAAAJeAAAAAZ5AAAAC0FjY291bnRDb2RlBnoAAAAJR3JvdXBpbmdzBnsAAAAERW51bQkIAAAABn0AAAAkZDJhZmJkMDAtNjdiNS00MDNmLTg2Y2EtNGM5M2I5MjAxMjVjAYL///+Q/////////wEAAAABgf///4////8AAAAAAYD///+O////AgAAAAAAAAAAAX////+N////AAAAAAoBAAAAAAAAAAABAAAAAAaCAAAAJDU3NmRjYzFkLWNmMWMtNGNkZS1hNGQ1LTFjN2Q4N2FjZjM1ZAaDAAAAJVRhYmxlLkFzc2V0TGVkZ2VyQWNjb3VudHMuQWNjb3VudENvZGUKCgoKATEAAAAvAAAACYQAAAAJhQAAAAmGAAAABocAAAAPQWNjb3VudFJlbGF0aW9uBogAAAAOQWNjb3VudCBudW1iZXIGiQAAAAZTdHJpbmcJCAAAAAaLAAAAJGVlNjc0YTMzLTgyMWYtNDc2MC05ZTllLTI3NjljODg2MjAyNAF0////kP////////8CAAAAAXP///+P////AAAAAAFy////jv///wIAAAAAAAAAAAFx////jf///wAAAAAKAQAAAAAAAAAAAgAAAAAGkAAAACQzMDM5NzhmNS0wMjI2LTRhNjQtODBkZS1lNTFhOTczNzI5M2EGkQAAAClUYWJsZS5Bc3NldExlZGdlckFjY291bnRzLkFjY291bnRSZWxhdGlvbgoKCgoBMgAAAC8AAAAJkgAAAAmTAAAACZQAAAAGlQAAAA1MZWRnZXJBY2NvdW50BpYAAAAOTGVkZ2VyIGFjY291bnQGlwAAAAZTdHJpbmcJCAAAAAaZAAAAJDJhNTczMDVmLTM3ZGMtNGJhMC1iMzZlLWQxZmRlM2QwMjAzNwFm////kP////////8DAAAAAWX///+P////AAAAAAFk////jv///wIAAAAAAAAAAAFj////jf///wAAAAAKAQAAAAAAAAAAAwAAAAAGngAAACQxYjdkOGUyMi0wNmU0LTQ1OWEtYTBiMS1mZjNlMjIwYjU5NGIGnwAAACdUYWJsZS5Bc3NldExlZGdlckFjY291bnRzLkxlZGdlckFjY291bnQKCgoKATMAAAAvAAAACaAAAAAJoQAAAAmiAAAABqMAAAATTGVkZ2VyT2Zmc2V0QWNjb3VudAakAAAADk9mZnNldCBhY2NvdW50BqUAAAAGU3RyaW5nCQgAAAAGpwAAACRhNGIyZjE4OC04ZTg2LTQxODYtYmI2NS1kMDEwNmYxOGZmNDgBWP///5D/////////BAAAAAFX////j////wAAAAABVv///47///8CAAAAAAAAAAABVf///43///8AAAAACgEAAAAAAAAAAAQAAAAABqwAAAAkZDkxZTczOTktYzExZS00NWNmLTk4YWItMmY5MDFhZWIwMmRmBq0AAAAtVGFibGUuQXNzZXRMZWRnZXJBY2NvdW50cy5MZWRnZXJPZmZzZXRBY2NvdW50CgoKCgE0AAAALwAAAAmuAAAACa8AAAAJsAAAAAaxAAAACVRyYW5zVHlwZQayAAAAEFRyYW5zYWN0aW9uIHR5cGUGswAAAARFbnVtCQgAAAAGtQAAACQzODk1NDk4MC0xMTMzLTQ1MDctODU1YS0zZjhjNmIzNjk5ZjQBSv///5D/////////BQAAAAFJ////j////wAAAAABSP///47///8CAAAAAAAAAAABR////43///8AAAAACgEAAAAAAAAAAAUAAAAABroAAAAkZDA4Mzk4NzktZjQ2MS00MTNiLWJlMDQtYjM1MjNkNzRmNTYxBrsAAAAjVGFibGUuQXNzZXRMZWRnZXJBY2NvdW50cy5UcmFuc1R5cGUKCgoKAWMAAAASAAAAB2QA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T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0AAAAoVGFibGUuQXNzZXRMZWRnZXJBY2NvdW50cy5Qb3N0aW5nUHJvZmlsZQm+AAAAAUH///9E////BsAAAAAlVGFibGUuQXNzZXRMZWRnZXJBY2NvdW50cy5BY2NvdW50Q29kZQnBAAAAAT7///9E////BsMAAAApVGFibGUuQXNzZXRMZWRnZXJBY2NvdW50cy5BY2NvdW50UmVsYXRpb24JxAAAAAE7////RP///wbGAAAAJ1RhYmxlLkFzc2V0TGVkZ2VyQWNjb3VudHMuTGVkZ2VyQWNjb3VudAnHAAAAATj///9E////BskAAAAtVGFibGUuQXNzZXRMZWRnZXJBY2NvdW50cy5MZWRnZXJPZmZzZXRBY2NvdW50CcoAAAABNf///0T///8GzAAAACNUYWJsZS5Bc3NldExlZGdlckFjY291bnRzLlRyYW5zVHlwZQ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y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dEAAAAHAAAACdIAAAABdgAAAGgAAAAJ0wAAAAEAAAABAAAAAXcAAABpAAAAcQ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RAAAABwAAAAnXAAAAAYQAAABoAAAACdgAAAABAAAAAQAAAAGFAAAAaQAAAHE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0QAAAAcAAAAJ3AAAAAGSAAAAaAAAAAndAAAAAQAAAAEAAAABkwAAAGkAAABx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dEAAAAHAAAACeEAAAABoAAAAGgAAAAJ4gAAAAEAAAABAAAAAaEAAABpAAAAcQ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RAAAABwAAAAnmAAAAAa4AAABoAAAACecAAAABAAAAAQAAAAGvAAAAaQAAAHE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0Q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PUG9zdGluZyBwcm9maWxlCe8AAAABEP///47///8CAAAABQ////85R2xvYmVTb2Z0d2FyZS5BdGxhczQwLkF0bGFzQ29tbW9uLk51bWJlclNlcXVlbmNlQ29uZGl0aW9uAQAAAAd2YWx1ZV9fAAgCAAAAAQAAAAAABvIAAAAZVGFibGUuQXNzZXRMZWRnZXJBY2NvdW50cwlrAAAACQgAAAAK/////wnyAAAACglrAAAACgoKCQgAAAAJ+AAAAAkIAAAAAcEAAAC+AAAAAQb///+Q/////////wAG+wAAAARFbnVtBvwAAAAJR3JvdXBpbmdzCe8AAAABAv///47///8CAAAAAQH///8P////AQAAAAAACfIAAAAJeQAAAAkIAAAACv////8J8gAAAAoJeQAAAAoKCgkIAAAACQYBAAAJCAAAAAHEAAAAvgAAAAH4/v//kP////////8ABgkBAAAGU3RyaW5nBgoBAAAOQWNjb3VudCBudW1iZXIJ7wAAAAH0/v//jv///wIAAAAB8/7//w////8BAAAAAAAJ8gAAAAmHAAAACQgAAAAK/////wnyAAAACgmHAAAACgoKCQgAAAAJFAEAAAkIAAAAAccAAAC+AAAAAer+//+Q/////////wAGFwEAAAZTdHJpbmcGGAEAAA5MZWRnZXIgYWNjb3VudAnvAAAAAeb+//+O////AgAAAAHl/v//D////wEAAAAAAAnyAAAACZUAAAAJCAAAAAr/////CfIAAAAKCZUAAAAKCgoJCAAAAAkiAQAACQgAAAABygAAAL4AAAAB3P7//5D/////////AAYlAQAABlN0cmluZwYmAQAADk9mZnNldCBhY2NvdW50Ce8AAAAB2P7//47///8CAAAAAdf+//8P////AQAAAAAACfIAAAAJowAAAAkIAAAACv////8J8gAAAAoJowAAAAoKCgkIAAAACTABAAAJCAAAAAHNAAAAvgAAAAHO/v//kP////////8ABjMBAAAERW51bQY0AQAAEFRyYW5zYWN0aW9uIHR5cGUJ7wAAAAHK/v//jv///wIAAAAByf7//w////8BAAAAAAAJ8gAAAAmxAAAACQgAAAAK/////wnyAAAACgmxAAAACgoKCQgAAAAJPgEAAAkIAAAAB84AAAAAAQAAAAQAAAAEN0dsb2JlU29mdHdhcmUuQXRsYXM0MC5BdGxhc0NvbW1vbi5UeXBlLkZpZWxkT3V0cHV0RmllbGQCAAAACb4AAAANAwT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+/v//Mkdsb2JlU29mdHdhcmUuQXRsYXM0MC5BdGxhc0NvbW1vbi5Db2x1bW5BdHRyaWJ1dGVzAQAAAAd2YWx1ZV9fAAgCAAAABgAAAAZDAQAABVRvdGFsAbz+//+//v//Abv+//++/v//EAAAAAZGAQAABE5vbmUBuf7//7/+//8BuP7//77+//8JAAAACQgAAAABtv7//7/+//8Btf7//77+//8LAAAABkwBAAABMAGz/v//v/7//wGy/v//vv7//wQAAAAGTwEAAAdHZW5lcmFsAbD+//+//v//Aa/+//++/v//AgAAAAZSAQAAATEBrf7//7/+//8BrP7//77+//8AAAAABlUBAAAFNDQuODYB0QAAABIAAAA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cBAAAIRm9udEJvbGQGWAEAAAVGYWxzZQGn/v//qv7//wZaAQAACkZvbnRJdGFsaWMJWAEAAAGk/v//qv7//wZdAQAADUZvbnRVbmRlcmxpbmUGXgEAAAUtNDE0MgGh/v//qv7//wZgAQAACEZvbnROYW1lBmEBAAAHQ2FsaWJyaQGe/v//qv7//wZjAQAACUZvbnRDb2xvcgZkAQAAATABm/7//6r+//8GZgEAAAhGb250U2l6ZQZnAQAAAjExAZj+//+q/v//BmkBAAAJRm9udFN0eWxlBmoBAAAHUmVndWxhcgfTAAAAAAEAAAAEAAAABDdHbG9iZVNvZnR3YXJlLkF0bGFzNDAuQXRsYXNDb21tb24uVHlwZS5GaWVsZE91dHB1dEZpZWxkAgAAAAnBAA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+//+//v//AZP+//++/v//EAAAAAlGAQAAAZH+//+//v//AZD+//++/v//CQAAAAkIAAAAAY7+//+//v//AY3+//++/v//CwAAAAZ0AQAAATEBi/7//7/+//8Biv7//77+//8EAAAABncBAAAHR2VuZXJhbAGI/v//v/7//wGH/v//vv7//wIAAAAGegEAAAExAYX+//+//v//AYT+//++/v//AAAAAAZ9AQAABTEzLjU3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6r+//8JVwEAAAlYAQAAAX/+//+q/v//CVoBAAAJWAEAAAF8/v//qv7//wldAQAABoYBAAAFLTQxNDIBef7//6r+//8JYAEAAAaJAQAAB0NhbGlicmkBdv7//6r+//8JYwEAAAaMAQAAATABc/7//6r+//8JZgEAAAaPAQAAAjExAXD+//+q/v//CWkBAAAGkgEAAAdSZWd1bGFyB9gAAAAAAQAAAAQAAAAEN0dsb2JlU29mdHdhcmUuQXRsYXM0MC5BdGxhc0NvbW1vbi5UeXBlLkZpZWxkT3V0cHV0RmllbGQCAAAACcQA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7/+//8Ba/7//77+//8QAAAACUYBAAABaf7//7/+//8BaP7//77+//8JAAAACQgAAAABZv7//7/+//8BZf7//77+//8LAAAABpwBAAABMgFj/v//v/7//wFi/v//vv7//wQAAAAGnwEAAAdHZW5lcmFsAWD+//+//v//AV/+//++/v//AgAAAAaiAQAAATEBXf7//7/+//8BXP7//77+//8AAAAABqUBAAAFMTcuMjk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qv7//wlXAQAACVgBAAABV/7//6r+//8JWgEAAAlYAQAAAVT+//+q/v//CV0BAAAGrgEAAAUtNDE0MgFR/v//qv7//wlgAQAABrEBAAAHQ2FsaWJyaQFO/v//qv7//wljAQAABrQBAAABMAFL/v//qv7//wlmAQAABrcBAAACMTEBSP7//6r+//8JaQEAAAa6AQAAB1JlZ3VsYXIH3QAAAAABAAAABAAAAAQ3R2xvYmVTb2Z0d2FyZS5BdGxhczQwLkF0bGFzQ29tbW9uLlR5cGUuRmllbGRPdXRwdXRGaWVsZAIAAAAJxwAAAA0DB98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v/7//wFD/v//vv7//xAAAAAJRgEAAAFB/v//v/7//wFA/v//vv7//wkAAAAJCAAAAAE+/v//v/7//wE9/v//vv7//wsAAAAGxAEAAAEzATv+//+//v//ATr+//++/v//BAAAAAbHAQAAB0dlbmVyYWwBOP7//7/+//8BN/7//77+//8CAAAABsoBAAABMQE1/v//v/7//wE0/v//vv7//wAAAAAGzQEAAAIxNg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+q/v//CVcBAAAJWAEAAAEv/v//qv7//wlaAQAACVgBAAABLP7//6r+//8JXQEAAAbWAQAABS00MTQyASn+//+q/v//CWABAAAG2QEAAAdDYWxpYnJpASb+//+q/v//CWMBAAAG3AEAAAEwASP+//+q/v//CWYBAAAG3wEAAAIxMQEg/v//qv7//wlpAQAABuIBAAAHUmVndWxhcgfiAAAAAAEAAAAEAAAABDdHbG9iZVNvZnR3YXJlLkF0bGFzNDAuQXRsYXNDb21tb24uVHlwZS5GaWVsZE91dHB1dEZpZWxkAgAAAAnKAAAADQMH5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+//+//v//ARv+//++/v//EAAAAAlGAQAAARn+//+//v//ARj+//++/v//CQAAAAkIAAAAARb+//+//v//ARX+//++/v//CwAAAAbsAQAAATQBE/7//7/+//8BEv7//77+//8EAAAABu8BAAAHR2VuZXJhbAEQ/v//v/7//wEP/v//vv7//wIAAAAG8gEAAAExAQ3+//+//v//AQz+//++/v//AAAAAAb1AQAABTIwLjE0B+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6r+//8JVwEAAAlYAQAAAQf+//+q/v//CVoBAAAJWAEAAAEE/v//qv7//wldAQAABv4BAAAFLTQxNDIBAf7//6r+//8JYAEAAAYBAgAAB0NhbGlicmkB/v3//6r+//8JYwEAAAYEAgAAAzI1NQH7/f//qv7//wlmAQAABgcCAAACMTEB+P3//6r+//8JaQEAAAYKAgAAB1JlZ3VsYXIH5wAAAAABAAAABAAAAAQ3R2xvYmVTb2Z0d2FyZS5BdGxhczQwLkF0bGFzQ29tbW9uLlR5cGUuRmllbGRPdXRwdXRGaWVsZAIAAAAJzQAAAA0DB+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xAAAAAJRgEAAAHx/f//v/7//wHw/f//vv7//wkAAAAJCAAAAAHu/f//v/7//wHt/f//vv7//wsAAAAGFAIAAAE1Aev9//+//v//Aer9//++/v//BAAAAAYXAgAAB0dlbmVyYWwB6P3//7/+//8B5/3//77+//8CAAAABhoCAAABMQHl/f//v/7//wHk/f//vv7//wAAAAAGHQIAAAUxNy4yOQ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L9//+q/v//CVcBAAAJWAEAAAHf/f//qv7//wlaAQAACVgBAAAB3P3//6r+//8JXQEAAAYmAgAABS00MTQyAdn9//+q/v//CWABAAAGKQIAAAdDYWxpYnJpAdb9//+q/v//CWMBAAAGLAIAAAEwAdP9//+q/v//CWYBAAAGLwIAAAIxMQHQ/f//qv7//wlpAQAABjICAAAHUmVndWxhcgHvAAAADgAAAHUEAAAGMwIAABNBc3NldExlZGdlckFjY291bnRzBjQCAAAbRml4ZWQgYXNzZXQgbGVkZ2VyIGFjY291bnRzCQgAAAAJCAAAAAkIAAAAAcr9///g////AAAAAAk3AgAACTgCAAABx/3//93///9ryC72DP/TQLXDfk/ww+RP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0AAAAJ0QAAAAMAAAAJSwIAAAE3AgAAIQAAAAYAAAAJTAIAAAc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CBQb3N0aW5nIHByb2ZpbGUgYmVpbmcgcHJvY2Vzc2VkLgGt/f//qv7//wZUAgAABUxhYmVsCe4AAAABqv3//6r+//8GVwIAAARUeXBlCe0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qv7//wlRAgAABlsCAAAuR3JvdXBpbmcgdXNlZCBmb3IgZml4ZWQgYXNzZXQgcG9zdGluZyBwcm9maWxlLgGk/f//qv7//wlUAgAACfwAAAABof3//6r+//8JVwIAAAn7AAAAB0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6r+//8JUQIAAAZkAgAAH051bWJlciBpZGVudGlmeWluZyB0aGUgYWNjb3VudC4Bm/3//6r+//8JVAIAAAkKAQAAAZj9//+q/v//CVcCAAAJCQE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9//+q/v//CVECAAAGbQIAACVBY2NvdW50IG51bWJlciBmb3IgcG9zdGluZyBpbiBsZWRnZXIuAZL9//+q/v//CVQCAAAJGAEAAAGP/f//qv7//wlXAgAACRcBAAAHS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qv7//wlRAgAABnYCAAAjT2Zmc2V0IGFjY291bnQgZm9yIHRoZSB0cmFuc2FjdGlvbi4Bif3//6r+//8JVAIAAAkmAQAAAYb9//+q/v//CVcCAAAJJQEAAAd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q/v//CVECAAAGfwIAABRUeXBlIG9mIHRyYW5zYWN0aW9uLgGA/f//qv7//wlUAgAACTQBAAABff3//6r+//8JVwIAAAkzAQAAAUwCAAASAAAAB00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oVGFibGUuQXNzZXRMZWRnZXJBY2NvdW50cy5Qb3N0aW5nUHJvZmlsZQm+AAAAAXf9//9E////BooCAAAlVGFibGUuQXNzZXRMZWRnZXJBY2NvdW50cy5BY2NvdW50Q29kZQnBAAAAAXT9//9E////Bo0CAAApVGFibGUuQXNzZXRMZWRnZXJBY2NvdW50cy5BY2NvdW50UmVsYXRpb24JxAAAAAFx/f//RP///waQAgAAJ1RhYmxlLkFzc2V0TGVkZ2VyQWNjb3VudHMuTGVkZ2VyQWNjb3VudAnHAAAAAW79//9E////BpMCAAAtVGFibGUuQXNzZXRMZWRnZXJBY2NvdW50cy5MZWRnZXJPZmZzZXRBY2NvdW50CcoAAAABa/3//0T///8GlgIAACNUYWJsZS5Bc3NldExlZGdlckFjY291bnRzLlRyYW5zVHlwZQnNAAAAAU8CAABnAAAACw==
    <Output>
      <OutputObject name="AtlasReport_11"/>
    </Output>
  </Query>
</Atlas>
</file>

<file path=customXml/item25.xml><?xml version="1.0" encoding="utf-8"?>
<Atlas>
  <Report name="AtlasReport_1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wAAAAkDAAAACQQAAAAGBQAAAA5BdGxhc1JlcG9ydF8xMQ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gAAAAY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0CDBo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gAAAAgCAAAABhsAAAAWQXRsYXNSZXBvcnRfMTFfVGFibGVfMQkc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aAAAACAgJH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4AAAAJHwAAAAkgAAAABiEAAAAOUG9zdGluZ1Byb2ZpbGUGIgAAAA9Qb3N0aW5nIHByb2ZpbGUGIwAAAAZTdHJpbmcGJAAAAAAGJQAAACQ2Njk5N2RmZi1hYjU0LTRkYzEtYjdiOC0wNmQ5NWIzMzA5Z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g3NTI5MmNiLTA4MTktNDU3NS1hYmMxLTIwNGI3MDAxZmY5MQYrAAAAKFRhYmxlLkFzc2V0TGVkZ2VyQWNjb3VudHMuUG9zdGluZ1Byb2ZpbGUKCgoKARUAAAAUAAAACSwAAAAJLQAAAAkuAAAABi8AAAALQWNjb3VudENvZGUGMAAAAAlHcm91cGluZ3MGMQAAAARFbnVtCSQAAAAGMwAAACRkMmFmYmQwMC02N2I1LTQwM2YtODZjYS00YzkzYjkyMDEyNWMBzP///9r/////////AQAAAAHL////2f///wAAAAAByv///9j///8CAAAAAAAAAAAByf///9f///8AAAAACgEAAAAAAAAAAAEAAAAABjgAAAAkNTc2ZGNjMWQtY2YxYy00Y2RlLWE0ZDUtMWM3ZDg3YWNmMzVkBjkAAAAlVGFibGUuQXNzZXRMZWRnZXJBY2NvdW50cy5BY2NvdW50Q29kZQoKCgoBFgAAABQAAAAJOgAAAAk7AAAACTwAAAAGPQAAAA9BY2NvdW50UmVsYXRpb24GPgAAAA5BY2NvdW50IG51bWJlcgY/AAAABlN0cmluZwkkAAAABkEAAAAkZWU2NzRhMzMtODIxZi00NzYwLTllOWUtMjc2OWM4ODYyMDI0Ab7////a/////////wIAAAABvf///9n///8AAAAAAbz////Y////AgAAAAAAAAAAAbv////X////AAAAAAoBAAAAAAAAAAACAAAAAAZGAAAAJDMwMzk3OGY1LTAyMjYtNGE2NC04MGRlLWU1MWE5NzM3MjkzYQZHAAAAKVRhYmxlLkFzc2V0TGVkZ2VyQWNjb3VudHMuQWNjb3VudFJlbGF0aW9uCgoKCgEXAAAAFAAAAAlIAAAACUkAAAAJSgAAAAZLAAAADUxlZGdlckFjY291bnQGTAAAAA5MZWRnZXIgYWNjb3VudAZNAAAABlN0cmluZwkkAAAABk8AAAAkMmE1NzMwNWYtMzdkYy00YmEwLWIzNmUtZDFmZGUzZDAyMDM3AbD////a/////////wMAAAABr////9n///8AAAAAAa7////Y////AgAAAAAAAAAAAa3////X////AAAAAAoBAAAAAAAAAAADAAAAAAZUAAAAJDFiN2Q4ZTIyLTA2ZTQtNDU5YS1hMGIxLWZmM2UyMjBiNTk0YgZVAAAAJ1RhYmxlLkFzc2V0TGVkZ2VyQWNjb3VudHMuTGVkZ2VyQWNjb3VudAoKCgoBGAAAABQAAAAJVgAAAAlXAAAACVgAAAAGWQAAABNMZWRnZXJPZmZzZXRBY2NvdW50BloAAAAOT2Zmc2V0IGFjY291bnQGWwAAAAZTdHJpbmcJJAAAAAZdAAAAJGE0YjJmMTg4LThlODYtNDE4Ni1iYjY1LWQwMTA2ZjE4ZmY0OAGi////2v////////8EAAAAAaH////Z////AAAAAAGg////2P///wIAAAAAAAAAAAGf////1////wAAAAAKAQAAAAAAAAAABAAAAAAGYgAAACRkOTFlNzM5OS1jMTFlLTQ1Y2YtOThhYi0yZjkwMWFlYjAyZGYGYwAAAC1UYWJsZS5Bc3NldExlZGdlckFjY291bnRzLkxlZGdlck9mZnNldEFjY291bnQKCgoKARkAAAAUAAAACWQAAAAJZQAAAAlmAAAABmcAAAAJVHJhbnNUeXBlBmgAAAAQVHJhbnNhY3Rpb24gdHlwZQZpAAAABEVudW0JJAAAAAZrAAAAJDM4OTU0OTgwLTExMzMtNDUwNy04NTVhLTNmOGM2YjM2OTlmNAGU////2v////////8FAAAAAZP////Z////AAAAAAGS////2P///wIAAAAAAAAAAAGR////1////wAAAAAKAQAAAAAAAAAABQAAAAAGcAAAACRkMDgzOTg3OS1mNDYxLTQxM2ItYmUwNC1iMzUyM2Q3NGY1NjEGcQAAACNUYWJsZS5Bc3NldExlZGdlckFjY291bnRzLlRyYW5zVHlwZQoKCgoFHAAAADhHbG9iZVNvZnR3YXJlLkF0bGFzNDAuQXRsYXNDb21tb25DbGllbnQuUmVwb3J0LlJlZmVyZW5jZQEAAAAKX3JlZmVyZW5jZQcIGgAAAAlyAAAABx0AAAAAAQAAAAQAAAAEPEdsb2JlU29mdHdhcmUuQXRsYXM0MC5BdGxhc0NvbW1vbkNsaWVudC5EYXRhU291cmNlRmllbGRWYWx1ZRoAAAAJcwAAAA0DBB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XQAAAABAAAAAQAAAAQ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XIAAAAJdQAAAAcAAAAJdgAAAAQ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dwAAAAcAAAAJeAAAAAEsAAAAHgAAAAl5AAAAAQAAAAEAAAABLQAAAB8AAABxAAAACXUAAAAHAAAACXsAAAABLgAAACAAAABpAAAACXcAAAAHAAAACX0AAAABOgAAAB4AAAAJfgAAAAEAAAABAAAAATsAAAAfAAAAcQAAAAl1AAAABwAAAAmAAAAAATwAAAAgAAAAaQAAAAl3AAAABwAAAAmCAAAAAUgAAAAeAAAACYMAAAABAAAAAQAAAAFJAAAAHwAAAHEAAAAJdQAAAAcAAAAJhQAAAAFKAAAAIAAAAGkAAAAJdwAAAAcAAAAJhwAAAAFWAAAAHgAAAAmIAAAAAQAAAAEAAAABVwAAAB8AAABxAAAACXUAAAAHAAAACYoAAAABWAAAACAAAABpAAAACXcAAAAHAAAACYwAAAABZAAAAB4AAAAJjQAAAAEAAAABAAAAAWUAAAAfAAAAcQAAAAl1AAAABwAAAAmPAAAAAWYAAAAgAAAAaQAAAAl3AAAABwAAAAmRAAAAD3IAAAABAAAACAEAAAAFcwAAADxHbG9iZVNvZnR3YXJlLkF0bGFzNDAuQXRsYXNDb21tb25DbGllbnQuRGF0YVNvdXJjZUZpZWxkVmFsdWUEAAAAEl9pc0RyaWxsRG93bkZpbHRlcgZfZHNLZXkKX2ZpZWxkbmFtZQtfZmllbGRWYWx1ZQABAQEBGgAAAAAGkgAAABlUYWJsZS5Bc3NldExlZGdlckFjY291bnRzBpMAAAAKRGF0YUFyZWFJZAkGAAAAB3QAAAAAAQAAAAQAAAAEN0dsb2JlU29mdHdhcmUuQXRsYXM0MC5BdGxhc0NvbW1vbi5UeXBlLkZpZWxkT3V0cHV0RmllbGQOAAAACZUAAAANAwR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p////Mkdsb2JlU29mdHdhcmUuQXRsYXM0MC5BdGxhc0NvbW1vbi5Db2x1bW5BdHRyaWJ1dGVzAQAAAAd2YWx1ZV9fAAgOAAAABgAAAAaYAAAABVRvdGFsAWf///9q////AWb///9p////EAAAAAabAAAABE5vbmUBZP///2r///8BY////2n///8JAAAACSQAAAABYf///2r///8BYP///2n///8LAAAABqEAAAABMAFe////av///wFd////af///wQAAAAGpAAAAAdHZW5lcmFsAVv///9q////AVr///9p////AgAAAAanAAAAATEBWP///2r///8BV////2n///8AAAAABqoAAAAFNDQuODYBdwAAAAwAAAAHe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V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wAAAAIRm9udEJvbGQGrQAAAAVGYWxzZQFS////Vf///wavAAAACkZvbnRJdGFsaWMJrQAAAAFP////Vf///wayAAAADUZvbnRVbmRlcmxpbmUGswAAAAUtNDE0MgFM////Vf///wa1AAAACEZvbnROYW1lBrYAAAAHQ2FsaWJyaQFJ////Vf///wa4AAAACUZvbnRDb2xvcga5AAAAATABRv///1X///8GuwAAAAhGb250U2l6ZQa8AAAAAjExAUP///9V////Br4AAAAJRm9udFN0eWxlBr8AAAAHUmVndWxhcgd5AAAAAAEAAAAEAAAABDdHbG9iZVNvZnR3YXJlLkF0bGFzNDAuQXRsYXNDb21tb24uVHlwZS5GaWVsZE91dHB1dEZpZWxkDgAAAAnAAAAADQMHe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////9q////AT7///9p////EAAAAAmbAAAAATz///9q////ATv///9p////CQAAAAkkAAAAATn///9q////ATj///9p////CwAAAAbJAAAAATEBNv///2r///8BNf///2n///8EAAAABswAAAAHR2VuZXJhbAEz////av///wEy////af///wIAAAAGzwAAAAExATD///9q////AS////9p////AAAAAAbSAAAABTEzLjU3B30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1X///8JrAAAAAmtAAAAASr///9V////Ca8AAAAJrQAAAAEn////Vf///wmyAAAABtsAAAAFLTQxNDIBJP///1X///8JtQAAAAbeAAAAB0NhbGlicmkBIf///1X///8JuAAAAAbhAAAAATABHv///1X///8JuwAAAAbkAAAAAjExARv///9V////Cb4AAAAG5wAAAAdSZWd1bGFyB34AAAAAAQAAAAQAAAAEN0dsb2JlU29mdHdhcmUuQXRsYXM0MC5BdGxhc0NvbW1vbi5UeXBlLkZpZWxkT3V0cHV0RmllbGQOAAAACegAAAANAw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2r///8BFv///2n///8QAAAACZsAAAABFP///2r///8BE////2n///8JAAAACSQAAAABEf///2r///8BEP///2n///8LAAAABvEAAAABMgEO////av///wEN////af///wQAAAAG9AAAAAdHZW5lcmFsAQv///9q////AQr///9p////AgAAAAb3AAAAATEBCP///2r///8BB////2n///8AAAAABvoAAAAFMTcuMjkHg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///Vf///wmsAAAACa0AAAABAv///1X///8JrwAAAAmtAAAAAf/+//9V////CbIAAAAGAwEAAAUtNDE0MgH8/v//Vf///wm1AAAABgYBAAAHQ2FsaWJyaQH5/v//Vf///wm4AAAABgkBAAABMAH2/v//Vf///wm7AAAABgwBAAACMTEB8/7//1X///8JvgAAAAYPAQAAB1JlZ3VsYXIHgwAAAAABAAAABAAAAAQ3R2xvYmVTb2Z0d2FyZS5BdGxhczQwLkF0bGFzQ29tbW9uLlR5cGUuRmllbGRPdXRwdXRGaWVsZA4AAAAJEAEAAA0DB4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av///wHu/v//af///xAAAAAJmwAAAAHs/v//av///wHr/v//af///wkAAAAJJAAAAAHp/v//av///wHo/v//af///wsAAAAGGQEAAAEzAeb+//9q////AeX+//9p////BAAAAAYcAQAAB0dlbmVyYWwB4/7//2r///8B4v7//2n///8CAAAABh8BAAABMQHg/v//av///wHf/v//af///wAAAAAGIgEAAAIxNg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9V////CawAAAAJrQAAAAHa/v//Vf///wmvAAAACa0AAAAB1/7//1X///8JsgAAAAYrAQAABS00MTQyAdT+//9V////CbUAAAAGLgEAAAdDYWxpYnJpAdH+//9V////CbgAAAAGMQEAAAEwAc7+//9V////CbsAAAAGNAEAAAIxMQHL/v//Vf///wm+AAAABjcBAAAHUmVndWxhcgeIAAAAAAEAAAAEAAAABDdHbG9iZVNvZnR3YXJlLkF0bGFzNDAuQXRsYXNDb21tb24uVHlwZS5GaWVsZE91dHB1dEZpZWxkDgAAAAk4AQ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9q////Acb+//9p////EAAAAAmbAAAAAcT+//9q////AcP+//9p////CQAAAAkkAAAAAcH+//9q////AcD+//9p////CwAAAAZBAQAAATQBvv7//2r///8Bvf7//2n///8EAAAABkQBAAAHR2VuZXJhbAG7/v//av///wG6/v//af///wIAAAAGRwEAAAExAbj+//9q////Abf+//9p////AAAAAAZKAQAABTIwLjE0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1X///8JrAAAAAmtAAAAAbL+//9V////Ca8AAAAJrQAAAAGv/v//Vf///wmyAAAABlMBAAAFLTQxNDIBrP7//1X///8JtQAAAAZWAQAAB0NhbGlicmkBqf7//1X///8JuAAAAAZZAQAAAzI1NQGm/v//Vf///wm7AAAABlwBAAACMTEBo/7//1X///8JvgAAAAZfAQAAB1JlZ3VsYXIHjQAAAAABAAAABAAAAAQ3R2xvYmVTb2Z0d2FyZS5BdGxhczQwLkF0bGFzQ29tbW9uLlR5cGUuRmllbGRPdXRwdXRGaWVsZA4AAAAJYAE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xAAAAAJmwAAAAGc/v//av///wGb/v//af///wkAAAAJJAAAAAGZ/v//av///wGY/v//af///wsAAAAGaQEAAAE1AZb+//9q////AZX+//9p////BAAAAAZsAQAAB0dlbmVyYWwBk/7//2r///8Bkv7//2n///8CAAAABm8BAAABMQGQ/v//av///wGP/v//af///wAAAAAGcgEAAAUxNy4yO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9V////CawAAAAJrQAAAAGK/v//Vf///wmvAAAACa0AAAABh/7//1X///8JsgAAAAZ7AQAABS00MTQyAYT+//9V////CbUAAAAGfgEAAAdDYWxpYnJpAYH+//9V////CbgAAAAGgQEAAAEwAX7+//9V////CbsAAAAGhAEAAAIxMQF7/v//Vf///wm+AAAABoc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4/v//2v////////8ABokBAAAGU3RyaW5nBooBAAAPUG9zdGluZyBwcm9maWxlCYsBAAABdP7//9j///8CAAAABXP+//85R2xvYmVTb2Z0d2FyZS5BdGxhczQwLkF0bGFzQ29tbW9uLk51bWJlclNlcXVlbmNlQ29uZGl0aW9uAQAAAAd2YWx1ZV9fAAgOAAAAAQAAAAAABo4BAAAZVGFibGUuQXNzZXRMZWRnZXJBY2NvdW50cwkhAAAACSQAAAAK/////wmOAQAACgkhAAAACgoKCSQAAAAJlAEAAAkkAAAAAcAAAACVAAAAAWr+///a/////////wAGlwEAAARFbnVtBpgBAAAJR3JvdXBpbmdzCYsBAAABZv7//9j///8CAAAAAWX+//9z/v//AQAAAAAACY4BAAAJLwAAAAkkAAAACv////8JjgEAAAoJLwAAAAoKCgkkAAAACaIBAAAJJAAAAAHoAAAAlQAAAAFc/v//2v////////8ABqUBAAAGU3RyaW5nBqYBAAAOQWNjb3VudCBudW1iZXIJiwEAAAFY/v//2P///wIAAAABV/7//3P+//8BAAAAAAAJjgEAAAk9AAAACSQAAAAK/////wmOAQAACgk9AAAACgoKCSQAAAAJsAEAAAkkAAAAARABAACVAAAAAU7+///a/////////wAGswEAAAZTdHJpbmcGtAEAAA5MZWRnZXIgYWNjb3VudAmLAQAAAUr+///Y////AgAAAAFJ/v//c/7//wEAAAAAAAmOAQAACUsAAAAJJAAAAAr/////CY4BAAAKCUsAAAAKCgoJJAAAAAm+AQAACSQAAAABOAEAAJUAAAABQP7//9r/////////AAbBAQAABlN0cmluZwbCAQAADk9mZnNldCBhY2NvdW50CYsBAAABPP7//9j///8CAAAAATv+//9z/v//AQAAAAAACY4BAAAJWQAAAAkkAAAACv////8JjgEAAAoJWQAAAAoKCgkkAAAACcwBAAAJJAAAAAFgAQAAlQAAAAEy/v//2v////////8ABs8BAAAERW51bQbQAQAAEFRyYW5zYWN0aW9uIHR5cGUJiwEAAAEu/v//2P///wIAAAABLf7//3P+//8BAAAAAAAJjgEAAAlnAAAACSQAAAAK/////wmOAQAACglnAAAACgoKCSQAAAAJ2gEAAAkkAAAABYs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HUEAAAG3AEAABNBc3NldExlZGdlckFjY291bnRzBt0BAAAbRml4ZWQgYXNzZXQgbGVkZ2VyIGFjY291bnRzCSQAAAAJJAAAAAkkAAAABSH+//8wR2xvYmVTb2Z0d2FyZS5BdGxhczQwLkF0bGFzQ29tbW9uLkRhdGFTb3VyY2VUeXBlAQAAAAd2YWx1ZV9fAAgOAAAAAAAAAAngAQAACeEBAAAEHv7//wtTeXN0ZW0uR3VpZAsAAAACX2ECX2ICX2MCX2QCX2UCX2YCX2cCX2gCX2kCX2oCX2sAAAAAAAAAAAAAAAgHBwICAgICAgICa8gu9gz/00C1w35P8MPkTwkkAAAACSQAAAAJ5AEAAAmOAQAACgoKCgoBAAAABRr+//80R2xvYmVTb2Z0d2FyZS5BdGxhczQwLkF0bGFzQ29tbW9uLkRhdGFTb3VyY2VKb2luTW9kZQEAAAAHdmFsdWVfXwAIDgAAAAAAAAAFGf7//zVHbG9iZVNvZnR3YXJlLkF0bGFzNDAuQXRsYXNDb21tb24uRGF0YVNvdXJjZUZldGNoTW9kZQEAAAAHdmFsdWVfXwAIDgAAAAAAAAAACegBAAABlAEAACAAAAA9AAAACXcAAAADAAAACeoBAAABogEAACAAAAA9AAAACXcAAAADAAAACewBAAABsAEAACAAAAA9AAAACXcAAAADAAAACe4BAAABvgEAACAAAAA9AAAACXcAAAADAAAACfABAAABzAEAACAAAAA9AAAACXcAAAADAAAACfIBAAAB2gEAACAAAAA9AAAACXcAAAADAAAACfQBAAAE4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9QEAAAcAAAAJ9gEAAAT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UBAAAAAAAABO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1AQAAAAAAAATo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4AQAAAAAAAAf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f+//9V////BvoBAAAISGVscFRleHQG+wEAACBQb3N0aW5nIHByb2ZpbGUgYmVpbmcgcHJvY2Vzc2VkLgEE/v//Vf///wb9AQAABUxhYmVsCYoBAAABAf7//1X///8GAAIAAARUeXBlCYkBAAAH7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+/f//Vf///wn6AQAABgQCAAAuR3JvdXBpbmcgdXNlZCBmb3IgZml4ZWQgYXNzZXQgcG9zdGluZyBwcm9maWxlLgH7/f//Vf///wn9AQAACZgBAAAB+P3//1X///8JAAIAAAmXAQ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1X///8J+gEAAAYNAgAAH051bWJlciBpZGVudGlmeWluZyB0aGUgYWNjb3VudC4B8v3//1X///8J/QEAAAmmAQAAAe/9//9V////CQACAAAJpQEAAAfw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9//9V////CfoBAAAGFgIAACVBY2NvdW50IG51bWJlciBmb3IgcG9zdGluZyBpbiBsZWRnZXIuAen9//9V////Cf0BAAAJtAEAAAHm/f//Vf///wkAAgAACbMBAAAH8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f//Vf///wn6AQAABh8CAAAjT2Zmc2V0IGFjY291bnQgZm9yIHRoZSB0cmFuc2FjdGlvbi4B4P3//1X///8J/QEAAAnCAQAAAd39//9V////CQACAAAJwQEAAAf0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9//9V////CfoBAAAGKAIAABRUeXBlIG9mIHRyYW5zYWN0aW9uLgHX/f//Vf///wn9AQAACdABAAAB1P3//1X///8JAAIAAAnPAQAAAfUBAAAMAAAAB/YB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H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ACAAAoVGFibGUuQXNzZXRMZWRnZXJBY2NvdW50cy5Qb3N0aW5nUHJvZmlsZQmVAAAAAc79///R/f//BjMCAAAlVGFibGUuQXNzZXRMZWRnZXJBY2NvdW50cy5BY2NvdW50Q29kZQnAAAAAAcv9///R/f//BjYCAAApVGFibGUuQXNzZXRMZWRnZXJBY2NvdW50cy5BY2NvdW50UmVsYXRpb24J6AAAAAHI/f//0f3//wY5AgAAJ1RhYmxlLkFzc2V0TGVkZ2VyQWNjb3VudHMuTGVkZ2VyQWNjb3VudAkQAQAAAcX9///R/f//BjwCAAAtVGFibGUuQXNzZXRMZWRnZXJBY2NvdW50cy5MZWRnZXJPZmZzZXRBY2NvdW50CTgBAAABwv3//9H9//8GPwIAACNUYWJsZS5Bc3NldExlZGdlckFjY291bnRzLlRyYW5zVHlwZQlgAQAABPg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26.xml><?xml version="1.0" encoding="utf-8"?>
<Atlas>
  <Query type="ReportList" id="a628de08-a37d-400b-a671-0540c2978c1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kAAAAJ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XQXNzZXREaXNwb3NhbFBhcmFtZXRlcnMGHgAAABNEaXNwb3NhbCBwYXJhbWV0ZXJzCQgAAAAJCAAAAAkIAAAABeD///8wR2xvYmVTb2Z0d2FyZS5BdGxhczQwLkF0bGFzQ29tbW9uLkRhdGFTb3VyY2VUeXBlAQAAAAd2YWx1ZV9fAAgCAAAAAAAAAAkhAAAACSIAAAAE3f///wtTeXN0ZW0uR3VpZAsAAAACX2ECX2ICX2MCX2QCX2UCX2YCX2cCX2gCX2kCX2oCX2sAAAAAAAAAAAAAAAgHBwICAgICAgICxPU0Klay50G+jFch9EjmDgkIAAAACQgAAAAJJQAAAAYmAAAAHVRhYmxlLkFzc2V0RGlzcG9zYWxQYXJhbWV0ZXJ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0HERUAAAAEAAAABjgAAAAOQXRsYXNSZXBvcnRfMTU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YTYyOGRlMDgtYTM3ZC00MDBiLWE2NzEtMDU0MGMyOTc4YzE4AcL////F////AcH////E////AAAAAAZAAAAABHRydWUBv////8X///8Bvv///8T///8LAAAABkMAAAATRGlzcG9zYWwgcGFyYW1ldGVycwG8////xf///wG7////xP///xsAAAAGRgAAAARUcnVlAbn////F////Abj////E////BgAAAAZJAAAABUZhbHNlAbb////F////AbX////E////HAAAAAlGAAAAAbP////F////AbL////E////HQAAAAlJAAAAAbD////F////Aa/////E////KgAAAAlGAAAAAa3////F////Aaz////E////AQAAAAZVAAAAAzM3MQGq////xf///wGp////xP///ycAAAAGWAAAAAs9RGF0YUFyZWFJZAGn////xf///wGm////xP///xkAAAAGWwAAAA9DZWxsc1ZlcnRpY2FsbHkBpP///8X///8Bo////8T///8JAAAACgGi////xf///wGh////xP///ygAAAAGYAAAAAE5AZ/////F////AZ7////E////KwAAAAZj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c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UAAAAXQXNzZXREaXNwb3NhbFBhcmFtZXRlcn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YAAAARAAAACW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g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rAAAACWwAAAAJbQAAAAZuAAAADlBvc3RpbmdQcm9maWxlBm8AAAAPUG9zdGluZyBwcm9maWxlBnAAAAAGU3RyaW5nCQgAAAAGcgAAACRjMDc4M2ZlYS1kZTNiLTRjNTctOTUyZi05NGJmMjE3ZTlmYWYFjf///y1HbG9iZVNvZnR3YXJlLkF0bGFzNDAuQXRsYXNDb21tb24uQWdncmVnYXRpb24BAAAAB3ZhbHVlX18ACAIAAAD/////AAAAAAWM////LEdsb2JlU29mdHdhcmUuQXRsYXM0MC5BdGxhc0NvbW1vbi5Db2x1bW5UeXBlAQAAAAd2YWx1ZV9fAAgCAAAAAAAAAAWL////K0dsb2JlU29mdHdhcmUuQXRsYXM0MC5BdGxhc0NvbW1vbi5Tb3J0T3JkZXIBAAAAB3ZhbHVlX18ACAIAAAACAAAAAAAAAAAFiv///0BHbG9iZVNvZnR3YXJlLkF0bGFzNDAuQXRsYXNDb21tb24uVHlwZS5Db2x1bW4rQ3Jvc3NUYWJDb2x1bW5UeXBlAQAAAAd2YWx1ZV9fAAgCAAAAAAAAAAoBAAAAAAAAAAAAAAAAAAZ3AAAAJGIzNDZiZWI0LWEyOTYtNDQwNS1hOTkxLWI3MDQ3ZjI3ZDEyMgZ4AAAALFRhYmxlLkFzc2V0RGlzcG9zYWxQYXJhbWV0ZXJzLlBvc3RpbmdQcm9maWxlCgoKCgEwAAAALwAAAAl5AAAACXoAAAAJewAAAAZ8AAAACVNvbGRTY3JhcAZ9AAAADVNhbGUgb3Igc2NyYXAGfgAAAARFbnVtCQgAAAAGgAAAACRkZjMzM2FkNS1kZTA3LTQ5MzEtOTI1NS00MjUwZDAyZmNmODIBf////43/////////AQAAAAF+////jP///wAAAAABff///4v///8CAAAAAAAAAAABfP///4r///8AAAAACgEAAAAAAAAAAAEAAAAABoUAAAAkM2ZkYTBmNTQtYmZkNS00MWIyLThjNWQtMjM4NGY5NTQyN2M2BoYAAAAnVGFibGUuQXNzZXREaXNwb3NhbFBhcmFtZXRlcnMuU29sZFNjcmFwCgoKCgExAAAALwAAAAmHAAAACYgAAAAJiQAAAAaKAAAACVZhbHVlVHlwZQaLAAAAEFNhbGVzIHZhbHVlIHR5cGUGjAAAAARFbnVtCQgAAAAGjgAAACRiNzUxZjNlZS04OTM5LTQ3YTAtOTcwMS00NjUyZWM4OGZjMDQBcf///43/////////AgAAAAFw////jP///wAAAAABb////4v///8CAAAAAAAAAAABbv///4r///8AAAAACgEAAAAAAAAAAAIAAAAABpMAAAAkYzdjZjE2YzQtOTVhNS00ODBjLTlhYmEtZGFhNDJjN2RjNWE2BpQAAAAnVGFibGUuQXNzZXREaXNwb3NhbFBhcmFtZXRlcnMuVmFsdWVUeXBlCgoKCgEyAAAALwAAAAmVAAAACZYAAAAJlwAAAAaYAAAABkJvb2tJZAaZAAAAC1ZhbHVlIG1vZGVsBpoAAAAGU3RyaW5nCQgAAAAGnAAAACQ2ODU4MWM1Zi1hYWMwLTQ1ZDktOGMzNS04NzcwZWVmNzA2MjMBY////43/////////AwAAAAFi////jP///wAAAAABYf///4v///8CAAAAAAAAAAABYP///4r///8AAAAACgEAAAAAAAAAAAMAAAAABqEAAAAkNmYyYmY0ZDctMDM5Yy00NjljLTk3MTEtODc3MzM4NTQ3YjQxBqIAAAAkVGFibGUuQXNzZXREaXNwb3NhbFBhcmFtZXRlcnMuQm9va0lkCgoKCgEzAAAALwAAAAmjAAAACaQAAAAJpQAAAAamAAAACUFzc2V0Q29kZQanAAAACVZhbGlkIGZvcgaoAAAABEVudW0JCAAAAAaqAAAAJGExMjAyMzBiLTc0NzItNGQyMy1hMjdkLWYwNmMxNGQyZDhiNQFV////jf////////8EAAAAAVT///+M////AAAAAAFT////i////wIAAAAAAAAAAAFS////iv///wAAAAAKAQAAAAAAAAAABAAAAAAGrwAAACRhMzRjZGUxMy02MmE2LTQ4ZGMtODliNC01MTA0NmJmMjkyNTAGsAAAACdUYWJsZS5Bc3NldERpc3Bvc2FsUGFyYW1ldGVycy5Bc3NldENvZGUKCgoKATQAAAAvAAAACbEAAAAJsgAAAAmzAAAABrQAAAANQXNzZXRSZWxhdGlvbga1AAAAFEZpeGVkIGFzc2V0IHJlbGF0aW9uBrYAAAAGU3RyaW5nCQgAAAAGuAAAACRkZjE1YTBjNS1hZWQ5LTQyN2ItYjQ5MC1kMDRlZjc1ZGY0MjMBR////43/////////BQAAAAFG////jP///wAAAAABRf///4v///8CAAAAAAAAAAABRP///4r///8AAAAACgEAAAAAAAAAAAUAAAAABr0AAAAkNjg5NzQxZWEtY2IyOS00ZWUwLWI4MmMtYTg3ZjA2NDM0MDBiBr4AAAArVGFibGUuQXNzZXREaXNwb3NhbFBhcmFtZXRlcnMuQXNzZXRSZWxhdGlvbgoKCgoBNQAAAC8AAAAJvwAAAAnAAAAACcEAAAAGwgAAAAlQb3N0VmFsdWUGwwAAAApQb3N0IHZhbHVlBsQAAAAERW51bQkIAAAABsYAAAAkNzQ2ZDllMzMtOWEzNS00YmM2LThjZmItN2Y0NWRlNjJkN2YwATn///+N/////////wYAAAABOP///4z///8AAAAAATf///+L////AgAAAAAAAAAAATb///+K////AAAAAAoBAAAAAAAAAAAGAAAAAAbLAAAAJDQ2NzEyNTA5LWI3Y2YtNGQyYS05NTgzLWFiNDAxN2YxMWYyNgbMAAAAJ1RhYmxlLkFzc2V0RGlzcG9zYWxQYXJhbWV0ZXJzLlBvc3RWYWx1ZQoKCgoBNgAAAC8AAAAJzQAAAAnOAAAACc8AAAAG0AAAAAdBY2NvdW50BtEAAAAOTGVkZ2VyIGFjY291bnQG0gAAAAZTdHJpbmcJCAAAAAbUAAAAJGUzYzhjZTg5LWUwODYtNDRhNi1iODZlLTM4YzE3YjM2NmNmYwEr////jf////////8HAAAAASr///+M////AAAAAAEp////i////wIAAAAAAAAAAAEo////iv///wAAAAAKAQAAAAAAAAAABwAAAAAG2QAAACRjNjQ2MGIzMi0wNzM3LTQzNWEtOGMxZi1jMTFhNDEwMDk5YzQG2gAAACVUYWJsZS5Bc3NldERpc3Bvc2FsUGFyYW1ldGVycy5BY2NvdW50CgoKCgE3AAAALwAAAAnbAAAACdwAAAAJ3QAAAAbeAAAADU9mZnNldEFjY291bnQG3wAAAA5PZmZzZXQgYWNjb3VudAbgAAAABlN0cmluZwkIAAAABuIAAAAkYTM4MjFkZmMtNjVlMS00M2UwLWFlMWMtNmMyYWY4NDg1NDNhAR3///+N/////////wgAAAABHP///4z///8AAAAAARv///+L////AgAAAAAAAAAAARr///+K////AAAAAAoBAAAAAAAAAAAIAAAAAAbnAAAAJDY4NDQ4NjQ0LWJiMDUtNDllMi1iZmI0LTU1ZjgzNmRlNTkzYQboAAAAK1RhYmxlLkFzc2V0RGlzcG9zYWxQYXJhbWV0ZXJzLk9mZnNldEFjY291bnQKCgoKAWYAAAASAAAAB2cA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Bf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uoAAAAsVGFibGUuQXNzZXREaXNwb3NhbFBhcmFtZXRlcnMuUG9zdGluZ1Byb2ZpbGUJ6wAAAAEU////F////wbtAAAAJ1RhYmxlLkFzc2V0RGlzcG9zYWxQYXJhbWV0ZXJzLlNvbGRTY3JhcAnuAAAAARH///8X////BvAAAAAnVGFibGUuQXNzZXREaXNwb3NhbFBhcmFtZXRlcnMuVmFsdWVUeXBlCfEAAAABDv///xf///8G8wAAACRUYWJsZS5Bc3NldERpc3Bvc2FsUGFyYW1ldGVycy5Cb29rSWQJ9AAAAAEL////F////wb2AAAAJ1RhYmxlLkFzc2V0RGlzcG9zYWxQYXJhbWV0ZXJzLkFzc2V0Q29kZQn3AAAAAQj///8X////BvkAAAArVGFibGUuQXNzZXREaXNwb3NhbFBhcmFtZXRlcnMuQXNzZXRSZWxhdGlvbgn6AAAAAQX///8X////BvwAAAAnVGFibGUuQXNzZXREaXNwb3NhbFBhcmFtZXRlcnMuUG9zdFZhbHVlCf0AAAABAv///xf///8G/wAAACVUYWJsZS5Bc3NldERpc3Bvc2FsUGFyYW1ldGVycy5BY2NvdW50CQABAAAB//7//xf///8GAgEAACtUYWJsZS5Bc3NldERpc3Bvc2FsUGFyYW1ldGVycy5PZmZzZXRBY2NvdW50CQMBAAAEa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QBAAABAAAAAQAAAARs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EAAAAJBQEAAAcAAAAJBgE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BwEAAAcAAAAJCAEAAAF5AAAAawAAAAkJAQAAAQAAAAEAAAABegAAAGwAAACCAAAACQUBAAAHAAAACQsBAAAEe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QcBAAAHAAAACQ0BAAABhwAAAGsAAAAJDgEAAAEAAAABAAAAAYgAAABsAAAAggAAAAkFAQAABwAAAAkQ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HAQAABwAAAAkSAQAAAZUAAABrAAAACRMBAAABAAAAAQAAAAGWAAAAbAAAAIEAAAAJBQEAAAcAAAAJF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BwEAAAcAAAAJFwEAAAGjAAAAawAAAAkYAQAAAQAAAAEAAAABpAAAAGwAAACDAAAACQUBAAAHAAAACRoB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QcBAAAHAAAACRwBAAABsQAAAGsAAAAJHQEAAAEAAAABAAAAAbIAAABsAAAAggAAAAkFAQAABwAAAAkf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HAQAABwAAAAkhAQAAAb8AAABrAAAACSIBAAABAAAAAQAAAAHAAAAAbAAAAIIAAAAJBQEAAAcAAAAJJA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BwEAAAcAAAAJJgEAAAHNAAAAawAAAAknAQAAAQAAAAEAAAABzgAAAGwAAACCAAAACQUBAAAHAAAACSk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QcBAAAHAAAACSsBAAAB2wAAAGsAAAAJLAEAAAEAAAABAAAAAdwAAABsAAAAggAAAAkFAQAABwAAAAkuAQAABN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HAQAABwAAAAkwAQAABe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c/+//+N/////////wAGMgEAAAZTdHJpbmcGMwEAAA9Qb3N0aW5nIHByb2ZpbGUJNAEAAAHL/v//i////wIAAAAFyv7//zlHbG9iZVNvZnR3YXJlLkF0bGFzNDAuQXRsYXNDb21tb24uTnVtYmVyU2VxdWVuY2VDb25kaXRpb24BAAAAB3ZhbHVlX18ACAIAAAABAAAAAAAGNwEAAB1UYWJsZS5Bc3NldERpc3Bvc2FsUGFyYW1ldGVycwluAAAACQgAAAAK/////wk3AQAACgluAAAACgoKCQgAAAAJPQEAAAkIAAAAAe4AAADrAAAAAcH+//+N/////////wAGQAEAAARFbnVtBkEBAAANU2FsZSBvciBzY3JhcAk0AQAAAb3+//+L////AgAAAAG8/v//yv7//wEAAAAAAAk3AQAACXwAAAAJCAAAAAr/////CTcBAAAKCXwAAAAKCgoJCAAAAAlLAQAACQgAAAAB8QAAAOsAAAABs/7//43/////////AAZOAQAABEVudW0GTwEAABBTYWxlcyB2YWx1ZSB0eXBlCTQBAAABr/7//4v///8CAAAAAa7+///K/v//AQAAAAAACTcBAAAJigAAAAkIAAAACv////8JNwEAAAoJigAAAAoKCgkIAAAACVkBAAAJCAAAAAH0AAAA6wAAAAGl/v//jf////////8ABlwBAAAGU3RyaW5nBl0BAAALVmFsdWUgbW9kZWwJNAEAAAGh/v//i////wIAAAABoP7//8r+//8BAAAAAAAJNwEAAAmYAAAACQgAAAAK/////wk3AQAACgmYAAAACgoKCQgAAAAJZwEAAAkIAAAAAfcAAADrAAAAAZf+//+N/////////wAGagEAAARFbnVtBmsBAAAJVmFsaWQgZm9yCTQBAAABk/7//4v///8CAAAAAZL+///K/v//AQAAAAAACTcBAAAJpgAAAAkIAAAACv////8JNwEAAAoJpgAAAAoKCgkIAAAACXUBAAAJCAAAAAH6AAAA6wAAAAGJ/v//jf////////8ABngBAAAGU3RyaW5nBnkBAAAURml4ZWQgYXNzZXQgcmVsYXRpb24JNAEAAAGF/v//i////wIAAAABhP7//8r+//8BAAAAAAAJNwEAAAm0AAAACQgAAAAK/////wk3AQAACgm0AAAACgoKCQgAAAAJgwEAAAkIAAAAAf0AAADrAAAAAXv+//+N/////////wAGhgEAAARFbnVtBocBAAAKUG9zdCB2YWx1ZQk0AQAAAXf+//+L////AgAAAAF2/v//yv7//wEAAAAAAAk3AQAACcIAAAAJCAAAAAr/////CTcBAAAKCcIAAAAKCgoJCAAAAAmRAQAACQgAAAABAAEAAOsAAAABbf7//43/////////AAaUAQAABlN0cmluZwaVAQAADkxlZGdlciBhY2NvdW50CTQBAAABaf7//4v///8CAAAAAWj+///K/v//AQAAAAAACTcBAAAJ0AAAAAkIAAAACv////8JNwEAAAoJ0AAAAAoKCgkIAAAACZ8BAAAJCAAAAAEDAQAA6wAAAAFf/v//jf////////8ABqIBAAAGU3RyaW5nBqMBAAAOT2Zmc2V0IGFjY291bnQJNAEAAAFb/v//i////wIAAAABWv7//8r+//8BAAAAAAAJNwEAAAneAAAACQgAAAAK/////wk3AQAACgneAAAACgoKCQgAAAAJrQEAAAkIAAAABwQBAAAAAQAAAAQAAAAEN0dsb2JlU29mdHdhcmUuQXRsYXM0MC5BdGxhc0NvbW1vbi5UeXBlLkZpZWxkT3V0cHV0RmllbGQCAAAACesAAAANAwQF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P/v//Mkdsb2JlU29mdHdhcmUuQXRsYXM0MC5BdGxhc0NvbW1vbi5Db2x1bW5BdHRyaWJ1dGVzAQAAAAd2YWx1ZV9fAAgCAAAACQAAAAkIAAAAAU3+//9Q/v//AUz+//9P/v//CwAAAAa1AQAAATABSv7//1D+//8BSf7//0/+//8EAAAABrgBAAAHR2VuZXJhbAFH/v//UP7//wFG/v//T/7//wIAAAAGuwEAAAExAUT+//9Q/v//AUP+//9P/v//AAAAAAa+AQAABTE1LjcxAQcBAAASAAAABw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AAQAACEZvbnRCb2xkBsEBAAAFRmFsc2UBPv7//0H+//8GwwEAAApGb250SXRhbGljCcEBAAABO/7//0H+//8GxgEAAA1Gb250VW5kZXJsaW5lBscBAAAFLTQxNDIBOP7//0H+//8GyQEAAAhGb250TmFtZQbKAQAAB0NhbGlicmkBNf7//0H+//8GzAEAAAlGb250Q29sb3IGzQEAAAEwATL+//9B/v//Bs8BAAAIRm9udFNpemUG0AEAAAIxMQEv/v//Qf7//wbSAQAACUZvbnRTdHlsZQbTAQAAB1JlZ3VsYXIHCQEAAAABAAAABAAAAAQ3R2xvYmVTb2Z0d2FyZS5BdGxhczQwLkF0bGFzQ29tbW9uLlR5cGUuRmllbGRPdXRwdXRGaWVsZAIAAAAJ7gAAAA0DBw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v//UP7//wEq/v//T/7//xAAAAAG1wEAAAROb25lASj+//9Q/v//ASf+//9P/v//CQAAAAkIAAAAASX+//9Q/v//AST+//9P/v//CwAAAAbdAQAAATEBIv7//1D+//8BIf7//0/+//8EAAAABuABAAAHR2VuZXJhbAEf/v//UP7//wEe/v//T/7//wIAAAAG4wEAAAExARz+//9Q/v//ARv+//9P/v//AAAAAAbmAQAABTEzLjU3Bw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0H+//8JwAEAAAnBAQAAARb+//9B/v//CcMBAAAJwQEAAAET/v//Qf7//wnGAQAABu8BAAAFLTQxNDIBEP7//0H+//8JyQEAAAbyAQAAB0NhbGlicmkBDf7//0H+//8JzAEAAAb1AQAAATABCv7//0H+//8JzwEAAAb4AQAAAjExAQf+//9B/v//CdIBAAAG+wEAAAdSZWd1bGFyBw4BAAAAAQAAAAQAAAAEN0dsb2JlU29mdHdhcmUuQXRsYXM0MC5BdGxhc0NvbW1vbi5UeXBlLkZpZWxkT3V0cHV0RmllbGQCAAAACfEAAAANAw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1D+//8BAv7//0/+//8QAAAACdcBAAABAP7//1D+//8B//3//0/+//8JAAAACQgAAAAB/f3//1D+//8B/P3//0/+//8LAAAABgUCAAABMgH6/f//UP7//wH5/f//T/7//wQAAAAGCAIAAAdHZW5lcmFsAff9//9Q/v//Afb9//9P/v//AgAAAAYLAgAAATEB9P3//1D+//8B8/3//0/+//8AAAAABg4CAAACMTcHE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f//Qf7//wnAAQAACcEBAAAB7v3//0H+//8JwwEAAAnBAQAAAev9//9B/v//CcYBAAAGFwIAAAUtNDE0MgHo/f//Qf7//wnJAQAABhoCAAAHQ2FsaWJyaQHl/f//Qf7//wnMAQAABh0CAAABMAHi/f//Qf7//wnPAQAABiACAAACMTEB3/3//0H+//8J0gEAAAYjAgAAB1JlZ3VsYXIHEwEAAAABAAAABAAAAAQ3R2xvYmVTb2Z0d2FyZS5BdGxhczQwLkF0bGFzQ29tbW9uLlR5cGUuRmllbGRPdXRwdXRGaWVsZAIAAAAJ9AAAAA0DBx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f//UP7//wHa/f//T/7//wkAAAAJCAAAAAHY/f//UP7//wHX/f//T/7//wsAAAAGKgIAAAEzAdX9//9Q/v//AdT9//9P/v//BAAAAAYtAgAAB0dlbmVyYWwB0v3//1D+//8B0f3//0/+//8CAAAABjACAAABMQHP/f//UP7//wHO/f//T/7//wAAAAAGMwIAAAUxMy44Ng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9//9B/v//CcABAAAJwQEAAAHJ/f//Qf7//wnDAQAACcEBAAABxv3//0H+//8JxgEAAAY8AgAABS00MTQyAcP9//9B/v//CckBAAAGPwIAAAdDYWxpYnJpAcD9//9B/v//CcwBAAAGQgIAAAEwAb39//9B/v//Cc8BAAAGRQIAAAIxMQG6/f//Qf7//wnSAQAABkgCAAAHUmVndWxhcgcYAQAAAAEAAAAEAAAABDdHbG9iZVNvZnR3YXJlLkF0bGFzNDAuQXRsYXNDb21tb24uVHlwZS5GaWVsZE91dHB1dEZpZWxkAgAAAAn3AAAADQMHG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b9//9Q/v//AbX9//9P/v//BgAAAAZMAgAABVRvdGFsAbP9//9Q/v//AbL9//9P/v//EAAAAAnXAQAAAbD9//9Q/v//Aa/9//9P/v//CQAAAAkIAAAAAa39//9Q/v//Aaz9//9P/v//CwAAAAZVAgAAATQBqv3//1D+//8Bqf3//0/+//8EAAAABlgCAAAHR2VuZXJhbAGn/f//UP7//wGm/f//T/7//wIAAAAGWwIAAAExAaT9//9Q/v//AaP9//9P/v//AAAAAAZeAgAABTM0LjQzBx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3//0H+//8JwAEAAAnBAQAAAZ79//9B/v//CcMBAAAJwQEAAAGb/f//Qf7//wnGAQAABmcCAAAFLTQxNDIBmP3//0H+//8JyQEAAAZqAgAAB0NhbGlicmkBlf3//0H+//8JzAEAAAZtAgAAATABkv3//0H+//8JzwEAAAZwAgAAAjExAY/9//9B/v//CdIBAAAGcwIAAAdSZWd1bGFyBx0BAAAAAQAAAAQAAAAEN0dsb2JlU29mdHdhcmUuQXRsYXM0MC5BdGxhc0NvbW1vbi5UeXBlLkZpZWxkT3V0cHV0RmllbGQCAAAACfoAAAANAw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3//1D+//8Biv3//0/+//8QAAAACdcBAAABiP3//1D+//8Bh/3//0/+//8JAAAACQgAAAABhf3//1D+//8BhP3//0/+//8LAAAABn0CAAABNQGC/f//UP7//wGB/f//T/7//wQAAAAGgAIAAAdHZW5lcmFsAX/9//9Q/v//AX79//9P/v//AgAAAAaDAgAAATEBfP3//1D+//8Be/3//0/+//8AAAAABoYCAAAFMjAuMTQHI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f//Qf7//wnAAQAACcEBAAABdv3//0H+//8JwwEAAAnBAQAAAXP9//9B/v//CcYBAAAGjwIAAAUtNDE0MgFw/f//Qf7//wnJAQAABpICAAAHQ2FsaWJyaQFt/f//Qf7//wnMAQAABpUCAAABMAFq/f//Qf7//wnPAQAABpgCAAACMTEBZ/3//0H+//8J0gEAAAabAgAAB1JlZ3VsYXIHIgEAAAABAAAABAAAAAQ3R2xvYmVTb2Z0d2FyZS5BdGxhczQwLkF0bGFzQ29tbW9uLlR5cGUuRmllbGRPdXRwdXRGaWVsZAIAAAAJ/QA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f//UP7//wFi/f//T/7//xAAAAAJ1wEAAAFg/f//UP7//wFf/f//T/7//wkAAAAJCAAAAAFd/f//UP7//wFc/f//T/7//wsAAAAGpQIAAAE2AVr9//9Q/v//AVn9//9P/v//BAAAAAaoAgAAB0dlbmVyYWwBV/3//1D+//8BVv3//0/+//8CAAAABqsCAAABMQFU/f//UP7//wFT/f//T/7//wAAAAAGrgIAAAUyMy40Mw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9//9B/v//CcABAAAJwQEAAAFO/f//Qf7//wnDAQAACcEBAAABS/3//0H+//8JxgEAAAa3AgAABS00MTQyAUj9//9B/v//CckBAAAGugIAAAdDYWxpYnJpAUX9//9B/v//CcwBAAAGvQIAAAEwAUL9//9B/v//Cc8BAAAGwAIAAAIxMQE//f//Qf7//wnSAQAABsMCAAAHUmVndWxhcgcnAQAAAAEAAAAEAAAABDdHbG9iZVNvZnR3YXJlLkF0bGFzNDAuQXRsYXNDb21tb24uVHlwZS5GaWVsZE91dHB1dEZpZWxkAgAAAAkA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v9//9Q/v//ATr9//9P/v//EAAAAAnXAQAAATj9//9Q/v//ATf9//9P/v//CQAAAAkIAAAAATX9//9Q/v//ATT9//9P/v//CwAAAAbNAgAAATcBMv3//1D+//8BMf3//0/+//8EAAAABtACAAAHR2VuZXJhbAEv/f//UP7//wEu/f//T/7//wIAAAAG0wIAAAExASz9//9Q/v//ASv9//9P/v//AAAAAAbWAgAAAjE2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0H+//8JwAEAAAnBAQAAASb9//9B/v//CcMBAAAJwQEAAAEj/f//Qf7//wnGAQAABt8CAAAFLTQxNDIBIP3//0H+//8JyQEAAAbiAgAAB0NhbGlicmkBHf3//0H+//8JzAEAAAblAgAAATABGv3//0H+//8JzwEAAAboAgAAAjExARf9//9B/v//CdIBAAAG6wIAAAdSZWd1bGFyBywBAAAAAQAAAAQAAAAEN0dsb2JlU29mdHdhcmUuQXRsYXM0MC5BdGxhc0NvbW1vbi5UeXBlLkZpZWxkT3V0cHV0RmllbGQCAAAACQMBAAANAwc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3//1D+//8BEv3//0/+//8QAAAACdcBAAABEP3//1D+//8BD/3//0/+//8JAAAACQgAAAABDf3//1D+//8BDP3//0/+//8LAAAABvUCAAABOAEK/f//UP7//wEJ/f//T/7//wQAAAAG+AIAAAdHZW5lcmFsAQf9//9Q/v//AQb9//9P/v//AgAAAAb7AgAAATEBBP3//1D+//8BA/3//0/+//8AAAAABv4CAAAFMTUuNTc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Qf7//wnAAQAACcEBAAAB/vz//0H+//8JwwEAAAnBAQAAAfv8//9B/v//CcYBAAAGBwMAAAUtNDE0MgH4/P//Qf7//wnJAQAABgoDAAAHQ2FsaWJyaQH1/P//Qf7//wnMAQAABg0DAAADMjU1AfL8//9B/v//Cc8BAAAGEAMAAAIxMQHv/P//Qf7//wnSAQAABhMDAAAHUmVndWxhcgE0AQAADgAAAIUEAAAGFAMAABdBc3NldERpc3Bvc2FsUGFyYW1ldGVycwYVAwAAE0Rpc3Bvc2FsIHBhcmFtZXRlcnMJCAAAAAkIAAAACQgAAAAB6fz//+D///8AAAAACRgDAAAJGQMAAAHm/P//3f///2r9dlnT90dKkBN6tjss708JCAAAAAkIAAAACRwDAAAJNwEAAAoKCgoKAQAAAAHi/P//2f///wAAAAAB4fz//9j///8AAAAAAAkgAw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HAQAAAwAAAAkiAw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kAw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mAwAABG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HAQAAAwAAAAkoAwAABH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qAwAABI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sAwAABJ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uAwAABJ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wAwAABK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kHAQAAAwAAAAkyAwAAARgDAAAhAAAACQAAAAkzAwAAEQAAAAk0AwAAARkDAAAiAAAAAAAAAAkzAwAAAAAAAAQc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MAAAAAAAABIAMAACkAAAAAAAAACTYDAAAAAAAAByI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0H+//8GOAMAAAVMYWJlbAkzAQAAAcb8//9B/v//BjsDAAAEVHlwZQkyAQAABy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z//0H+//8GPgMAAAhIZWxwVGV4dAY/AwAAKklzIHRoZSBmaXhlZCBhc3NldCB0byBiZSBzb2xkIG9yIHNjcmFwcGVkPwHA/P//Qf7//wk4AwAACUEBAAABvfz//0H+//8JOwMAAAlAAQAABy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z//0H+//8JPgMAAAZIAwAANVBvc3QgdGhpcyBlbnRyeSBpZiBzYWxlIG1ha2VzIHByb2ZpdCwgbG9zcyBvciBlaXRoZXIuAbf8//9B/v//CTgDAAAJTwEAAAG0/P//Qf7//wk7AwAACU4BAAAHK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P//Qf7//wk4AwAACV0BAAABrvz//0H+//8JOwMAAAlcAQAABy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z//0H+//8JPgMAAAZXAwAAG1N0YXRlbWVudCBzaG91bGQgYXBwbHkgZm9yPwGo/P//Qf7//wk4AwAACWsBAAABpfz//0H+//8JOwMAAAlqAQAABy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0H+//8JPgMAAAZgAwAAI0ZpeGVkIGFzc2V0IG51bWJlciBvciBncm91cCBudW1iZXIuAZ/8//9B/v//CTgDAAAJeQEAAAGc/P//Qf7//wk7AwAACXgBAAAHL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Qf7//wk+AwAABmkDAAAlVGhlIHZhbHVlIHRvIGJlIHBvc3RlZCBmb3IgdGhpcyBsaW5lLgGW/P//Qf7//wk4AwAACYcBAAABk/z//0H+//8JOwMAAAmGAQAABz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z//0H+//8JPgMAAAZyAwAAJUFjY291bnQgbnVtYmVyIGZvciBwb3N0aW5nIGluIGxlZGdlci4Bjfz//0H+//8JOAMAAAmVAQAAAYr8//9B/v//CTsDAAAJlAEAAAc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8//9B/v//CT4DAAAGewMAACNPZmZzZXQgYWNjb3VudCBmb3IgdGhlIHRyYW5zYWN0aW9uLgGE/P//Qf7//wk4AwAACaMBAAABgfz//0H+//8JOwMAAAmiAQAAATMDAAASAAAABzQ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78//8X////BoMDAAAnVGFibGUuQXNzZXREaXNwb3NhbFBhcmFtZXRlcnMuQXNzZXRDb2RlCfcAAAABe/z//xf///8GhgMAACdUYWJsZS5Bc3NldERpc3Bvc2FsUGFyYW1ldGVycy5Tb2xkU2NyYXAJ7gAAAAF4/P//F////waJAwAAJ1RhYmxlLkFzc2V0RGlzcG9zYWxQYXJhbWV0ZXJzLlBvc3RWYWx1ZQn9AAAAAXX8//8X////BowDAAArVGFibGUuQXNzZXREaXNwb3NhbFBhcmFtZXRlcnMuT2Zmc2V0QWNjb3VudAkDAQAAAXL8//8X////Bo8DAAArVGFibGUuQXNzZXREaXNwb3NhbFBhcmFtZXRlcnMuQXNzZXRSZWxhdGlvbgn6AAAAAW/8//8X////BpIDAAAnVGFibGUuQXNzZXREaXNwb3NhbFBhcmFtZXRlcnMuVmFsdWVUeXBlCfEAAAABbPz//xf///8GlQMAACVUYWJsZS5Bc3NldERpc3Bvc2FsUGFyYW1ldGVycy5BY2NvdW50CQABAAABafz//xf///8GmAMAACxUYWJsZS5Bc3NldERpc3Bvc2FsUGFyYW1ldGVycy5Qb3N0aW5nUHJvZmlsZQnrAAAAAWb8//8X////BpsDAAAkVGFibGUuQXNzZXREaXNwb3NhbFBhcmFtZXRlcnMuQm9va0lkCfQAAAABNgMAAGoAAAAL
    <Output>
      <OutputObject name="AtlasReport_15"/>
    </Output>
  </Query>
</Atlas>
</file>

<file path=customXml/item27.xml><?xml version="1.0" encoding="utf-8"?>
<Atlas>
  <Report name="AtlasReport_1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wAAAAkDAAAACQQAAAAGBQAAAA5BdGxhc1JlcG9ydF8xNQ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CQAAAAk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EAAAAAQtR2xvYmVTb2Z0d2FyZS5BdGxhczQwLkF0bGFzQ29tbW9uLlR5cGUuQ29sdW1uDgAAAAkUAAAACRUAAAAJFgAAAAkXAAAACRgAAAAJGQAAAAkaAAAACRsAAAAJHAAAAA0HDB0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QAAAAgCAAAABh4AAAAWQXRsYXNSZXBvcnRfMTVfVGFibGVfMQkf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dAAAACAgJIA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EAAAAJIgAAAAkjAAAABiQAAAAOUG9zdGluZ1Byb2ZpbGUGJQAAAA9Qb3N0aW5nIHByb2ZpbGUGJgAAAAZTdHJpbmcGJwAAAAAGKAAAACRjMDc4M2ZlYS1kZTNiLTRjNTctOTUyZi05NGJmMjE3ZTlmYWYF1////y1HbG9iZVNvZnR3YXJlLkF0bGFzNDAuQXRsYXNDb21tb24uQWdncmVnYXRpb24BAAAAB3ZhbHVlX18ACA4AAAD/////AAAAAAXW////LEdsb2JlU29mdHdhcmUuQXRsYXM0MC5BdGxhc0NvbW1vbi5Db2x1bW5UeXBlAQAAAAd2YWx1ZV9fAAgOAAAAAAAAAAXV////K0dsb2JlU29mdHdhcmUuQXRsYXM0MC5BdGxhc0NvbW1vbi5Tb3J0T3JkZXIBAAAAB3ZhbHVlX18ACA4AAAACAAAAAAAAAAAF1P///0BHbG9iZVNvZnR3YXJlLkF0bGFzNDAuQXRsYXNDb21tb24uVHlwZS5Db2x1bW4rQ3Jvc3NUYWJDb2x1bW5UeXBlAQAAAAd2YWx1ZV9fAAgOAAAAAAAAAAoBAAAAAAAAAAAAAAAAAAYtAAAAJGIzNDZiZWI0LWEyOTYtNDQwNS1hOTkxLWI3MDQ3ZjI3ZDEyMgYuAAAALFRhYmxlLkFzc2V0RGlzcG9zYWxQYXJhbWV0ZXJzLlBvc3RpbmdQcm9maWxlCgoKCgEVAAAAFAAAAAkvAAAACTAAAAAJMQAAAAYyAAAACVNvbGRTY3JhcAYzAAAADVNhbGUgb3Igc2NyYXAGNAAAAARFbnVtCScAAAAGNgAAACRkZjMzM2FkNS1kZTA3LTQ5MzEtOTI1NS00MjUwZDAyZmNmODIByf///9f/////////AQAAAAHI////1v///wAAAAABx////9X///8CAAAAAAAAAAABxv///9T///8AAAAACgEAAAAAAAAAAAEAAAAABjsAAAAkM2ZkYTBmNTQtYmZkNS00MWIyLThjNWQtMjM4NGY5NTQyN2M2BjwAAAAnVGFibGUuQXNzZXREaXNwb3NhbFBhcmFtZXRlcnMuU29sZFNjcmFwCgoKCgEWAAAAFAAAAAk9AAAACT4AAAAJPwAAAAZAAAAACVZhbHVlVHlwZQZBAAAAEFNhbGVzIHZhbHVlIHR5cGUGQgAAAARFbnVtCScAAAAGRAAAACRiNzUxZjNlZS04OTM5LTQ3YTAtOTcwMS00NjUyZWM4OGZjMDQBu////9f/////////AgAAAAG6////1v///wAAAAABuf///9X///8CAAAAAAAAAAABuP///9T///8AAAAACgEAAAAAAAAAAAIAAAAABkkAAAAkYzdjZjE2YzQtOTVhNS00ODBjLTlhYmEtZGFhNDJjN2RjNWE2BkoAAAAnVGFibGUuQXNzZXREaXNwb3NhbFBhcmFtZXRlcnMuVmFsdWVUeXBlCgoKCgEXAAAAFAAAAAlLAAAACUwAAAAJTQAAAAZOAAAABkJvb2tJZAZPAAAAC1ZhbHVlIG1vZGVsBlAAAAAGU3RyaW5nCScAAAAGUgAAACQ2ODU4MWM1Zi1hYWMwLTQ1ZDktOGMzNS04NzcwZWVmNzA2MjMBrf///9f/////////AwAAAAGs////1v///wAAAAABq////9X///8CAAAAAAAAAAABqv///9T///8AAAAACgEAAAAAAAAAAAMAAAAABlcAAAAkNmYyYmY0ZDctMDM5Yy00NjljLTk3MTEtODc3MzM4NTQ3YjQxBlgAAAAkVGFibGUuQXNzZXREaXNwb3NhbFBhcmFtZXRlcnMuQm9va0lkCgoKCgEYAAAAFAAAAAlZAAAACVoAAAAJWwAAAAZcAAAACUFzc2V0Q29kZQZdAAAACVZhbGlkIGZvcgZeAAAABEVudW0JJwAAAAZgAAAAJGExMjAyMzBiLTc0NzItNGQyMy1hMjdkLWYwNmMxNGQyZDhiNQGf////1/////////8EAAAAAZ7////W////AAAAAAGd////1f///wIAAAAAAAAAAAGc////1P///wAAAAAKAQAAAAAAAAAABAAAAAAGZQAAACRhMzRjZGUxMy02MmE2LTQ4ZGMtODliNC01MTA0NmJmMjkyNTAGZgAAACdUYWJsZS5Bc3NldERpc3Bvc2FsUGFyYW1ldGVycy5Bc3NldENvZGUKCgoKARkAAAAUAAAACWcAAAAJaAAAAAlpAAAABmoAAAANQXNzZXRSZWxhdGlvbgZrAAAAFEZpeGVkIGFzc2V0IHJlbGF0aW9uBmwAAAAGU3RyaW5nCScAAAAGbgAAACRkZjE1YTBjNS1hZWQ5LTQyN2ItYjQ5MC1kMDRlZjc1ZGY0MjMBkf///9f/////////BQAAAAGQ////1v///wAAAAABj////9X///8CAAAAAAAAAAABjv///9T///8AAAAACgEAAAAAAAAAAAUAAAAABnMAAAAkNjg5NzQxZWEtY2IyOS00ZWUwLWI4MmMtYTg3ZjA2NDM0MDBiBnQAAAArVGFibGUuQXNzZXREaXNwb3NhbFBhcmFtZXRlcnMuQXNzZXRSZWxhdGlvbgoKCgoBGgAAABQAAAAJdQAAAAl2AAAACXcAAAAGeAAAAAlQb3N0VmFsdWUGeQAAAApQb3N0IHZhbHVlBnoAAAAERW51bQknAAAABnwAAAAkNzQ2ZDllMzMtOWEzNS00YmM2LThjZmItN2Y0NWRlNjJkN2YwAYP////X/////////wYAAAABgv///9b///8AAAAAAYH////V////AgAAAAAAAAAAAYD////U////AAAAAAoBAAAAAAAAAAAGAAAAAAaBAAAAJDQ2NzEyNTA5LWI3Y2YtNGQyYS05NTgzLWFiNDAxN2YxMWYyNgaCAAAAJ1RhYmxlLkFzc2V0RGlzcG9zYWxQYXJhbWV0ZXJzLlBvc3RWYWx1ZQoKCgoBGwAAABQAAAAJgwAAAAmEAAAACYUAAAAGhgAAAAdBY2NvdW50BocAAAAOTGVkZ2VyIGFjY291bnQGiAAAAAZTdHJpbmcJJwAAAAaKAAAAJGUzYzhjZTg5LWUwODYtNDRhNi1iODZlLTM4YzE3YjM2NmNmYwF1////1/////////8HAAAAAXT////W////AAAAAAFz////1f///wIAAAAAAAAAAAFy////1P///wAAAAAKAQAAAAAAAAAABwAAAAAGjwAAACRjNjQ2MGIzMi0wNzM3LTQzNWEtOGMxZi1jMTFhNDEwMDk5YzQGkAAAACVUYWJsZS5Bc3NldERpc3Bvc2FsUGFyYW1ldGVycy5BY2NvdW50CgoKCgEcAAAAFAAAAAmRAAAACZIAAAAJkwAAAAaUAAAADU9mZnNldEFjY291bnQGlQAAAA5PZmZzZXQgYWNjb3VudAaWAAAABlN0cmluZwknAAAABpgAAAAkYTM4MjFkZmMtNjVlMS00M2UwLWFlMWMtNmMyYWY4NDg1NDNhAWf////X/////////wgAAAABZv///9b///8AAAAAAWX////V////AgAAAAAAAAAAAWT////U////AAAAAAoBAAAAAAAAAAAIAAAAAAadAAAAJDY4NDQ4NjQ0LWJiMDUtNDllMi1iZmI0LTU1ZjgzNmRlNTkzYQaeAAAAK1RhYmxlLkFzc2V0RGlzcG9zYWxQYXJhbWV0ZXJzLk9mZnNldEFjY291bnQKCgoKBR8AAAA4R2xvYmVTb2Z0d2FyZS5BdGxhczQwLkF0bGFzQ29tbW9uQ2xpZW50LlJlcG9ydC5SZWZlcmVuY2UBAAAACl9yZWZlcmVuY2UHCB0AAAAJnwAAAAcgAAAAAAEAAAAEAAAABDxHbG9iZVNvZnR3YXJlLkF0bGFzNDAuQXRsYXNDb21tb25DbGllbnQuRGF0YVNvdXJjZUZpZWxkVmFsdWUdAAAACaAAAAANAw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h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BAAAACaIAAAAHAAAACaM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aQAAAAHAAAACaUAAAABLwAAACEAAAAJpgAAAAEAAAABAAAAATAAAAAiAAAAggAAAAmiAAAABwAAAAmoAAAAATEAAAAjAAAAfgAAAAmkAAAABwAAAAmqAAAAAT0AAAAhAAAACasAAAABAAAAAQAAAAE+AAAAIgAAAIIAAAAJogAAAAcAAAAJrQAAAAE/AAAAIwAAAH4AAAAJpAAAAAcAAAAJrwAAAAFLAAAAIQAAAAmwAAAAAQAAAAEAAAABTAAAACIAAACBAAAACaIAAAAHAAAACbIAAAABTQAAACMAAAB+AAAACaQAAAAHAAAACbQAAAABWQAAACEAAAAJtQAAAAEAAAABAAAAAVoAAAAiAAAAgwAAAAmiAAAABwAAAAm3AAAAAVsAAAAjAAAAfgAAAAmkAAAABwAAAAm5AAAAAWcAAAAhAAAACboAAAABAAAAAQAAAAFoAAAAIgAAAIIAAAAJogAAAAcAAAAJvAAAAAFpAAAAIwAAAH4AAAAJpAAAAAcAAAAJvgAAAAF1AAAAIQAAAAm/AAAAAQAAAAEAAAABdgAAACIAAACCAAAACaIAAAAHAAAACcEAAAABdwAAACMAAAB+AAAACaQAAAAHAAAACcMAAAABgwAAACEAAAAJxAAAAAEAAAABAAAAAYQAAAAiAAAAggAAAAmiAAAABwAAAAnGAAAAAYUAAAAjAAAAfgAAAAmkAAAABwAAAAnIAAAAAZEAAAAhAAAACckAAAABAAAAAQAAAAGSAAAAIgAAAIIAAAAJogAAAAcAAAAJywAAAAGTAAAAIwAAAH4AAAAJpAAAAAcAAAAJzQAAAA+fAAAAAQAAAAgBAAAABaAAAAA8R2xvYmVTb2Z0d2FyZS5BdGxhczQwLkF0bGFzQ29tbW9uQ2xpZW50LkRhdGFTb3VyY2VGaWVsZFZhbHVlBAAAABJfaXNEcmlsbERvd25GaWx0ZXIGX2RzS2V5Cl9maWVsZG5hbWULX2ZpZWxkVmFsdWUAAQEBAR0AAAAABs4AAAAdVGFibGUuQXNzZXREaXNwb3NhbFBhcmFtZXRlcnMGzwAAAApEYXRhQXJlYUlkCQYAAAAHoQAAAAABAAAABAAAAAQ3R2xvYmVTb2Z0d2FyZS5BdGxhczQwLkF0bGFzQ29tbW9uLlR5cGUuRmllbGRPdXRwdXRGaWVsZA4AAAAJ0QAAAA0DBKI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6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S3///8yR2xvYmVTb2Z0d2FyZS5BdGxhczQwLkF0bGFzQ29tbW9uLkNvbHVtbkF0dHJpYnV0ZXMBAAAAB3ZhbHVlX18ACA4AAAAJAAAACScAAAABK////y7///8BKv///y3///8LAAAABtcAAAABMAEo////Lv///wEn////Lf///wQAAAAG2gAAAAdHZW5lcmFsASX///8u////AST///8t////AgAAAAbdAAAAATEBIv///y7///8BIf///y3///8AAAAABuAAAAAFMTUuNzEBpAAAAAwAAAA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f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IAAAAIRm9udEJvbGQG4wAAAAVGYWxzZQEc////H////wblAAAACkZvbnRJdGFsaWMJ4wAAAAEZ////H////wboAAAADUZvbnRVbmRlcmxpbmUG6QAAAAUtNDE0MgEW////H////wbrAAAACEZvbnROYW1lBuwAAAAHQ2FsaWJyaQET////H////wbuAAAACUZvbnRDb2xvcgbvAAAAATABEP///x////8G8QAAAAhGb250U2l6ZQbyAAAAAjExAQ3///8f////BvQAAAAJRm9udFN0eWxlBvUAAAAHUmVndWxhcgemAAAAAAEAAAAEAAAABDdHbG9iZVNvZnR3YXJlLkF0bGFzNDAuQXRsYXNDb21tb24uVHlwZS5GaWVsZE91dHB1dEZpZWxkDgAAAAn2AAAADQMHq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n///8u////AQj///8t////EAAAAAb5AAAABE5vbmUBBv///y7///8BBf///y3///8JAAAACScAAAABA////y7///8BAv///y3///8LAAAABv8AAAABMQEA////Lv///wH//v//Lf///wQAAAAGAgEAAAdHZW5lcmFsAf3+//8u////Afz+//8t////AgAAAAYFAQAAATEB+v7//y7///8B+f7//y3///8AAAAABggBAAAFMTMuNTcHq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v//H////wniAAAACeMAAAAB9P7//x////8J5QAAAAnjAAAAAfH+//8f////CegAAAAGEQEAAAUtNDE0MgHu/v//H////wnrAAAABhQBAAAHQ2FsaWJyaQHr/v//H////wnuAAAABhcBAAABMAHo/v//H////wnxAAAABhoBAAACMTEB5f7//x////8J9AAAAAYdAQAAB1JlZ3VsYXIHqwAAAAABAAAABAAAAAQ3R2xvYmVTb2Z0d2FyZS5BdGxhczQwLkF0bGFzQ29tbW9uLlR5cGUuRmllbGRPdXRwdXRGaWVsZA4AAAAJHgEAAA0DB60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v//Lv///wHg/v//Lf///xAAAAAJ+QAAAAHe/v//Lv///wHd/v//Lf///wkAAAAJJwAAAAHb/v//Lv///wHa/v//Lf///wsAAAAGJwEAAAEyAdj+//8u////Adf+//8t////BAAAAAYqAQAAB0dlbmVyYWwB1f7//y7///8B1P7//y3///8CAAAABi0BAAABMQHS/v//Lv///wHR/v//Lf///wAAAAAGMAEAAAIxNwe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+//8f////CeIAAAAJ4wAAAAHM/v//H////wnlAAAACeMAAAAByf7//x////8J6AAAAAY5AQAABS00MTQyAcb+//8f////CesAAAAGPAEAAAdDYWxpYnJpAcP+//8f////Ce4AAAAGPwEAAAEwAcD+//8f////CfEAAAAGQgEAAAIxMQG9/v//H////wn0AAAABkUBAAAHUmVndWxhcgewAAAAAAEAAAAEAAAABDdHbG9iZVNvZnR3YXJlLkF0bGFzNDAuQXRsYXNDb21tb24uVHlwZS5GaWVsZE91dHB1dEZpZWxkDgAAAAlGAQAADQMHs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+//8u////Abj+//8t////CQAAAAknAAAAAbb+//8u////AbX+//8t////CwAAAAZMAQAAATMBs/7//y7///8Bsv7//y3///8EAAAABk8BAAAHR2VuZXJhbAGw/v//Lv///wGv/v//Lf///wIAAAAGUgEAAAExAa3+//8u////Aaz+//8t////AAAAAAZVAQAABTEzLjg2B7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7//x////8J4gAAAAnjAAAAAaf+//8f////CeUAAAAJ4wAAAAGk/v//H////wnoAAAABl4BAAAFLTQxNDIBof7//x////8J6wAAAAZhAQAAB0NhbGlicmkBnv7//x////8J7gAAAAZkAQAAATABm/7//x////8J8QAAAAZnAQAAAjExAZj+//8f////CfQAAAAGagEAAAdSZWd1bGFyB7UAAAAAAQAAAAQAAAAEN0dsb2JlU29mdHdhcmUuQXRsYXM0MC5BdGxhc0NvbW1vbi5UeXBlLkZpZWxkT3V0cHV0RmllbGQOAAAACWsBAAANAwe3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P7//y7///8Bk/7//y3///8GAAAABm4BAAAFVG90YWwBkf7//y7///8BkP7//y3///8QAAAACfkAAAABjv7//y7///8Bjf7//y3///8JAAAACScAAAABi/7//y7///8Biv7//y3///8LAAAABncBAAABNAGI/v//Lv///wGH/v//Lf///wQAAAAGegEAAAdHZW5lcmFsAYX+//8u////AYT+//8t////AgAAAAZ9AQAAATEBgv7//y7///8Bgf7//y3///8AAAAABoABAAAFMzQuNDMHu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H////wniAAAACeMAAAABfP7//x////8J5QAAAAnjAAAAAXn+//8f////CegAAAAGiQEAAAUtNDE0MgF2/v//H////wnrAAAABowBAAAHQ2FsaWJyaQFz/v//H////wnuAAAABo8BAAABMAFw/v//H////wnxAAAABpIBAAACMTEBbf7//x////8J9AAAAAaVAQAAB1JlZ3VsYXIHugAAAAABAAAABAAAAAQ3R2xvYmVTb2Z0d2FyZS5BdGxhczQwLkF0bGFzQ29tbW9uLlR5cGUuRmllbGRPdXRwdXRGaWVsZA4AAAAJlgEAAA0DB7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Lv///wFo/v//Lf///xAAAAAJ+QAAAAFm/v//Lv///wFl/v//Lf///wkAAAAJJwAAAAFj/v//Lv///wFi/v//Lf///wsAAAAGnwEAAAE1AWD+//8u////AV/+//8t////BAAAAAaiAQAAB0dlbmVyYWwBXf7//y7///8BXP7//y3///8CAAAABqUBAAABMQFa/v//Lv///wFZ/v//Lf///wAAAAAGqAEAAAUyMC4xNAe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+//8f////CeIAAAAJ4wAAAAFU/v//H////wnlAAAACeMAAAABUf7//x////8J6AAAAAaxAQAABS00MTQyAU7+//8f////CesAAAAGtAEAAAdDYWxpYnJpAUv+//8f////Ce4AAAAGtwEAAAEwAUj+//8f////CfEAAAAGugEAAAIxMQFF/v//H////wn0AAAABr0BAAAHUmVndWxhcge/AAAAAAEAAAAEAAAABDdHbG9iZVNvZnR3YXJlLkF0bGFzNDAuQXRsYXNDb21tb24uVHlwZS5GaWVsZE91dHB1dEZpZWxkDgAAAAm+AQAADQMHw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H+//8u////AUD+//8t////EAAAAAn5AAAAAT7+//8u////AT3+//8t////CQAAAAknAAAAATv+//8u////ATr+//8t////CwAAAAbHAQAAATYBOP7//y7///8BN/7//y3///8EAAAABsoBAAAHR2VuZXJhbAE1/v//Lv///wE0/v//Lf///wIAAAAGzQEAAAExATL+//8u////ATH+//8t////AAAAAAbQAQAABTIzLjQzB8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7//x////8J4gAAAAnjAAAAASz+//8f////CeUAAAAJ4wAAAAEp/v//H////wnoAAAABtkBAAAFLTQxNDIBJv7//x////8J6wAAAAbcAQAAB0NhbGlicmkBI/7//x////8J7gAAAAbfAQAAATABIP7//x////8J8QAAAAbiAQAAAjExAR3+//8f////CfQAAAAG5QEAAAdSZWd1bGFyB8QAAAAAAQAAAAQAAAAEN0dsb2JlU29mdHdhcmUuQXRsYXM0MC5BdGxhc0NvbW1vbi5UeXBlLkZpZWxkT3V0cHV0RmllbGQOAAAACeYBAAANAwf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7//y7///8BGP7//y3///8QAAAACfkAAAABFv7//y7///8BFf7//y3///8JAAAACScAAAABE/7//y7///8BEv7//y3///8LAAAABu8BAAABNwEQ/v//Lv///wEP/v//Lf///wQAAAAG8gEAAAdHZW5lcmFsAQ3+//8u////AQz+//8t////AgAAAAb1AQAAATEBCv7//y7///8BCf7//y3///8AAAAABvgBAAACMTY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H////wniAAAACeMAAAABBP7//x////8J5QAAAAnjAAAAAQH+//8f////CegAAAAGAQIAAAUtNDE0MgH+/f//H////wnrAAAABgQCAAAHQ2FsaWJyaQH7/f//H////wnuAAAABgcCAAABMAH4/f//H////wnxAAAABgoCAAACMTEB9f3//x////8J9AAAAAYNAgAAB1JlZ3VsYXIHyQAAAAABAAAABAAAAAQ3R2xvYmVTb2Z0d2FyZS5BdGxhczQwLkF0bGFzQ29tbW9uLlR5cGUuRmllbGRPdXRwdXRGaWVsZA4AAAAJDgIAAA0DB8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Lv///wHw/f//Lf///xAAAAAJ+QAAAAHu/f//Lv///wHt/f//Lf///wkAAAAJJwAAAAHr/f//Lv///wHq/f//Lf///wsAAAAGFwIAAAE4Aej9//8u////Aef9//8t////BAAAAAYaAgAAB0dlbmVyYWwB5f3//y7///8B5P3//y3///8CAAAABh0CAAABMQHi/f//Lv///wHh/f//Lf///wAAAAAGIAIAAAUxNS41Nwf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9//8f////CeIAAAAJ4wAAAAHc/f//H////wnlAAAACeMAAAAB2f3//x////8J6AAAAAYpAgAABS00MTQyAdb9//8f////CesAAAAGLAIAAAdDYWxpYnJpAdP9//8f////Ce4AAAAGLwIAAAMyNTUB0P3//x////8J8QAAAAYyAgAAAjExAc39//8f////CfQAAAAGNQIAAAdSZWd1bGFyBdE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cr9///X/////////wAGNwIAAAZTdHJpbmcGOAIAAA9Qb3N0aW5nIHByb2ZpbGUJOQIAAAHG/f//1f///wIAAAAFxf3//zlHbG9iZVNvZnR3YXJlLkF0bGFzNDAuQXRsYXNDb21tb24uTnVtYmVyU2VxdWVuY2VDb25kaXRpb24BAAAAB3ZhbHVlX18ACA4AAAABAAAAAAAGPAIAAB1UYWJsZS5Bc3NldERpc3Bvc2FsUGFyYW1ldGVycwkkAAAACScAAAAK/////wk8AgAACgkkAAAACgoKCScAAAAJQgIAAAknAAAAAfYAAADRAAAAAbz9///X/////////wAGRQIAAARFbnVtBkYCAAANU2FsZSBvciBzY3JhcAk5AgAAAbj9///V////AgAAAAG3/f//xf3//wEAAAAAAAk8AgAACTIAAAAJJwAAAAr/////CTwCAAAKCTIAAAAKCgoJJwAAAAlQAgAACScAAAABHgEAANEAAAABrv3//9f/////////AAZTAgAABEVudW0GVAIAABBTYWxlcyB2YWx1ZSB0eXBlCTkCAAABqv3//9X///8CAAAAAan9///F/f//AQAAAAAACTwCAAAJQAAAAAknAAAACv////8JPAIAAAoJQAAAAAoKCgknAAAACV4CAAAJJwAAAAFGAQAA0QAAAAGg/f//1/////////8ABmECAAAGU3RyaW5nBmICAAALVmFsdWUgbW9kZWwJOQIAAAGc/f//1f///wIAAAABm/3//8X9//8BAAAAAAAJPAIAAAlOAAAACScAAAAK/////wk8AgAACglOAAAACgoKCScAAAAJbAIAAAknAAAAAWsBAADRAAAAAZL9///X/////////wAGbwIAAARFbnVtBnACAAAJVmFsaWQgZm9yCTkCAAABjv3//9X///8CAAAAAY39///F/f//AQAAAAAACTwCAAAJXAAAAAknAAAACv////8JPAIAAAoJXAAAAAoKCgknAAAACXoCAAAJJwAAAAGWAQAA0QAAAAGE/f//1/////////8ABn0CAAAGU3RyaW5nBn4CAAAURml4ZWQgYXNzZXQgcmVsYXRpb24JOQIAAAGA/f//1f///wIAAAABf/3//8X9//8BAAAAAAAJPAIAAAlqAAAACScAAAAK/////wk8AgAACglqAAAACgoKCScAAAAJiAIAAAknAAAAAb4BAADRAAAAAXb9///X/////////wAGiwIAAARFbnVtBowCAAAKUG9zdCB2YWx1ZQk5AgAAAXL9///V////AgAAAAFx/f//xf3//wEAAAAAAAk8AgAACXgAAAAJJwAAAAr/////CTwCAAAKCXgAAAAKCgoJJwAAAAmWAgAACScAAAAB5gEAANEAAAABaP3//9f/////////AAaZAgAABlN0cmluZwaaAgAADkxlZGdlciBhY2NvdW50CTkCAAABZP3//9X///8CAAAAAWP9///F/f//AQAAAAAACTwCAAAJhgAAAAknAAAACv////8JPAIAAAoJhgAAAAoKCgknAAAACaQCAAAJJwAAAAEOAgAA0QAAAAFa/f//1/////////8ABqcCAAAGU3RyaW5nBqgCAAAOT2Zmc2V0IGFjY291bnQJOQIAAAFW/f//1f///wIAAAABVf3//8X9//8BAAAAAAAJPAIAAAmUAAAACScAAAAK/////wk8AgAACgmUAAAACgoKCScAAAAJsgIAAAknAAAABTk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IUEAAAGtAIAABdBc3NldERpc3Bvc2FsUGFyYW1ldGVycwa1AgAAE0Rpc3Bvc2FsIHBhcmFtZXRlcnMJJwAAAAknAAAACScAAAAFSf3//zBHbG9iZVNvZnR3YXJlLkF0bGFzNDAuQXRsYXNDb21tb24uRGF0YVNvdXJjZVR5cGUBAAAAB3ZhbHVlX18ACA4AAAAAAAAACbgCAAAJuQIAAARG/f//C1N5c3RlbS5HdWlkCwAAAAJfYQJfYgJfYwJfZAJfZQJfZgJfZwJfaAJfaQJfagJfawAAAAAAAAAAAAAACAcHAgICAgICAgJq/XZZ0/dHSpATerY7LO9PCScAAAAJJwAAAAm8AgAACTwCAAAKCgoKCgEAAAAFQv3//zRHbG9iZVNvZnR3YXJlLkF0bGFzNDAuQXRsYXNDb21tb24uRGF0YVNvdXJjZUpvaW5Nb2RlAQAAAAd2YWx1ZV9fAAgOAAAAAAAAAAVB/f//NUdsb2JlU29mdHdhcmUuQXRsYXM0MC5BdGxhc0NvbW1vbi5EYXRhU291cmNlRmV0Y2hNb2RlAQAAAAd2YWx1ZV9fAAgOAAAAAAAAAAAJwAIAAAFCAgAAIwAAAEYAAAAJpAAAAAMAAAAJwgIAAAFQAgAAIwAAAEkAAAAJpAAAAAMAAAAJxAIAAAFeAgAAIwAAAEkAAAAJpAAAAAMAAAAJxgIAAAFsAgAAIwAAAEYAAAAJpAAAAAMAAAAJyAIAAAF6AgAAIwAAAEkAAAAJpAAAAAMAAAAJygIAAAGIAgAAIwAAAEkAAAAJpAAAAAMAAAAJzAIAAAGWAgAAIwAAAEkAAAAJpAAAAAMAAAAJzgIAAAGkAgAAIwAAAEkAAAAJpAAAAAMAAAAJ0AIAAAGyAgAAIwAAAEkAAAAJpAAAAAMAAAAJ0gIAAAS4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nTAgAAEQAAAAnUAgAABLk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0wIAAAAAAAAEv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MCAAAAAAAABMA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dYCAAAAAAAAB8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x////8G2AIAAAVMYWJlbAk4AgAAASb9//8f////BtsCAAAEVHlwZQk3AgAAB8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3//x////8G3gIAAAhIZWxwVGV4dAbfAgAAKklzIHRoZSBmaXhlZCBhc3NldCB0byBiZSBzb2xkIG9yIHNjcmFwcGVkPwEg/f//H////wnYAgAACUYCAAABHf3//x////8J2wIAAAlFAgAAB8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x////8J3gIAAAboAgAANVBvc3QgdGhpcyBlbnRyeSBpZiBzYWxlIG1ha2VzIHByb2ZpdCwgbG9zcyBvciBlaXRoZXIuARf9//8f////CdgCAAAJVAIAAAEU/f//H////wnbAgAACVMCAAAHy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H////wnYAgAACWICAAABDv3//x////8J2wIAAAlhAgAAB8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3//x////8J3gIAAAb3AgAAG1N0YXRlbWVudCBzaG91bGQgYXBwbHkgZm9yPwEI/f//H////wnYAgAACXACAAABBf3//x////8J2wIAAAlvAgAAB8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x////8J3gIAAAYAAwAAI0ZpeGVkIGFzc2V0IG51bWJlciBvciBncm91cCBudW1iZXIuAf/8//8f////CdgCAAAJfgIAAAH8/P//H////wnbAgAACX0CAAAHz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/P//H////wneAgAABgkDAAAlVGhlIHZhbHVlIHRvIGJlIHBvc3RlZCBmb3IgdGhpcyBsaW5lLgH2/P//H////wnYAgAACYwCAAAB8/z//x////8J2wIAAAmLAgAAB9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z//x////8J3gIAAAYSAwAAJUFjY291bnQgbnVtYmVyIGZvciBwb3N0aW5nIGluIGxlZGdlci4B7fz//x////8J2AIAAAmaAgAAAer8//8f////CdsCAAAJmQIAAAf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8//8f////Cd4CAAAGGwMAACNPZmZzZXQgYWNjb3VudCBmb3IgdGhlIHRyYW5zYWN0aW9uLgHk/P//H////wnYAgAACagCAAAB4fz//x////8J2wIAAAmnAgAAAdMCAAAMAAAAB9Q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78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iMDAAAnVGFibGUuQXNzZXREaXNwb3NhbFBhcmFtZXRlcnMuQXNzZXRDb2RlCWsBAAAB2/z//978//8GJgMAACdUYWJsZS5Bc3NldERpc3Bvc2FsUGFyYW1ldGVycy5Tb2xkU2NyYXAJ9gAAAAHY/P//3vz//wYpAwAAJ1RhYmxlLkFzc2V0RGlzcG9zYWxQYXJhbWV0ZXJzLlBvc3RWYWx1ZQm+AQAAAdX8///e/P//BiwDAAArVGFibGUuQXNzZXREaXNwb3NhbFBhcmFtZXRlcnMuT2Zmc2V0QWNjb3VudAkOAgAAAdL8///e/P//Bi8DAAArVGFibGUuQXNzZXREaXNwb3NhbFBhcmFtZXRlcnMuQXNzZXRSZWxhdGlvbgmWAQAAAc/8///e/P//BjIDAAAnVGFibGUuQXNzZXREaXNwb3NhbFBhcmFtZXRlcnMuVmFsdWVUeXBlCR4BAAABzPz//978//8GNQMAACVUYWJsZS5Bc3NldERpc3Bvc2FsUGFyYW1ldGVycy5BY2NvdW50CeYBAAAByfz//978//8GOAMAACxUYWJsZS5Bc3NldERpc3Bvc2FsUGFyYW1ldGVycy5Qb3N0aW5nUHJvZmlsZQnRAAAAAcb8///e/P//BjsDAAAkVGFibGUuQXNzZXREaXNwb3NhbFBhcmFtZXRlcnMuQm9va0lkCUYBAAAE1g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28.xml><?xml version="1.0" encoding="utf-8"?>
<Atlas>
  <Query type="ReportList" id="d3dda443-903d-4fb2-a57a-c9ec01d1737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RSW52ZW50Sm91cm5hbE5hbWUGHgAAABdJbnZlbnRvcnkgam91cm5hbCBuYW1lcwkIAAAACQgAAAAJCAAAAAXg////MEdsb2JlU29mdHdhcmUuQXRsYXM0MC5BdGxhc0NvbW1vbi5EYXRhU291cmNlVHlwZQEAAAAHdmFsdWVfXwAIAgAAAAAAAAAJIQAAAAkiAAAABN3///8LU3lzdGVtLkd1aWQLAAAAAl9hAl9iAl9jAl9kAl9lAl9mAl9nAl9oAl9pAl9qAl9rAAAAAAAAAAAAAAAIBwcCAgICAgICArCd6jxlP+dKqKGDwvnlLB0JCAAAAAkIAAAACSUAAAAGJgAAABdUYWJsZS5JbnZlbnRKb3VybmFsTmFt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OQXRsYXNSZXBvcnRfMTM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L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r///8+R2xvYmVTb2Z0d2FyZS5BdGxhczQwLkF0bGFzQ29tbW9uLlR5cGUuQXRsYXNRdWVyeUF0dHJpYnV0ZU5hbWUBAAAAB3ZhbHVlX18ACAIAAAACAAAABjcAAAAkZDNkZGE0NDMtOTAzZC00ZmIyLWE1N2EtYzllYzAxZDE3Mzc0Acj////L////Acf////K////AAAAAAY6AAAABHRydWUBxf///8v///8BxP///8r///8LAAAABj0AAAAXSW52ZW50b3J5IGpvdXJuYWwgbmFtZXMBwv///8v///8Bwf///8r///8bAAAABkAAAAAEVHJ1ZQG/////y////wG+////yv///wYAAAAGQwAAAAVGYWxzZQG8////y////wG7////yv///xwAAAAJQAAAAAG5////y////wG4////yv///x0AAAAJQwAAAAG2////y////wG1////yv///yoAAAAJQAAAAAGz////y////wGy////yv///wEAAAAGTwAAAAMzNzEBsP///8v///8Br////8r///8nAAAABlIAAAALPURhdGFBcmVhSWQBrf///8v///8BrP///8r///8ZAAAABlUAAAAPQ2VsbHNWZXJ0aWNhbGx5Aar////L////Aan////K////CQAAAAoBqP///8v///8Bp////8r///8oAAAABloAAAABMwGl////y////wGk////yv///ysAAAAGX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fAAAAEUludmVudEpvdXJuYWxOYW1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Yw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Q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mAAAACWcAAAAJaAAAAAZpAAAADUpvdXJuYWxOYW1lSWQGagAAAAROYW1lBmsAAAAGU3RyaW5nCQgAAAAGbQAAACQ4YTM1NTBmOS1hNTVlLTQ4NjctYTA4Ni1mMmZiNTVkZGFhZjQFkv///y1HbG9iZVNvZnR3YXJlLkF0bGFzNDAuQXRsYXNDb21tb24uQWdncmVnYXRpb24BAAAAB3ZhbHVlX18ACAIAAAD/////AAAAAAWR////LEdsb2JlU29mdHdhcmUuQXRsYXM0MC5BdGxhc0NvbW1vbi5Db2x1bW5UeXBlAQAAAAd2YWx1ZV9fAAgCAAAAAAAAAAWQ////K0dsb2JlU29mdHdhcmUuQXRsYXM0MC5BdGxhc0NvbW1vbi5Tb3J0T3JkZXIBAAAAB3ZhbHVlX18ACAIAAAACAAAAAAAAAAAFj////0BHbG9iZVNvZnR3YXJlLkF0bGFzNDAuQXRsYXNDb21tb24uVHlwZS5Db2x1bW4rQ3Jvc3NUYWJDb2x1bW5UeXBlAQAAAAd2YWx1ZV9fAAgCAAAAAAAAAAoBAAAAAAAAAAAAAAAAAAZyAAAAJGFlZmNkY2RkLWUzYzMtNDgyZS1iN2E2LTNkNTAwZWVhZTYwMQZzAAAAJVRhYmxlLkludmVudEpvdXJuYWxOYW1lLkpvdXJuYWxOYW1lSWQKCgoKATAAAAAvAAAACXQAAAAJdQAAAAl2AAAABncAAAALRGVzY3JpcHRpb24GeAAAAAtEZXNjcmlwdGlvbgZ5AAAABlN0cmluZwkIAAAABnsAAAAkZTY5ZjUyMjktMWQxMi00Mjk0LTllODktMzFlNjc3OWE2MDE5AYT///+S/////////wEAAAABg////5H///8AAAAAAYL///+Q////AgAAAAAAAAAAAYH///+P////AAAAAAoBAAAAAAAAAAABAAAAAAaAAAAAJDlhYzJhZDc2LWIwZmUtNDA4MC1iMDc0LTFmMGY3MTcxMDA2OAaBAAAAI1RhYmxlLkludmVudEpvdXJuYWxOYW1lLkRlc2NyaXB0aW9uCgoKCgExAAAALwAAAAmCAAAACYMAAAAJhAAAAAaFAAAAFUxlZGdlckFjY291bnRJZE9mZnNldAaGAAAADk9mZnNldCBhY2NvdW50BocAAAAGU3RyaW5nCQgAAAAGiQAAACRiNmJkNTg5OS00N2Q5LTQxN2QtYTBmMS0wZDVhYmUwMTdlOWYBdv///5L/////////AgAAAAF1////kf///wAAAAABdP///5D///8CAAAAAAAAAAABc////4////8AAAAACgEAAAAAAAAAAAIAAAAABo4AAAAkMGMzOGY1ZGEtMWU1Yy00NDhhLTg4NTQtNDg4NWQ2MTlhNTEyBo8AAAAtVGFibGUuSW52ZW50Sm91cm5hbE5hbWUuTGVkZ2VyQWNjb3VudElkT2Zmc2V0CgoKCgFgAAAAEgAAAAdh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w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RAAAAJVRhYmxlLkludmVudEpvdXJuYWxOYW1lLkpvdXJuYWxOYW1lSWQJkgAAAAFt////cP///waUAAAAI1RhYmxlLkludmVudEpvdXJuYWxOYW1lLkRlc2NyaXB0aW9uCZUAAAABav///3D///8GlwAAAC1UYWJsZS5JbnZlbnRKb3VybmFsTmFtZS5MZWRnZXJBY2NvdW50SWRPZmZzZXQJmAAAAAdj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Z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aAAAALVRhYmxlLkludmVudEpvdXJuYWxOYW1lLkxlZGdlckFjY291bnRJZE9mZnNldAmbAAAABGU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m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cAAAAAQAAAAEAAAAEZ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nAAAACZ0AAAAHAAAACZ4AAAAEa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Z8AAAAHAAAACaAAAAABdAAAAGYAAAAJoQAAAAEAAAABAAAAAXUAAABnAAAAZgAAAAmdAAAABwAAAAmjAAAABH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fAAAABwAAAAmlAAAAAYIAAABmAAAACaYAAAABAAAAAQAAAAGDAAAAZwAAAGUAAAAJnQAAAAcAAAAJqAAAAAS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nwAAAAcAAAAJqgAAAAWS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V////kv////////8ABqwAAAAGU3RyaW5nBq0AAAAETmFtZQmuAAAAAVH///+Q////AgAAAAVQ////OUdsb2JlU29mdHdhcmUuQXRsYXM0MC5BdGxhc0NvbW1vbi5OdW1iZXJTZXF1ZW5jZUNvbmRpdGlvbgEAAAAHdmFsdWVfXwAIAgAAAAEAAAAAAAaxAAAAF1RhYmxlLkludmVudEpvdXJuYWxOYW1lCWkAAAAJCAAAAAr/////CbEAAAAKCWkAAAAKCgoJCAAAAAm3AAAACQgAAAABlQAAAJIAAAABR////5L/////////AAa6AAAABlN0cmluZwa7AAAAC0Rlc2NyaXB0aW9uCa4AAAABQ////5D///8CAAAAAUL///9Q////AQAAAAAACbEAAAAJdwAAAAkIAAAACv////8JsQAAAAoJdwAAAAoKCgkIAAAACcUAAAAJCAAAAAGYAAAAkgAAAAE5////kv////////8ABsgAAAAGU3RyaW5nBskAAAAOT2Zmc2V0IGFjY291bnQJrgAAAAE1////kP///wIAAAABNP///1D///8BAAAAAAAJsQAAAAmFAAAACQgAAAAK/////wmxAAAACgmFAAAACgoKCQgAAAAJ0wAAAAkIAAAABZs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mxAAAABtYAAAAVTGVkZ2VyQWNjb3VudElkT2Zmc2V0CQgAAAAG2AAAAAMhIiL/////CbEAAAAKCdYAAAAKCgoJCAAAAAncAAAACQgAAAAHnAAAAAABAAAABAAAAAQ3R2xvYmVTb2Z0d2FyZS5BdGxhczQwLkF0bGFzQ29tbW9uLlR5cGUuRmllbGRPdXRwdXRGaWVsZAIAAAAJkgAAAA0DBJ0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54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h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D///8yR2xvYmVTb2Z0d2FyZS5BdGxhczQwLkF0bGFzQ29tbW9uLkNvbHVtbkF0dHJpYnV0ZXMBAAAAB3ZhbHVlX18ACAIAAAAGAAAABuEAAAAFVG90YWwBHv///yH///8BHf///yD///8QAAAABuQAAAAETm9uZQEb////If///wEa////IP///wkAAAAJCAAAAAEY////If///wEX////IP///wsAAAAG6gAAAAEwARX///8h////ART///8g////BAAAAAbtAAAAB0dlbmVyYWwBEv///yH///8BEf///yD///8CAAAABvAAAAABMQEP////If///wEO////IP///wAAAAAG8wAAAAU0MC41NwGfAAAAEgAAAA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Az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9QAAAAhGb250Qm9sZAb2AAAABUZhbHNlAQn///8M////BvgAAAAKRm9udEl0YWxpYwn2AAAAAQb///8M////BvsAAAANRm9udFVuZGVybGluZQb8AAAABS00MTQyAQP///8M////Bv4AAAAIRm9udE5hbWUG/wAAAAdDYWxpYnJpAQD///8M////BgEBAAAJRm9udENvbG9yBgIBAAABMAH9/v//DP///wYEAQAACEZvbnRTaXplBgUBAAACMTEB+v7//wz///8GBwEAAAlGb250U3R5bGUGCAEAAAdSZWd1bGFyB6EAAAAAAQAAAAQAAAAEN0dsb2JlU29mdHdhcmUuQXRsYXM0MC5BdGxhc0NvbW1vbi5UeXBlLkZpZWxkT3V0cHV0RmllbGQCAAAACZUAAAANAw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7//yH///8B9f7//yD///8QAAAACeQAAAAB8/7//yH///8B8v7//yD///8JAAAACQgAAAAB8P7//yH///8B7/7//yD///8LAAAABhIBAAABMQHt/v//If///wHs/v//IP///wQAAAAGFQEAAAdHZW5lcmFsAer+//8h////Aen+//8g////AgAAAAYYAQAAATEB5/7//yH///8B5v7//yD///8AAAAABhsBAAACMzA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v//DP///wn1AAAACfYAAAAB4f7//wz///8J+AAAAAn2AAAAAd7+//8M////CfsAAAAGJAEAAAUtNDE0MgHb/v//DP///wn+AAAABicBAAAHQ2FsaWJyaQHY/v//DP///wkBAQAABioBAAABMAHV/v//DP///wkEAQAABi0BAAACMTEB0v7//wz///8JBwEAAAYwAQAAB1JlZ3VsYXIHpgAAAAABAAAABAAAAAQ3R2xvYmVTb2Z0d2FyZS5BdGxhczQwLkF0bGFzQ29tbW9uLlR5cGUuRmllbGRPdXRwdXRGaWVsZAIAAAAJmAAAAA0DB6g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v//If///wHN/v//IP///wkAAAAJCAAAAAHL/v//If///wHK/v//IP///wsAAAAGNwEAAAEyAcj+//8h////Acf+//8g////BAAAAAY6AQAAB0dlbmVyYWwBxf7//yH///8BxP7//yD///8CAAAABj0BAAABMQHC/v//If///wHB/v//IP///wAAAAAGQAEAAAUxNS41Nwe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+//8M////CfUAAAAJ9gAAAAG8/v//DP///wn4AAAACfYAAAABuf7//wz///8J+wAAAAZJAQAABS00MTQyAbb+//8M////Cf4AAAAGTAEAAAdDYWxpYnJpAbP+//8M////CQEBAAAGTwEAAAMyNTUBsP7//wz///8JBAEAAAZSAQAAAjExAa3+//8M////CQcBAAAGVQEAAAdSZWd1bGFyAa4AAAAOAAAAmQAAAAZWAQAAEUludmVudEpvdXJuYWxOYW1lBlcBAAAXSW52ZW50b3J5IGpvdXJuYWwgbmFtZXMJCAAAAAkIAAAACQgAAAABp/7//+D///8AAAAACVoBAAAJWwEAAAGk/v//3f///40+NkZI4EBDuFJ/Bm9zcrEJCAAAAAkIAAAACV4BAAAJsQAAAAoKCgoKAQAAAAGg/v//2f///wAAAAABn/7//9j///8AAAAAAAliAQAABL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mfAAAAAwAAAAlk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mfAAAAAwAAAAlm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AAAAmfAAAAAwAAAAloAQAABN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AAAAAmfAAAAAwAAAAlqAQAAAVoBAAAhAAAABQAAAAlrAQAABwAAAAlsAQAAAVsBAAAiAAAABQAAAAlrAQAABwAAAAluAQAABF4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rAQAAAAAAAAFiAQAAKQAAAAAAAAAJcAEAAAAAAAAHZ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v//DP///wZyAQAACEhlbHBUZXh0BnMBAAAjSWRlbnRpZmljYXRpb24gb2YgdGhlIGpvdXJuYWwgbmFtZS4BjP7//wz///8GdQEAAAVMYWJlbAmtAAAAAYn+//8M////BngBAAAEVHlwZQmsAAAAB2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7//wz///8JcgEAAAZ8AQAAG0Rlc2NyaXB0aW9uIG9mIHRoZSBqb3VybmFsLgGD/v//DP///wl1AQAACbsAAAABgP7//wz///8JeAEAAAm6AAAAB2g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7//wz///8JdQEAAAnJAAAAAXr+//8M////CXgBAAAJyAAAAAdq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+//8M////CXgBAAAJyAAAAAF0/v//DP///wl1AQAACckAAAABawEAABIAAAAHb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f7//3D///8GkAEAACVUYWJsZS5JbnZlbnRKb3VybmFsTmFtZS5Kb3VybmFsTmFtZUlkCZIAAAABbv7//3D///8GkwEAACNUYWJsZS5JbnZlbnRKb3VybmFsTmFtZS5EZXNjcmlwdGlvbgmVAAAAAWv+//9w////BpYBAAAtVGFibGUuSW52ZW50Sm91cm5hbE5hbWUuTGVkZ2VyQWNjb3VudElkT2Zmc2V0CZgAAAAHbgE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j+//9n////BpkBAAAiVGFibGUuSW52ZW50Sm91cm5hbE5hbWUuRGF0YUFyZWFJZAmaAQAAAWX+//9n////BpwBAAAjVGFibGUuSW52ZW50Sm91cm5hbE5hbWUuRGVzY3JpcHRpb24JnQEAAAFi/v//Z////wafAQAAJVRhYmxlLkludmVudEpvdXJuYWxOYW1lLkpvdXJuYWxOYW1lSWQJoAEAAAFf/v//Z////waiAQAALVRhYmxlLkludmVudEpvdXJuYWxOYW1lLkxlZGdlckFjY291bnRJZE9mZnNldAmjAQAAAVz+//9n////BqUBAAAkVGFibGUuSW52ZW50Sm91cm5hbE5hbWUuVm91Y2hlclNlcUlkCaYBAAABcAEAAGUAAAABmgEAAJsAAAAJsQAAAAaoAQAACkRhdGFBcmVhSWQJCAAAAAkIAAAA/////wmxAAAACgmoAQAACgoKCQgAAAAJrQEAAAkIAAAAAZ0BAACbAAAACbEAAAAGsAEAAAtEZXNjcmlwdGlvbgkIAAAACQgAAAD/////CbEAAAAKCbABAAAKCgoJCAAAAAm1AQAACQgAAAABoAEAAJsAAAAJsQAAAAa4AQAADUpvdXJuYWxOYW1lSWQJCAAAAAkIAAAA/////wmxAAAACgm4AQAACgoKCQgAAAAJvQEAAAkIAAAAAaMBAACbAAAACbEAAAAJ1gAAAAkIAAAACQgAAAD/////CbEAAAAKCdYAAAAKCgoJCAAAAAnFAQAACQgAAAABpgEAAJsAAAAJsQAAAAbIAQAADFZvdWNoZXJTZXFJZAkIAAAACQgAAAD/////CbEAAAAKCcgBAAAKCgoJCAAAAAnNAQAACQgAAAABrQEAABAAAAAAAAAACZ8AAAAAAAAAAbUBAAAQAAAAAAAAAAmfAAAAAAAAAAG9AQAAEAAAAAAAAAAJnwAAAAAAAAABxQEAABAAAAAAAAAACZ8AAAAAAAAAAc0BAAAQAAAAAAAAAAmfAAAAAAAAAAs=
    <Output>
      <OutputObject name="AtlasReport_13"/>
    </Output>
  </Query>
</Atlas>
</file>

<file path=customXml/item29.xml><?xml version="1.0" encoding="utf-8"?>
<Atlas>
  <Report name="AtlasReport_1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QAAAAkDAAAACQQAAAAGBQAAAA5BdGxhc1JlcG9ydF8xMw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AwAAAAM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BAAAAAQtR2xvYmVTb2Z0d2FyZS5BdGxhczQwLkF0bGFzQ29tbW9uLlR5cGUuQ29sdW1uDgAAAAkUAAAACRUAAAAJFgAAAAoMFw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XAAAACAIAAAAGGAAAABZBdGxhc1JlcG9ydF8xM19UYWJsZV8xCRk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cAAAAICAka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wAAAAkcAAAACR0AAAAGHgAAAA1Kb3VybmFsTmFtZUlkBh8AAAAETmFtZQYgAAAABlN0cmluZwYhAAAAAAYiAAAAJDhhMzU1MGY5LWE1NWUtNDg2Ny1hMDg2LWYyZmI1NWRkYWFmN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YWVmY2RjZGQtZTNjMy00ODJlLWI3YTYtM2Q1MDBlZWFlNjAxBigAAAAlVGFibGUuSW52ZW50Sm91cm5hbE5hbWUuSm91cm5hbE5hbWVJZAoKCgoBFQAAABQAAAAJKQAAAAkqAAAACSsAAAAGLAAAAAtEZXNjcmlwdGlvbgYtAAAAC0Rlc2NyaXB0aW9uBi4AAAAGU3RyaW5nCSEAAAAGMAAAACRlNjlmNTIyOS0xZDEyLTQyOTQtOWU4OS0zMWU2Nzc5YTYwMTkBz////93/////////AQAAAAHO////3P///wAAAAABzf///9v///8CAAAAAAAAAAABzP///9r///8AAAAACgEAAAAAAAAAAAEAAAAABjUAAAAkOWFjMmFkNzYtYjBmZS00MDgwLWIwNzQtMWYwZjcxNzEwMDY4BjYAAAAjVGFibGUuSW52ZW50Sm91cm5hbE5hbWUuRGVzY3JpcHRpb24KCgoKARYAAAAUAAAACTcAAAAJOAAAAAk5AAAABjoAAAAVTGVkZ2VyQWNjb3VudElkT2Zmc2V0BjsAAAAOT2Zmc2V0IGFjY291bnQGPAAAAAZTdHJpbmcJIQAAAAY+AAAAJGI2YmQ1ODk5LTQ3ZDktNDE3ZC1hMGYxLTBkNWFiZTAxN2U5ZgHB////3f////////8CAAAAAcD////c////AAAAAAG/////2////wIAAAAAAAAAAAG+////2v///wAAAAAKAQAAAAAAAAAAAgAAAAAGQwAAACQwYzM4ZjVkYS0xZTVjLTQ0OGEtODg1NC00ODg1ZDYxOWE1MTIGRAAAAC1UYWJsZS5JbnZlbnRKb3VybmFsTmFtZS5MZWRnZXJBY2NvdW50SWRPZmZzZXQKCgoKBRkAAAA4R2xvYmVTb2Z0d2FyZS5BdGxhczQwLkF0bGFzQ29tbW9uQ2xpZW50LlJlcG9ydC5SZWZlcmVuY2UBAAAACl9yZWZlcmVuY2UHCBcAAAAJRQAAAAcaAAAAAAEAAAAEAAAABDxHbG9iZVNvZnR3YXJlLkF0bGFzNDAuQXRsYXNDb21tb25DbGllbnQuRGF0YVNvdXJjZUZpZWxkVmFsdWUXAAAACUYAAAAJRwAAAA0CBB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UgAAAABAAAAAQAAAAQc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cAAAAJSQAAAAcAAAAJSgAAAAQ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SwAAAAcAAAAJTAAAAAEpAAAAGwAAAAlNAAAAAQAAAAEAAAABKgAAABwAAABmAAAACUkAAAAHAAAACU8AAAABKwAAAB0AAABiAAAACUsAAAAHAAAACVEAAAABNwAAABsAAAAJUgAAAAEAAAABAAAAATgAAAAcAAAAZQAAAAlJAAAABwAAAAlUAAAAATkAAAAdAAAAYgAAAAlLAAAABwAAAAlWAAAAD0UAAAABAAAACAEAAAAFRgAAADxHbG9iZVNvZnR3YXJlLkF0bGFzNDAuQXRsYXNDb21tb25DbGllbnQuRGF0YVNvdXJjZUZpZWxkVmFsdWUEAAAAEl9pc0RyaWxsRG93bkZpbHRlcgZfZHNLZXkKX2ZpZWxkbmFtZQtfZmllbGRWYWx1ZQABAQEBFwAAAAAGVwAAABdUYWJsZS5JbnZlbnRKb3VybmFsTmFtZQZYAAAACkRhdGFBcmVhSWQJBgAAAAFHAAAARgAAAAAJVwAAAAZbAAAAFUxlZGdlckFjY291bnRJZE9mZnNldAZcAAAAAyEiIgdIAAAAAAEAAAAEAAAABDdHbG9iZVNvZnR3YXJlLkF0bGFzNDAuQXRsYXNDb21tb24uVHlwZS5GaWVsZE91dHB1dEZpZWxkDgAAAAldAAAADQMES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of///zJHbG9iZVNvZnR3YXJlLkF0bGFzNDAuQXRsYXNDb21tb24uQ29sdW1uQXR0cmlidXRlcwEAAAAHdmFsdWVfXwAIDgAAAAYAAAAGYAAAAAVUb3RhbAGf////ov///wGe////of///xAAAAAGYwAAAAROb25lAZz///+i////AZv///+h////CQAAAAkhAAAAAZn///+i////AZj///+h////CwAAAAZpAAAAATABlv///6L///8Blf///6H///8EAAAABmwAAAAHR2VuZXJhbAGT////ov///wGS////of///wIAAAAGbwAAAAExAZD///+i////AY////+h////AAAAAAZyAAAABTQwLjU3AUsAAAAMAAAAB0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j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0AAAACEZvbnRCb2xkBnUAAAAFRmFsc2UBiv///43///8GdwAAAApGb250SXRhbGljCXUAAAABh////43///8GegAAAA1Gb250VW5kZXJsaW5lBnsAAAAFLTQxNDIBhP///43///8GfQAAAAhGb250TmFtZQZ+AAAAB0NhbGlicmkBgf///43///8GgAAAAAlGb250Q29sb3IGgQAAAAEwAX7///+N////BoMAAAAIRm9udFNpemUGhAAAAAIxMQF7////jf///waGAAAACUZvbnRTdHlsZQaHAAAAB1JlZ3VsYXIHTQAAAAABAAAABAAAAAQ3R2xvYmVTb2Z0d2FyZS5BdGxhczQwLkF0bGFzQ29tbW9uLlR5cGUuRmllbGRPdXRwdXRGaWVsZA4AAAAJiAAAAA0DB08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3////ov///wF2////of///xAAAAAJYwAAAAF0////ov///wFz////of///wkAAAAJIQAAAAFx////ov///wFw////of///wsAAAAGkQAAAAExAW7///+i////AW3///+h////BAAAAAaUAAAAB0dlbmVyYWwBa////6L///8Bav///6H///8CAAAABpcAAAABMQFo////ov///wFn////of///wAAAAAGmgAAAAIzMAd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///+N////CXQAAAAJdQAAAAFi////jf///wl3AAAACXUAAAABX////43///8JegAAAAajAAAABS00MTQyAVz///+N////CX0AAAAGpgAAAAdDYWxpYnJpAVn///+N////CYAAAAAGqQAAAAEwAVb///+N////CYMAAAAGrAAAAAIxMQFT////jf///wmGAAAABq8AAAAHUmVndWxhcgdSAAAAAAEAAAAEAAAABDdHbG9iZVNvZnR3YXJlLkF0bGFzNDAuQXRsYXNDb21tb24uVHlwZS5GaWVsZE91dHB1dEZpZWxkDgAAAAmwAAAADQMHV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////+i////AU7///+h////CQAAAAkhAAAAAUz///+i////AUv///+h////CwAAAAa2AAAAATIBSf///6L///8BSP///6H///8EAAAABrkAAAAHR2VuZXJhbAFG////ov///wFF////of///wIAAAAGvAAAAAExAUP///+i////AUL///+h////AAAAAAa/AAAABTE1LjU3B1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///43///8JdAAAAAl1AAAAAT3///+N////CXcAAAAJdQAAAAE6////jf///wl6AAAABsgAAAAFLTQxNDIBN////43///8JfQAAAAbLAAAAB0NhbGlicmkBNP///43///8JgAAAAAbOAAAAAzI1NQEx////jf///wmDAAAABtEAAAACMTEBLv///43///8JhgAAAAbUAAAAB1JlZ3VsYXIFX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K////93/////////AAbWAAAABlN0cmluZwbXAAAABE5hbWUJ2AAAAAEn////2////wIAAAAFJv///zlHbG9iZVNvZnR3YXJlLkF0bGFzNDAuQXRsYXNDb21tb24uTnVtYmVyU2VxdWVuY2VDb25kaXRpb24BAAAAB3ZhbHVlX18ACA4AAAABAAAAAAAG2wAAABdUYWJsZS5JbnZlbnRKb3VybmFsTmFtZQkeAAAACSEAAAAK/////wnbAAAACgkeAAAACgoKCSEAAAAJ4QAAAAkhAAAAAYgAAABdAAAAAR3////d/////////wAG5AAAAAZTdHJpbmcG5QAAAAtEZXNjcmlwdGlvbgnYAAAAARn////b////AgAAAAEY////Jv///wEAAAAAAAnbAAAACSwAAAAJIQAAAAr/////CdsAAAAKCSwAAAAKCgoJIQAAAAnvAAAACSEAAAABsAAAAF0AAAABD////93/////////AAbyAAAABlN0cmluZwbzAAAADk9mZnNldCBhY2NvdW50CdgAAAABC////9v///8CAAAAAQr///8m////AQAAAAAACdsAAAAJOgAAAAkhAAAACv////8J2wAAAAoJOgAAAAoKCgkhAAAACf0AAAAJIQAAAAXY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ZAAAABv8AAAARSW52ZW50Sm91cm5hbE5hbWUGAAEAABdJbnZlbnRvcnkgam91cm5hbCBuYW1lcwkhAAAACSEAAAAJIQAAAAX+/v//MEdsb2JlU29mdHdhcmUuQXRsYXM0MC5BdGxhc0NvbW1vbi5EYXRhU291cmNlVHlwZQEAAAAHdmFsdWVfXwAIDgAAAAAAAAAJAwEAAAkEAQAABPv+//8LU3lzdGVtLkd1aWQLAAAAAl9hAl9iAl9jAl9kAl9lAl9mAl9nAl9oAl9pAl9qAl9rAAAAAAAAAAAAAAAIBwcCAgICAgICAo0+NkZI4EBDuFJ/Bm9zcrEJIQAAAAkhAAAACQcBAAAJ2wAAAAoKCgoKAQAAAAX3/v//NEdsb2JlU29mdHdhcmUuQXRsYXM0MC5BdGxhc0NvbW1vbi5EYXRhU291cmNlSm9pbk1vZGUBAAAAB3ZhbHVlX18ACA4AAAAAAAAABfb+//81R2xvYmVTb2Z0d2FyZS5BdGxhczQwLkF0bGFzQ29tbW9uLkRhdGFTb3VyY2VGZXRjaE1vZGUBAAAAB3ZhbHVlX18ACA4AAAAAAAAAAAkLAQAAAeEAAAAdAAAAMQAAAAlLAAAAAwAAAAkNAQAAAe8AAAAdAAAAMQAAAAlLAAAAAwAAAAkPAQAAAf0AAAAdAAAALgAAAAlLAAAAAwAAAAkRAQAABAM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RIBAAAHAAAACRMBAAAEB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kSAQAABwAAAAkVAQAABAc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QAAAAAAAAQL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XAQAAAAAAAAcN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+//+N////BhkBAAAISGVscFRleHQGGgEAACNJZGVudGlmaWNhdGlvbiBvZiB0aGUgam91cm5hbCBuYW1lLgHl/v//jf///wYcAQAABUxhYmVsCdcAAAAB4v7//43///8GHwEAAARUeXBlCdYAAAAHD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jf///wkZAQAABiMBAAAbRGVzY3JpcHRpb24gb2YgdGhlIGpvdXJuYWwuAdz+//+N////CRwBAAAJ5QAAAAHZ/v//jf///wkfAQAACeQAAAAHE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v//jf///wkcAQAACfMAAAAB0/7//43///8JHwEAAAnyAAAAARIBAAAMAAAABxM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EBAAAlVGFibGUuSW52ZW50Sm91cm5hbE5hbWUuSm91cm5hbE5hbWVJZAldAAAAAc3+///Q/v//BjQBAAAjVGFibGUuSW52ZW50Sm91cm5hbE5hbWUuRGVzY3JpcHRpb24JiAAAAAHK/v//0P7//wY3AQAALVRhYmxlLkludmVudEpvdXJuYWxOYW1lLkxlZGdlckFjY291bnRJZE9mZnNldAmwAAAABxUB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H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joBAAAiVGFibGUuSW52ZW50Sm91cm5hbE5hbWUuRGF0YUFyZWFJZAk7AQAAAcT+///H/v//Bj0BAAAjVGFibGUuSW52ZW50Sm91cm5hbE5hbWUuRGVzY3JpcHRpb24JPgEAAAHB/v//x/7//wZAAQAAJVRhYmxlLkludmVudEpvdXJuYWxOYW1lLkpvdXJuYWxOYW1lSWQJQQEAAAG+/v//x/7//wZDAQAALVRhYmxlLkludmVudEpvdXJuYWxOYW1lLkxlZGdlckFjY291bnRJZE9mZnNldAlEAQAAAbv+///H/v//BkYBAAAkVGFibGUuSW52ZW50Sm91cm5hbE5hbWUuVm91Y2hlclNlcUlkCUcBAAAEFw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Ts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bAAAABkkBAAAKRGF0YUFyZWFJZAkhAAAACSEAAAD/////CdsAAAAKCUkBAAAKCgoJIQAAAAlOAQAACSEAAAABPgEAADsBAAAJ2wAAAAZRAQAAC0Rlc2NyaXB0aW9uCSEAAAAJIQAAAP////8J2wAAAAoJUQEAAAoKCgkhAAAACVYBAAAJIQAAAAFBAQAAOwEAAAnbAAAABlkBAAANSm91cm5hbE5hbWVJZAkhAAAACSEAAAD/////CdsAAAAKCVkBAAAKCgoJIQAAAAleAQAACSEAAAABRAEAADsBAAAJ2wAAAAlbAAAACSEAAAAJIQAAAP////8J2wAAAAoJWwAAAAoKCgkhAAAACWYBAAAJIQAAAAFHAQAAOwEAAAnbAAAABmkBAAAMVm91Y2hlclNlcUlkCSEAAAAJIQAAAP////8J2wAAAAoJaQEAAAoKCgkhAAAACW4BAAAJIQA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s=</Report>
</Atlas>
</file>

<file path=customXml/itemProps1.xml><?xml version="1.0" encoding="utf-8"?>
<ds:datastoreItem xmlns:ds="http://schemas.openxmlformats.org/officeDocument/2006/customXml" ds:itemID="{40DC0102-5969-4D60-9050-239A0449E034}">
  <ds:schemaRefs/>
</ds:datastoreItem>
</file>

<file path=customXml/itemProps2.xml><?xml version="1.0" encoding="utf-8"?>
<ds:datastoreItem xmlns:ds="http://schemas.openxmlformats.org/officeDocument/2006/customXml" ds:itemID="{D8701EFA-5633-4621-B192-5D732EF909E4}">
  <ds:schemaRefs/>
</ds:datastoreItem>
</file>

<file path=customXml/itemProps3.xml><?xml version="1.0" encoding="utf-8"?>
<ds:datastoreItem xmlns:ds="http://schemas.openxmlformats.org/officeDocument/2006/customXml" ds:itemID="{BCF6EA4F-DA4C-40D2-8087-B1DE7F53F3F6}">
  <ds:schemaRefs/>
</ds:datastoreItem>
</file>

<file path=customXml/itemProps4.xml><?xml version="1.0" encoding="utf-8"?>
<ds:datastoreItem xmlns:ds="http://schemas.openxmlformats.org/officeDocument/2006/customXml" ds:itemID="{3D0E0D28-975E-4898-8788-EE330A4E72CB}">
  <ds:schemaRefs/>
</ds:datastoreItem>
</file>

<file path=customXml/itemProps5.xml><?xml version="1.0" encoding="utf-8"?>
<ds:datastoreItem xmlns:ds="http://schemas.openxmlformats.org/officeDocument/2006/customXml" ds:itemID="{F6074838-4BB6-4D54-94D5-5C8EE5A5F330}">
  <ds:schemaRefs/>
</ds:datastoreItem>
</file>

<file path=customXml/itemProps6.xml><?xml version="1.0" encoding="utf-8"?>
<ds:datastoreItem xmlns:ds="http://schemas.openxmlformats.org/officeDocument/2006/customXml" ds:itemID="{0C39E5FA-EC13-4A1F-8E37-EDF3D4633E32}">
  <ds:schemaRefs/>
</ds:datastoreItem>
</file>

<file path=customXml/itemProps7.xml><?xml version="1.0" encoding="utf-8"?>
<ds:datastoreItem xmlns:ds="http://schemas.openxmlformats.org/officeDocument/2006/customXml" ds:itemID="{ADA0B5C8-86F2-4236-AA35-6E9DED31AD0A}">
  <ds:schemaRefs/>
</ds:datastoreItem>
</file>

<file path=customXml/itemProps8.xml><?xml version="1.0" encoding="utf-8"?>
<ds:datastoreItem xmlns:ds="http://schemas.openxmlformats.org/officeDocument/2006/customXml" ds:itemID="{CB3F8318-9667-48A5-9F83-C74993C56CB2}">
  <ds:schemaRefs/>
</ds:datastoreItem>
</file>

<file path=customXml/itemProps9.xml><?xml version="1.0" encoding="utf-8"?>
<ds:datastoreItem xmlns:ds="http://schemas.openxmlformats.org/officeDocument/2006/customXml" ds:itemID="{DCE85FDA-F877-44A3-9947-3F968899D7E1}">
  <ds:schemaRefs/>
</ds:datastoreItem>
</file>

<file path=customXml/itemProps10.xml><?xml version="1.0" encoding="utf-8"?>
<ds:datastoreItem xmlns:ds="http://schemas.openxmlformats.org/officeDocument/2006/customXml" ds:itemID="{D9E791D9-4535-4F42-8583-7AC6D7E3D7FA}">
  <ds:schemaRefs/>
</ds:datastoreItem>
</file>

<file path=customXml/itemProps11.xml><?xml version="1.0" encoding="utf-8"?>
<ds:datastoreItem xmlns:ds="http://schemas.openxmlformats.org/officeDocument/2006/customXml" ds:itemID="{03A2CEB3-CDEC-49A7-89AA-864458EC9117}">
  <ds:schemaRefs/>
</ds:datastoreItem>
</file>

<file path=customXml/itemProps12.xml><?xml version="1.0" encoding="utf-8"?>
<ds:datastoreItem xmlns:ds="http://schemas.openxmlformats.org/officeDocument/2006/customXml" ds:itemID="{B2F18DE4-6C6D-4783-A1FB-6EAC47B11B3B}">
  <ds:schemaRefs/>
</ds:datastoreItem>
</file>

<file path=customXml/itemProps13.xml><?xml version="1.0" encoding="utf-8"?>
<ds:datastoreItem xmlns:ds="http://schemas.openxmlformats.org/officeDocument/2006/customXml" ds:itemID="{EFC68715-01E0-4E91-8EED-6F609809D29E}">
  <ds:schemaRefs/>
</ds:datastoreItem>
</file>

<file path=customXml/itemProps14.xml><?xml version="1.0" encoding="utf-8"?>
<ds:datastoreItem xmlns:ds="http://schemas.openxmlformats.org/officeDocument/2006/customXml" ds:itemID="{7D5CBAB2-322A-40EE-A9D3-007C09F44DAD}">
  <ds:schemaRefs/>
</ds:datastoreItem>
</file>

<file path=customXml/itemProps15.xml><?xml version="1.0" encoding="utf-8"?>
<ds:datastoreItem xmlns:ds="http://schemas.openxmlformats.org/officeDocument/2006/customXml" ds:itemID="{E5C15939-B3EC-400A-8AE8-41859ED03F2B}">
  <ds:schemaRefs/>
</ds:datastoreItem>
</file>

<file path=customXml/itemProps16.xml><?xml version="1.0" encoding="utf-8"?>
<ds:datastoreItem xmlns:ds="http://schemas.openxmlformats.org/officeDocument/2006/customXml" ds:itemID="{61DECEE8-4781-4E81-99E8-2C5E35E0ED8D}">
  <ds:schemaRefs/>
</ds:datastoreItem>
</file>

<file path=customXml/itemProps17.xml><?xml version="1.0" encoding="utf-8"?>
<ds:datastoreItem xmlns:ds="http://schemas.openxmlformats.org/officeDocument/2006/customXml" ds:itemID="{390D02C2-96EA-40B3-81BE-983ECE2DC62B}">
  <ds:schemaRefs/>
</ds:datastoreItem>
</file>

<file path=customXml/itemProps18.xml><?xml version="1.0" encoding="utf-8"?>
<ds:datastoreItem xmlns:ds="http://schemas.openxmlformats.org/officeDocument/2006/customXml" ds:itemID="{E9F99DB9-283B-40FE-8F0A-1939E7553562}">
  <ds:schemaRefs/>
</ds:datastoreItem>
</file>

<file path=customXml/itemProps19.xml><?xml version="1.0" encoding="utf-8"?>
<ds:datastoreItem xmlns:ds="http://schemas.openxmlformats.org/officeDocument/2006/customXml" ds:itemID="{0A4222D9-BD7E-47A1-A06C-87252EB27011}">
  <ds:schemaRefs/>
</ds:datastoreItem>
</file>

<file path=customXml/itemProps20.xml><?xml version="1.0" encoding="utf-8"?>
<ds:datastoreItem xmlns:ds="http://schemas.openxmlformats.org/officeDocument/2006/customXml" ds:itemID="{93407001-5583-4014-98DE-BAC545AFFA8C}">
  <ds:schemaRefs/>
</ds:datastoreItem>
</file>

<file path=customXml/itemProps21.xml><?xml version="1.0" encoding="utf-8"?>
<ds:datastoreItem xmlns:ds="http://schemas.openxmlformats.org/officeDocument/2006/customXml" ds:itemID="{3DBAD82A-D8C7-4BA1-9477-E8C244255EAC}">
  <ds:schemaRefs/>
</ds:datastoreItem>
</file>

<file path=customXml/itemProps22.xml><?xml version="1.0" encoding="utf-8"?>
<ds:datastoreItem xmlns:ds="http://schemas.openxmlformats.org/officeDocument/2006/customXml" ds:itemID="{FEE2BC4C-D190-44D9-90B9-1BDC407B3DEE}">
  <ds:schemaRefs/>
</ds:datastoreItem>
</file>

<file path=customXml/itemProps23.xml><?xml version="1.0" encoding="utf-8"?>
<ds:datastoreItem xmlns:ds="http://schemas.openxmlformats.org/officeDocument/2006/customXml" ds:itemID="{EA26F7F4-9599-431C-9D18-DCE1771FE69B}">
  <ds:schemaRefs/>
</ds:datastoreItem>
</file>

<file path=customXml/itemProps24.xml><?xml version="1.0" encoding="utf-8"?>
<ds:datastoreItem xmlns:ds="http://schemas.openxmlformats.org/officeDocument/2006/customXml" ds:itemID="{8ABC7B66-9246-4AEE-9C8A-E0E5F8FBE325}">
  <ds:schemaRefs/>
</ds:datastoreItem>
</file>

<file path=customXml/itemProps25.xml><?xml version="1.0" encoding="utf-8"?>
<ds:datastoreItem xmlns:ds="http://schemas.openxmlformats.org/officeDocument/2006/customXml" ds:itemID="{E63B068F-B9BB-41C3-ABAE-437AC9B76E51}">
  <ds:schemaRefs/>
</ds:datastoreItem>
</file>

<file path=customXml/itemProps26.xml><?xml version="1.0" encoding="utf-8"?>
<ds:datastoreItem xmlns:ds="http://schemas.openxmlformats.org/officeDocument/2006/customXml" ds:itemID="{91FC5037-C85F-449E-ADE8-A0E87BCA49A8}">
  <ds:schemaRefs/>
</ds:datastoreItem>
</file>

<file path=customXml/itemProps27.xml><?xml version="1.0" encoding="utf-8"?>
<ds:datastoreItem xmlns:ds="http://schemas.openxmlformats.org/officeDocument/2006/customXml" ds:itemID="{2619C309-0CBE-4BAD-B0E2-D00A72922F0F}">
  <ds:schemaRefs/>
</ds:datastoreItem>
</file>

<file path=customXml/itemProps28.xml><?xml version="1.0" encoding="utf-8"?>
<ds:datastoreItem xmlns:ds="http://schemas.openxmlformats.org/officeDocument/2006/customXml" ds:itemID="{4DA76C41-BC7B-465F-A495-C32E3C589EED}">
  <ds:schemaRefs/>
</ds:datastoreItem>
</file>

<file path=customXml/itemProps29.xml><?xml version="1.0" encoding="utf-8"?>
<ds:datastoreItem xmlns:ds="http://schemas.openxmlformats.org/officeDocument/2006/customXml" ds:itemID="{3AC28EC6-6699-4FAF-8262-84FAB040814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Parameter</vt:lpstr>
      <vt:lpstr>Full list</vt:lpstr>
      <vt:lpstr>Chart of accounts list</vt:lpstr>
      <vt:lpstr>GL_System accounts</vt:lpstr>
      <vt:lpstr>GL_Sales tax</vt:lpstr>
      <vt:lpstr>AR_Posting profile</vt:lpstr>
      <vt:lpstr>AP_Posting profile</vt:lpstr>
      <vt:lpstr>ARAP_Cash discount</vt:lpstr>
      <vt:lpstr>ARAP_Misc charge</vt:lpstr>
      <vt:lpstr>IM_Posting profile</vt:lpstr>
      <vt:lpstr>FA_Posting profile</vt:lpstr>
      <vt:lpstr>FA_Disposal profile</vt:lpstr>
      <vt:lpstr>IM_Journal name</vt:lpstr>
      <vt:lpstr>PT_Posting profile</vt:lpstr>
      <vt:lpstr>Prod_CostCategory</vt:lpstr>
      <vt:lpstr>'Chart of accounts list'!AtlasReport_1</vt:lpstr>
      <vt:lpstr>'GL_Sales tax'!AtlasReport_10</vt:lpstr>
      <vt:lpstr>'FA_Posting profile'!AtlasReport_11</vt:lpstr>
      <vt:lpstr>'IM_Journal name'!AtlasReport_13</vt:lpstr>
      <vt:lpstr>'PT_Posting profile'!AtlasReport_14</vt:lpstr>
      <vt:lpstr>'FA_Disposal profile'!AtlasReport_15</vt:lpstr>
      <vt:lpstr>Prod_CostCategory!AtlasReport_16</vt:lpstr>
      <vt:lpstr>'GL_System accounts'!AtlasReport_2</vt:lpstr>
      <vt:lpstr>'AR_Posting profile'!AtlasReport_5</vt:lpstr>
      <vt:lpstr>'ARAP_Cash discount'!AtlasReport_6</vt:lpstr>
      <vt:lpstr>'ARAP_Misc charge'!AtlasReport_7</vt:lpstr>
      <vt:lpstr>'AP_Posting profile'!AtlasReport_8</vt:lpstr>
      <vt:lpstr>'IM_Posting profile'!AtlasReport_9</vt:lpstr>
      <vt:lpstr>DataAreaId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2013-12-23T02:30:56Z</dcterms:created>
  <dcterms:modified xsi:type="dcterms:W3CDTF">2017-12-22T07:32:11Z</dcterms:modified>
</cp:coreProperties>
</file>